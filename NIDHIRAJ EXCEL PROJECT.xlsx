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f9dfb0ae6064b85/Desktop/"/>
    </mc:Choice>
  </mc:AlternateContent>
  <xr:revisionPtr revIDLastSave="0" documentId="11_4341D98625A2E0C5F7CF3F69EB68651760B9ED7E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Sheet3" sheetId="3" r:id="rId1"/>
    <sheet name="Sheet4" sheetId="4" r:id="rId2"/>
    <sheet name="Sheet5" sheetId="5" r:id="rId3"/>
    <sheet name="Sheet7" sheetId="7" r:id="rId4"/>
    <sheet name="Sheet1" sheetId="1" r:id="rId5"/>
  </sheets>
  <definedNames>
    <definedName name="_xlnm._FilterDatabase" localSheetId="4" hidden="1">Sheet1!$A:$Q</definedName>
  </definedNames>
  <calcPr calcId="191029"/>
  <pivotCaches>
    <pivotCache cacheId="0" r:id="rId6"/>
    <pivotCache cacheId="1" r:id="rId7"/>
    <pivotCache cacheId="2" r:id="rId8"/>
    <pivotCache cacheId="3" r:id="rId9"/>
    <pivotCache cacheId="4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01" i="1" l="1"/>
  <c r="H1001" i="1"/>
  <c r="E1001" i="1"/>
  <c r="J1000" i="1"/>
  <c r="H1000" i="1"/>
  <c r="E1000" i="1"/>
  <c r="J999" i="1"/>
  <c r="H999" i="1"/>
  <c r="E999" i="1"/>
  <c r="J998" i="1"/>
  <c r="H998" i="1"/>
  <c r="E998" i="1"/>
  <c r="J997" i="1"/>
  <c r="H997" i="1"/>
  <c r="E997" i="1"/>
  <c r="J996" i="1"/>
  <c r="H996" i="1"/>
  <c r="E996" i="1"/>
  <c r="J995" i="1"/>
  <c r="H995" i="1"/>
  <c r="E995" i="1"/>
  <c r="J994" i="1"/>
  <c r="H994" i="1"/>
  <c r="E994" i="1"/>
  <c r="J993" i="1"/>
  <c r="H993" i="1"/>
  <c r="E993" i="1"/>
  <c r="J992" i="1"/>
  <c r="H992" i="1"/>
  <c r="E992" i="1"/>
  <c r="J991" i="1"/>
  <c r="H991" i="1"/>
  <c r="E991" i="1"/>
  <c r="J990" i="1"/>
  <c r="H990" i="1"/>
  <c r="E990" i="1"/>
  <c r="J989" i="1"/>
  <c r="H989" i="1"/>
  <c r="E989" i="1"/>
  <c r="J988" i="1"/>
  <c r="H988" i="1"/>
  <c r="E988" i="1"/>
  <c r="J987" i="1"/>
  <c r="H987" i="1"/>
  <c r="E987" i="1"/>
  <c r="J986" i="1"/>
  <c r="H986" i="1"/>
  <c r="E986" i="1"/>
  <c r="J985" i="1"/>
  <c r="H985" i="1"/>
  <c r="E985" i="1"/>
  <c r="J984" i="1"/>
  <c r="H984" i="1"/>
  <c r="E984" i="1"/>
  <c r="J983" i="1"/>
  <c r="H983" i="1"/>
  <c r="E983" i="1"/>
  <c r="J982" i="1"/>
  <c r="H982" i="1"/>
  <c r="E982" i="1"/>
  <c r="J981" i="1"/>
  <c r="H981" i="1"/>
  <c r="E981" i="1"/>
  <c r="J980" i="1"/>
  <c r="H980" i="1"/>
  <c r="E980" i="1"/>
  <c r="J979" i="1"/>
  <c r="H979" i="1"/>
  <c r="E979" i="1"/>
  <c r="J978" i="1"/>
  <c r="H978" i="1"/>
  <c r="E978" i="1"/>
  <c r="J977" i="1"/>
  <c r="H977" i="1"/>
  <c r="E977" i="1"/>
  <c r="J976" i="1"/>
  <c r="H976" i="1"/>
  <c r="E976" i="1"/>
  <c r="J975" i="1"/>
  <c r="H975" i="1"/>
  <c r="E975" i="1"/>
  <c r="J974" i="1"/>
  <c r="H974" i="1"/>
  <c r="E974" i="1"/>
  <c r="J973" i="1"/>
  <c r="H973" i="1"/>
  <c r="E973" i="1"/>
  <c r="J972" i="1"/>
  <c r="H972" i="1"/>
  <c r="E972" i="1"/>
  <c r="J971" i="1"/>
  <c r="H971" i="1"/>
  <c r="E971" i="1"/>
  <c r="J970" i="1"/>
  <c r="H970" i="1"/>
  <c r="E970" i="1"/>
  <c r="J969" i="1"/>
  <c r="H969" i="1"/>
  <c r="E969" i="1"/>
  <c r="J968" i="1"/>
  <c r="H968" i="1"/>
  <c r="E968" i="1"/>
  <c r="J967" i="1"/>
  <c r="H967" i="1"/>
  <c r="E967" i="1"/>
  <c r="J966" i="1"/>
  <c r="H966" i="1"/>
  <c r="E966" i="1"/>
  <c r="J965" i="1"/>
  <c r="H965" i="1"/>
  <c r="E965" i="1"/>
  <c r="J964" i="1"/>
  <c r="H964" i="1"/>
  <c r="E964" i="1"/>
  <c r="J963" i="1"/>
  <c r="H963" i="1"/>
  <c r="E963" i="1"/>
  <c r="J962" i="1"/>
  <c r="H962" i="1"/>
  <c r="E962" i="1"/>
  <c r="J961" i="1"/>
  <c r="H961" i="1"/>
  <c r="E961" i="1"/>
  <c r="J960" i="1"/>
  <c r="H960" i="1"/>
  <c r="E960" i="1"/>
  <c r="J959" i="1"/>
  <c r="H959" i="1"/>
  <c r="E959" i="1"/>
  <c r="J958" i="1"/>
  <c r="H958" i="1"/>
  <c r="E958" i="1"/>
  <c r="J957" i="1"/>
  <c r="H957" i="1"/>
  <c r="E957" i="1"/>
  <c r="J956" i="1"/>
  <c r="H956" i="1"/>
  <c r="E956" i="1"/>
  <c r="J955" i="1"/>
  <c r="H955" i="1"/>
  <c r="E955" i="1"/>
  <c r="J954" i="1"/>
  <c r="H954" i="1"/>
  <c r="E954" i="1"/>
  <c r="J953" i="1"/>
  <c r="H953" i="1"/>
  <c r="E953" i="1"/>
  <c r="J952" i="1"/>
  <c r="H952" i="1"/>
  <c r="E952" i="1"/>
  <c r="J951" i="1"/>
  <c r="H951" i="1"/>
  <c r="E951" i="1"/>
  <c r="J950" i="1"/>
  <c r="H950" i="1"/>
  <c r="E950" i="1"/>
  <c r="J949" i="1"/>
  <c r="H949" i="1"/>
  <c r="E949" i="1"/>
  <c r="J948" i="1"/>
  <c r="H948" i="1"/>
  <c r="E948" i="1"/>
  <c r="J947" i="1"/>
  <c r="H947" i="1"/>
  <c r="E947" i="1"/>
  <c r="J946" i="1"/>
  <c r="H946" i="1"/>
  <c r="E946" i="1"/>
  <c r="J945" i="1"/>
  <c r="H945" i="1"/>
  <c r="E945" i="1"/>
  <c r="J944" i="1"/>
  <c r="H944" i="1"/>
  <c r="E944" i="1"/>
  <c r="J943" i="1"/>
  <c r="H943" i="1"/>
  <c r="E943" i="1"/>
  <c r="J942" i="1"/>
  <c r="H942" i="1"/>
  <c r="E942" i="1"/>
  <c r="J941" i="1"/>
  <c r="H941" i="1"/>
  <c r="E941" i="1"/>
  <c r="J940" i="1"/>
  <c r="H940" i="1"/>
  <c r="E940" i="1"/>
  <c r="J939" i="1"/>
  <c r="H939" i="1"/>
  <c r="E939" i="1"/>
  <c r="J938" i="1"/>
  <c r="H938" i="1"/>
  <c r="E938" i="1"/>
  <c r="J937" i="1"/>
  <c r="H937" i="1"/>
  <c r="E937" i="1"/>
  <c r="J936" i="1"/>
  <c r="H936" i="1"/>
  <c r="E936" i="1"/>
  <c r="J935" i="1"/>
  <c r="H935" i="1"/>
  <c r="E935" i="1"/>
  <c r="J934" i="1"/>
  <c r="H934" i="1"/>
  <c r="E934" i="1"/>
  <c r="J933" i="1"/>
  <c r="H933" i="1"/>
  <c r="E933" i="1"/>
  <c r="J932" i="1"/>
  <c r="H932" i="1"/>
  <c r="E932" i="1"/>
  <c r="J931" i="1"/>
  <c r="H931" i="1"/>
  <c r="E931" i="1"/>
  <c r="J930" i="1"/>
  <c r="H930" i="1"/>
  <c r="E930" i="1"/>
  <c r="J929" i="1"/>
  <c r="H929" i="1"/>
  <c r="E929" i="1"/>
  <c r="J928" i="1"/>
  <c r="H928" i="1"/>
  <c r="E928" i="1"/>
  <c r="J927" i="1"/>
  <c r="H927" i="1"/>
  <c r="E927" i="1"/>
  <c r="J926" i="1"/>
  <c r="H926" i="1"/>
  <c r="E926" i="1"/>
  <c r="J925" i="1"/>
  <c r="H925" i="1"/>
  <c r="E925" i="1"/>
  <c r="J924" i="1"/>
  <c r="H924" i="1"/>
  <c r="E924" i="1"/>
  <c r="J923" i="1"/>
  <c r="H923" i="1"/>
  <c r="E923" i="1"/>
  <c r="J922" i="1"/>
  <c r="H922" i="1"/>
  <c r="E922" i="1"/>
  <c r="J921" i="1"/>
  <c r="H921" i="1"/>
  <c r="E921" i="1"/>
  <c r="J920" i="1"/>
  <c r="H920" i="1"/>
  <c r="E920" i="1"/>
  <c r="J919" i="1"/>
  <c r="H919" i="1"/>
  <c r="E919" i="1"/>
  <c r="J918" i="1"/>
  <c r="H918" i="1"/>
  <c r="E918" i="1"/>
  <c r="J917" i="1"/>
  <c r="H917" i="1"/>
  <c r="E917" i="1"/>
  <c r="J916" i="1"/>
  <c r="H916" i="1"/>
  <c r="E916" i="1"/>
  <c r="J915" i="1"/>
  <c r="H915" i="1"/>
  <c r="E915" i="1"/>
  <c r="J914" i="1"/>
  <c r="H914" i="1"/>
  <c r="E914" i="1"/>
  <c r="J913" i="1"/>
  <c r="H913" i="1"/>
  <c r="E913" i="1"/>
  <c r="J912" i="1"/>
  <c r="H912" i="1"/>
  <c r="E912" i="1"/>
  <c r="J911" i="1"/>
  <c r="H911" i="1"/>
  <c r="E911" i="1"/>
  <c r="J910" i="1"/>
  <c r="H910" i="1"/>
  <c r="E910" i="1"/>
  <c r="J909" i="1"/>
  <c r="H909" i="1"/>
  <c r="E909" i="1"/>
  <c r="J908" i="1"/>
  <c r="H908" i="1"/>
  <c r="E908" i="1"/>
  <c r="J907" i="1"/>
  <c r="H907" i="1"/>
  <c r="E907" i="1"/>
  <c r="J906" i="1"/>
  <c r="H906" i="1"/>
  <c r="E906" i="1"/>
  <c r="J905" i="1"/>
  <c r="H905" i="1"/>
  <c r="E905" i="1"/>
  <c r="J904" i="1"/>
  <c r="H904" i="1"/>
  <c r="E904" i="1"/>
  <c r="J903" i="1"/>
  <c r="H903" i="1"/>
  <c r="E903" i="1"/>
  <c r="J902" i="1"/>
  <c r="H902" i="1"/>
  <c r="E902" i="1"/>
  <c r="J901" i="1"/>
  <c r="H901" i="1"/>
  <c r="E901" i="1"/>
  <c r="J900" i="1"/>
  <c r="H900" i="1"/>
  <c r="E900" i="1"/>
  <c r="J899" i="1"/>
  <c r="H899" i="1"/>
  <c r="E899" i="1"/>
  <c r="J898" i="1"/>
  <c r="H898" i="1"/>
  <c r="E898" i="1"/>
  <c r="J897" i="1"/>
  <c r="H897" i="1"/>
  <c r="E897" i="1"/>
  <c r="J896" i="1"/>
  <c r="H896" i="1"/>
  <c r="E896" i="1"/>
  <c r="J895" i="1"/>
  <c r="H895" i="1"/>
  <c r="E895" i="1"/>
  <c r="J894" i="1"/>
  <c r="H894" i="1"/>
  <c r="E894" i="1"/>
  <c r="J893" i="1"/>
  <c r="H893" i="1"/>
  <c r="E893" i="1"/>
  <c r="J892" i="1"/>
  <c r="H892" i="1"/>
  <c r="E892" i="1"/>
  <c r="J891" i="1"/>
  <c r="H891" i="1"/>
  <c r="E891" i="1"/>
  <c r="J890" i="1"/>
  <c r="H890" i="1"/>
  <c r="E890" i="1"/>
  <c r="J889" i="1"/>
  <c r="H889" i="1"/>
  <c r="E889" i="1"/>
  <c r="J888" i="1"/>
  <c r="H888" i="1"/>
  <c r="E888" i="1"/>
  <c r="J887" i="1"/>
  <c r="H887" i="1"/>
  <c r="E887" i="1"/>
  <c r="J886" i="1"/>
  <c r="H886" i="1"/>
  <c r="E886" i="1"/>
  <c r="J885" i="1"/>
  <c r="H885" i="1"/>
  <c r="E885" i="1"/>
  <c r="J884" i="1"/>
  <c r="H884" i="1"/>
  <c r="E884" i="1"/>
  <c r="J883" i="1"/>
  <c r="H883" i="1"/>
  <c r="E883" i="1"/>
  <c r="J882" i="1"/>
  <c r="H882" i="1"/>
  <c r="E882" i="1"/>
  <c r="J881" i="1"/>
  <c r="H881" i="1"/>
  <c r="E881" i="1"/>
  <c r="J880" i="1"/>
  <c r="H880" i="1"/>
  <c r="E880" i="1"/>
  <c r="J879" i="1"/>
  <c r="H879" i="1"/>
  <c r="E879" i="1"/>
  <c r="J878" i="1"/>
  <c r="H878" i="1"/>
  <c r="E878" i="1"/>
  <c r="J877" i="1"/>
  <c r="H877" i="1"/>
  <c r="E877" i="1"/>
  <c r="J876" i="1"/>
  <c r="H876" i="1"/>
  <c r="E876" i="1"/>
  <c r="J875" i="1"/>
  <c r="H875" i="1"/>
  <c r="E875" i="1"/>
  <c r="J874" i="1"/>
  <c r="H874" i="1"/>
  <c r="E874" i="1"/>
  <c r="J873" i="1"/>
  <c r="H873" i="1"/>
  <c r="E873" i="1"/>
  <c r="J872" i="1"/>
  <c r="H872" i="1"/>
  <c r="E872" i="1"/>
  <c r="J871" i="1"/>
  <c r="H871" i="1"/>
  <c r="E871" i="1"/>
  <c r="J870" i="1"/>
  <c r="H870" i="1"/>
  <c r="E870" i="1"/>
  <c r="J869" i="1"/>
  <c r="H869" i="1"/>
  <c r="E869" i="1"/>
  <c r="J868" i="1"/>
  <c r="H868" i="1"/>
  <c r="E868" i="1"/>
  <c r="J867" i="1"/>
  <c r="H867" i="1"/>
  <c r="E867" i="1"/>
  <c r="J866" i="1"/>
  <c r="H866" i="1"/>
  <c r="E866" i="1"/>
  <c r="J865" i="1"/>
  <c r="H865" i="1"/>
  <c r="E865" i="1"/>
  <c r="J864" i="1"/>
  <c r="H864" i="1"/>
  <c r="E864" i="1"/>
  <c r="J863" i="1"/>
  <c r="H863" i="1"/>
  <c r="E863" i="1"/>
  <c r="J862" i="1"/>
  <c r="H862" i="1"/>
  <c r="E862" i="1"/>
  <c r="J861" i="1"/>
  <c r="H861" i="1"/>
  <c r="E861" i="1"/>
  <c r="J860" i="1"/>
  <c r="H860" i="1"/>
  <c r="E860" i="1"/>
  <c r="J859" i="1"/>
  <c r="H859" i="1"/>
  <c r="E859" i="1"/>
  <c r="J858" i="1"/>
  <c r="H858" i="1"/>
  <c r="E858" i="1"/>
  <c r="J857" i="1"/>
  <c r="H857" i="1"/>
  <c r="E857" i="1"/>
  <c r="J856" i="1"/>
  <c r="H856" i="1"/>
  <c r="E856" i="1"/>
  <c r="J855" i="1"/>
  <c r="H855" i="1"/>
  <c r="E855" i="1"/>
  <c r="J854" i="1"/>
  <c r="H854" i="1"/>
  <c r="E854" i="1"/>
  <c r="J853" i="1"/>
  <c r="H853" i="1"/>
  <c r="E853" i="1"/>
  <c r="J852" i="1"/>
  <c r="H852" i="1"/>
  <c r="E852" i="1"/>
  <c r="J851" i="1"/>
  <c r="H851" i="1"/>
  <c r="E851" i="1"/>
  <c r="J850" i="1"/>
  <c r="H850" i="1"/>
  <c r="E850" i="1"/>
  <c r="J849" i="1"/>
  <c r="H849" i="1"/>
  <c r="E849" i="1"/>
  <c r="J848" i="1"/>
  <c r="H848" i="1"/>
  <c r="E848" i="1"/>
  <c r="J847" i="1"/>
  <c r="H847" i="1"/>
  <c r="E847" i="1"/>
  <c r="J846" i="1"/>
  <c r="H846" i="1"/>
  <c r="E846" i="1"/>
  <c r="J845" i="1"/>
  <c r="H845" i="1"/>
  <c r="E845" i="1"/>
  <c r="J844" i="1"/>
  <c r="H844" i="1"/>
  <c r="E844" i="1"/>
  <c r="J843" i="1"/>
  <c r="H843" i="1"/>
  <c r="E843" i="1"/>
  <c r="J842" i="1"/>
  <c r="H842" i="1"/>
  <c r="E842" i="1"/>
  <c r="J841" i="1"/>
  <c r="H841" i="1"/>
  <c r="E841" i="1"/>
  <c r="J840" i="1"/>
  <c r="H840" i="1"/>
  <c r="E840" i="1"/>
  <c r="J839" i="1"/>
  <c r="H839" i="1"/>
  <c r="E839" i="1"/>
  <c r="J838" i="1"/>
  <c r="H838" i="1"/>
  <c r="E838" i="1"/>
  <c r="J837" i="1"/>
  <c r="H837" i="1"/>
  <c r="E837" i="1"/>
  <c r="J836" i="1"/>
  <c r="H836" i="1"/>
  <c r="E836" i="1"/>
  <c r="J835" i="1"/>
  <c r="H835" i="1"/>
  <c r="E835" i="1"/>
  <c r="J834" i="1"/>
  <c r="H834" i="1"/>
  <c r="E834" i="1"/>
  <c r="J833" i="1"/>
  <c r="H833" i="1"/>
  <c r="E833" i="1"/>
  <c r="J832" i="1"/>
  <c r="H832" i="1"/>
  <c r="E832" i="1"/>
  <c r="J831" i="1"/>
  <c r="H831" i="1"/>
  <c r="E831" i="1"/>
  <c r="J830" i="1"/>
  <c r="H830" i="1"/>
  <c r="E830" i="1"/>
  <c r="J829" i="1"/>
  <c r="H829" i="1"/>
  <c r="E829" i="1"/>
  <c r="J828" i="1"/>
  <c r="H828" i="1"/>
  <c r="E828" i="1"/>
  <c r="J827" i="1"/>
  <c r="H827" i="1"/>
  <c r="E827" i="1"/>
  <c r="J826" i="1"/>
  <c r="H826" i="1"/>
  <c r="E826" i="1"/>
  <c r="J825" i="1"/>
  <c r="H825" i="1"/>
  <c r="E825" i="1"/>
  <c r="J824" i="1"/>
  <c r="H824" i="1"/>
  <c r="E824" i="1"/>
  <c r="J823" i="1"/>
  <c r="H823" i="1"/>
  <c r="E823" i="1"/>
  <c r="J822" i="1"/>
  <c r="H822" i="1"/>
  <c r="E822" i="1"/>
  <c r="J821" i="1"/>
  <c r="H821" i="1"/>
  <c r="E821" i="1"/>
  <c r="J820" i="1"/>
  <c r="H820" i="1"/>
  <c r="E820" i="1"/>
  <c r="J819" i="1"/>
  <c r="H819" i="1"/>
  <c r="E819" i="1"/>
  <c r="J818" i="1"/>
  <c r="H818" i="1"/>
  <c r="E818" i="1"/>
  <c r="J817" i="1"/>
  <c r="H817" i="1"/>
  <c r="E817" i="1"/>
  <c r="J816" i="1"/>
  <c r="H816" i="1"/>
  <c r="E816" i="1"/>
  <c r="J815" i="1"/>
  <c r="H815" i="1"/>
  <c r="E815" i="1"/>
  <c r="J814" i="1"/>
  <c r="H814" i="1"/>
  <c r="E814" i="1"/>
  <c r="J813" i="1"/>
  <c r="H813" i="1"/>
  <c r="E813" i="1"/>
  <c r="J812" i="1"/>
  <c r="H812" i="1"/>
  <c r="E812" i="1"/>
  <c r="J811" i="1"/>
  <c r="H811" i="1"/>
  <c r="E811" i="1"/>
  <c r="J810" i="1"/>
  <c r="H810" i="1"/>
  <c r="E810" i="1"/>
  <c r="J809" i="1"/>
  <c r="H809" i="1"/>
  <c r="E809" i="1"/>
  <c r="J808" i="1"/>
  <c r="H808" i="1"/>
  <c r="E808" i="1"/>
  <c r="J807" i="1"/>
  <c r="H807" i="1"/>
  <c r="E807" i="1"/>
  <c r="J806" i="1"/>
  <c r="H806" i="1"/>
  <c r="E806" i="1"/>
  <c r="J805" i="1"/>
  <c r="H805" i="1"/>
  <c r="E805" i="1"/>
  <c r="J804" i="1"/>
  <c r="H804" i="1"/>
  <c r="E804" i="1"/>
  <c r="J803" i="1"/>
  <c r="H803" i="1"/>
  <c r="E803" i="1"/>
  <c r="J802" i="1"/>
  <c r="H802" i="1"/>
  <c r="E802" i="1"/>
  <c r="J801" i="1"/>
  <c r="H801" i="1"/>
  <c r="E801" i="1"/>
  <c r="J800" i="1"/>
  <c r="H800" i="1"/>
  <c r="E800" i="1"/>
  <c r="J799" i="1"/>
  <c r="H799" i="1"/>
  <c r="E799" i="1"/>
  <c r="J798" i="1"/>
  <c r="H798" i="1"/>
  <c r="E798" i="1"/>
  <c r="J797" i="1"/>
  <c r="H797" i="1"/>
  <c r="E797" i="1"/>
  <c r="J796" i="1"/>
  <c r="H796" i="1"/>
  <c r="E796" i="1"/>
  <c r="J795" i="1"/>
  <c r="H795" i="1"/>
  <c r="E795" i="1"/>
  <c r="J794" i="1"/>
  <c r="H794" i="1"/>
  <c r="E794" i="1"/>
  <c r="J793" i="1"/>
  <c r="H793" i="1"/>
  <c r="E793" i="1"/>
  <c r="J792" i="1"/>
  <c r="H792" i="1"/>
  <c r="E792" i="1"/>
  <c r="J791" i="1"/>
  <c r="H791" i="1"/>
  <c r="E791" i="1"/>
  <c r="J790" i="1"/>
  <c r="H790" i="1"/>
  <c r="E790" i="1"/>
  <c r="J789" i="1"/>
  <c r="H789" i="1"/>
  <c r="E789" i="1"/>
  <c r="J788" i="1"/>
  <c r="H788" i="1"/>
  <c r="E788" i="1"/>
  <c r="J787" i="1"/>
  <c r="H787" i="1"/>
  <c r="E787" i="1"/>
  <c r="J786" i="1"/>
  <c r="H786" i="1"/>
  <c r="E786" i="1"/>
  <c r="J785" i="1"/>
  <c r="H785" i="1"/>
  <c r="E785" i="1"/>
  <c r="J784" i="1"/>
  <c r="H784" i="1"/>
  <c r="E784" i="1"/>
  <c r="J783" i="1"/>
  <c r="H783" i="1"/>
  <c r="E783" i="1"/>
  <c r="J782" i="1"/>
  <c r="H782" i="1"/>
  <c r="E782" i="1"/>
  <c r="J781" i="1"/>
  <c r="H781" i="1"/>
  <c r="E781" i="1"/>
  <c r="J780" i="1"/>
  <c r="H780" i="1"/>
  <c r="E780" i="1"/>
  <c r="J779" i="1"/>
  <c r="H779" i="1"/>
  <c r="E779" i="1"/>
  <c r="J778" i="1"/>
  <c r="H778" i="1"/>
  <c r="E778" i="1"/>
  <c r="J777" i="1"/>
  <c r="H777" i="1"/>
  <c r="E777" i="1"/>
  <c r="J776" i="1"/>
  <c r="H776" i="1"/>
  <c r="E776" i="1"/>
  <c r="J775" i="1"/>
  <c r="H775" i="1"/>
  <c r="E775" i="1"/>
  <c r="J774" i="1"/>
  <c r="H774" i="1"/>
  <c r="E774" i="1"/>
  <c r="J773" i="1"/>
  <c r="H773" i="1"/>
  <c r="E773" i="1"/>
  <c r="J772" i="1"/>
  <c r="H772" i="1"/>
  <c r="E772" i="1"/>
  <c r="J771" i="1"/>
  <c r="H771" i="1"/>
  <c r="E771" i="1"/>
  <c r="J770" i="1"/>
  <c r="H770" i="1"/>
  <c r="E770" i="1"/>
  <c r="J769" i="1"/>
  <c r="H769" i="1"/>
  <c r="E769" i="1"/>
  <c r="J768" i="1"/>
  <c r="H768" i="1"/>
  <c r="E768" i="1"/>
  <c r="J767" i="1"/>
  <c r="H767" i="1"/>
  <c r="E767" i="1"/>
  <c r="J766" i="1"/>
  <c r="H766" i="1"/>
  <c r="E766" i="1"/>
  <c r="J765" i="1"/>
  <c r="H765" i="1"/>
  <c r="E765" i="1"/>
  <c r="J764" i="1"/>
  <c r="H764" i="1"/>
  <c r="E764" i="1"/>
  <c r="J763" i="1"/>
  <c r="H763" i="1"/>
  <c r="E763" i="1"/>
  <c r="J762" i="1"/>
  <c r="H762" i="1"/>
  <c r="E762" i="1"/>
  <c r="J761" i="1"/>
  <c r="H761" i="1"/>
  <c r="E761" i="1"/>
  <c r="J760" i="1"/>
  <c r="H760" i="1"/>
  <c r="E760" i="1"/>
  <c r="J759" i="1"/>
  <c r="H759" i="1"/>
  <c r="E759" i="1"/>
  <c r="J758" i="1"/>
  <c r="H758" i="1"/>
  <c r="E758" i="1"/>
  <c r="J757" i="1"/>
  <c r="H757" i="1"/>
  <c r="E757" i="1"/>
  <c r="J756" i="1"/>
  <c r="H756" i="1"/>
  <c r="E756" i="1"/>
  <c r="J755" i="1"/>
  <c r="H755" i="1"/>
  <c r="E755" i="1"/>
  <c r="J754" i="1"/>
  <c r="H754" i="1"/>
  <c r="E754" i="1"/>
  <c r="J753" i="1"/>
  <c r="H753" i="1"/>
  <c r="E753" i="1"/>
  <c r="J752" i="1"/>
  <c r="H752" i="1"/>
  <c r="E752" i="1"/>
  <c r="J751" i="1"/>
  <c r="H751" i="1"/>
  <c r="E751" i="1"/>
  <c r="J750" i="1"/>
  <c r="H750" i="1"/>
  <c r="E750" i="1"/>
  <c r="J749" i="1"/>
  <c r="H749" i="1"/>
  <c r="E749" i="1"/>
  <c r="J748" i="1"/>
  <c r="H748" i="1"/>
  <c r="E748" i="1"/>
  <c r="J747" i="1"/>
  <c r="H747" i="1"/>
  <c r="E747" i="1"/>
  <c r="J746" i="1"/>
  <c r="H746" i="1"/>
  <c r="E746" i="1"/>
  <c r="J745" i="1"/>
  <c r="H745" i="1"/>
  <c r="E745" i="1"/>
  <c r="J744" i="1"/>
  <c r="H744" i="1"/>
  <c r="E744" i="1"/>
  <c r="J743" i="1"/>
  <c r="H743" i="1"/>
  <c r="E743" i="1"/>
  <c r="J742" i="1"/>
  <c r="H742" i="1"/>
  <c r="E742" i="1"/>
  <c r="J741" i="1"/>
  <c r="H741" i="1"/>
  <c r="E741" i="1"/>
  <c r="J740" i="1"/>
  <c r="H740" i="1"/>
  <c r="E740" i="1"/>
  <c r="J739" i="1"/>
  <c r="H739" i="1"/>
  <c r="E739" i="1"/>
  <c r="J738" i="1"/>
  <c r="H738" i="1"/>
  <c r="E738" i="1"/>
  <c r="J737" i="1"/>
  <c r="H737" i="1"/>
  <c r="E737" i="1"/>
  <c r="J736" i="1"/>
  <c r="H736" i="1"/>
  <c r="E736" i="1"/>
  <c r="J735" i="1"/>
  <c r="H735" i="1"/>
  <c r="E735" i="1"/>
  <c r="J734" i="1"/>
  <c r="H734" i="1"/>
  <c r="E734" i="1"/>
  <c r="J733" i="1"/>
  <c r="H733" i="1"/>
  <c r="E733" i="1"/>
  <c r="J732" i="1"/>
  <c r="H732" i="1"/>
  <c r="E732" i="1"/>
  <c r="J731" i="1"/>
  <c r="H731" i="1"/>
  <c r="E731" i="1"/>
  <c r="J730" i="1"/>
  <c r="H730" i="1"/>
  <c r="E730" i="1"/>
  <c r="J729" i="1"/>
  <c r="H729" i="1"/>
  <c r="E729" i="1"/>
  <c r="J728" i="1"/>
  <c r="H728" i="1"/>
  <c r="E728" i="1"/>
  <c r="J727" i="1"/>
  <c r="H727" i="1"/>
  <c r="E727" i="1"/>
  <c r="J726" i="1"/>
  <c r="H726" i="1"/>
  <c r="E726" i="1"/>
  <c r="J725" i="1"/>
  <c r="H725" i="1"/>
  <c r="E725" i="1"/>
  <c r="J724" i="1"/>
  <c r="H724" i="1"/>
  <c r="E724" i="1"/>
  <c r="J723" i="1"/>
  <c r="H723" i="1"/>
  <c r="E723" i="1"/>
  <c r="J722" i="1"/>
  <c r="H722" i="1"/>
  <c r="E722" i="1"/>
  <c r="J721" i="1"/>
  <c r="H721" i="1"/>
  <c r="E721" i="1"/>
  <c r="J720" i="1"/>
  <c r="H720" i="1"/>
  <c r="E720" i="1"/>
  <c r="J719" i="1"/>
  <c r="H719" i="1"/>
  <c r="E719" i="1"/>
  <c r="J718" i="1"/>
  <c r="H718" i="1"/>
  <c r="E718" i="1"/>
  <c r="J717" i="1"/>
  <c r="H717" i="1"/>
  <c r="E717" i="1"/>
  <c r="J716" i="1"/>
  <c r="H716" i="1"/>
  <c r="E716" i="1"/>
  <c r="J715" i="1"/>
  <c r="H715" i="1"/>
  <c r="E715" i="1"/>
  <c r="J714" i="1"/>
  <c r="H714" i="1"/>
  <c r="E714" i="1"/>
  <c r="J713" i="1"/>
  <c r="H713" i="1"/>
  <c r="E713" i="1"/>
  <c r="J712" i="1"/>
  <c r="H712" i="1"/>
  <c r="E712" i="1"/>
  <c r="J711" i="1"/>
  <c r="H711" i="1"/>
  <c r="E711" i="1"/>
  <c r="J710" i="1"/>
  <c r="H710" i="1"/>
  <c r="E710" i="1"/>
  <c r="J709" i="1"/>
  <c r="H709" i="1"/>
  <c r="E709" i="1"/>
  <c r="J708" i="1"/>
  <c r="H708" i="1"/>
  <c r="E708" i="1"/>
  <c r="J707" i="1"/>
  <c r="H707" i="1"/>
  <c r="E707" i="1"/>
  <c r="J706" i="1"/>
  <c r="H706" i="1"/>
  <c r="E706" i="1"/>
  <c r="J705" i="1"/>
  <c r="H705" i="1"/>
  <c r="E705" i="1"/>
  <c r="J704" i="1"/>
  <c r="H704" i="1"/>
  <c r="E704" i="1"/>
  <c r="J703" i="1"/>
  <c r="H703" i="1"/>
  <c r="E703" i="1"/>
  <c r="J702" i="1"/>
  <c r="H702" i="1"/>
  <c r="E702" i="1"/>
  <c r="J701" i="1"/>
  <c r="H701" i="1"/>
  <c r="E701" i="1"/>
  <c r="J700" i="1"/>
  <c r="H700" i="1"/>
  <c r="E700" i="1"/>
  <c r="J699" i="1"/>
  <c r="H699" i="1"/>
  <c r="E699" i="1"/>
  <c r="J698" i="1"/>
  <c r="H698" i="1"/>
  <c r="E698" i="1"/>
  <c r="J697" i="1"/>
  <c r="H697" i="1"/>
  <c r="E697" i="1"/>
  <c r="J696" i="1"/>
  <c r="H696" i="1"/>
  <c r="E696" i="1"/>
  <c r="J695" i="1"/>
  <c r="H695" i="1"/>
  <c r="E695" i="1"/>
  <c r="J694" i="1"/>
  <c r="H694" i="1"/>
  <c r="E694" i="1"/>
  <c r="J693" i="1"/>
  <c r="H693" i="1"/>
  <c r="E693" i="1"/>
  <c r="J692" i="1"/>
  <c r="H692" i="1"/>
  <c r="E692" i="1"/>
  <c r="J691" i="1"/>
  <c r="H691" i="1"/>
  <c r="E691" i="1"/>
  <c r="J690" i="1"/>
  <c r="H690" i="1"/>
  <c r="E690" i="1"/>
  <c r="J689" i="1"/>
  <c r="H689" i="1"/>
  <c r="E689" i="1"/>
  <c r="J688" i="1"/>
  <c r="H688" i="1"/>
  <c r="E688" i="1"/>
  <c r="J687" i="1"/>
  <c r="H687" i="1"/>
  <c r="E687" i="1"/>
  <c r="J686" i="1"/>
  <c r="H686" i="1"/>
  <c r="E686" i="1"/>
  <c r="J685" i="1"/>
  <c r="H685" i="1"/>
  <c r="E685" i="1"/>
  <c r="J684" i="1"/>
  <c r="H684" i="1"/>
  <c r="E684" i="1"/>
  <c r="J683" i="1"/>
  <c r="H683" i="1"/>
  <c r="E683" i="1"/>
  <c r="J682" i="1"/>
  <c r="H682" i="1"/>
  <c r="E682" i="1"/>
  <c r="J681" i="1"/>
  <c r="H681" i="1"/>
  <c r="E681" i="1"/>
  <c r="J680" i="1"/>
  <c r="H680" i="1"/>
  <c r="E680" i="1"/>
  <c r="J679" i="1"/>
  <c r="H679" i="1"/>
  <c r="E679" i="1"/>
  <c r="J678" i="1"/>
  <c r="H678" i="1"/>
  <c r="E678" i="1"/>
  <c r="J677" i="1"/>
  <c r="H677" i="1"/>
  <c r="E677" i="1"/>
  <c r="J676" i="1"/>
  <c r="H676" i="1"/>
  <c r="E676" i="1"/>
  <c r="J675" i="1"/>
  <c r="H675" i="1"/>
  <c r="E675" i="1"/>
  <c r="J674" i="1"/>
  <c r="H674" i="1"/>
  <c r="E674" i="1"/>
  <c r="J673" i="1"/>
  <c r="H673" i="1"/>
  <c r="E673" i="1"/>
  <c r="J672" i="1"/>
  <c r="H672" i="1"/>
  <c r="E672" i="1"/>
  <c r="J671" i="1"/>
  <c r="H671" i="1"/>
  <c r="E671" i="1"/>
  <c r="J670" i="1"/>
  <c r="H670" i="1"/>
  <c r="E670" i="1"/>
  <c r="J669" i="1"/>
  <c r="H669" i="1"/>
  <c r="E669" i="1"/>
  <c r="J668" i="1"/>
  <c r="H668" i="1"/>
  <c r="E668" i="1"/>
  <c r="J667" i="1"/>
  <c r="H667" i="1"/>
  <c r="E667" i="1"/>
  <c r="J666" i="1"/>
  <c r="H666" i="1"/>
  <c r="E666" i="1"/>
  <c r="J665" i="1"/>
  <c r="H665" i="1"/>
  <c r="E665" i="1"/>
  <c r="J664" i="1"/>
  <c r="H664" i="1"/>
  <c r="E664" i="1"/>
  <c r="J663" i="1"/>
  <c r="H663" i="1"/>
  <c r="E663" i="1"/>
  <c r="J662" i="1"/>
  <c r="H662" i="1"/>
  <c r="E662" i="1"/>
  <c r="J661" i="1"/>
  <c r="H661" i="1"/>
  <c r="E661" i="1"/>
  <c r="J660" i="1"/>
  <c r="H660" i="1"/>
  <c r="E660" i="1"/>
  <c r="J659" i="1"/>
  <c r="H659" i="1"/>
  <c r="E659" i="1"/>
  <c r="J658" i="1"/>
  <c r="H658" i="1"/>
  <c r="E658" i="1"/>
  <c r="J657" i="1"/>
  <c r="H657" i="1"/>
  <c r="E657" i="1"/>
  <c r="J656" i="1"/>
  <c r="H656" i="1"/>
  <c r="E656" i="1"/>
  <c r="J655" i="1"/>
  <c r="H655" i="1"/>
  <c r="E655" i="1"/>
  <c r="J654" i="1"/>
  <c r="H654" i="1"/>
  <c r="E654" i="1"/>
  <c r="J653" i="1"/>
  <c r="H653" i="1"/>
  <c r="E653" i="1"/>
  <c r="J652" i="1"/>
  <c r="H652" i="1"/>
  <c r="E652" i="1"/>
  <c r="J651" i="1"/>
  <c r="H651" i="1"/>
  <c r="E651" i="1"/>
  <c r="J650" i="1"/>
  <c r="H650" i="1"/>
  <c r="E650" i="1"/>
  <c r="J649" i="1"/>
  <c r="H649" i="1"/>
  <c r="E649" i="1"/>
  <c r="J648" i="1"/>
  <c r="H648" i="1"/>
  <c r="E648" i="1"/>
  <c r="J647" i="1"/>
  <c r="H647" i="1"/>
  <c r="E647" i="1"/>
  <c r="J646" i="1"/>
  <c r="H646" i="1"/>
  <c r="E646" i="1"/>
  <c r="J645" i="1"/>
  <c r="H645" i="1"/>
  <c r="E645" i="1"/>
  <c r="J644" i="1"/>
  <c r="H644" i="1"/>
  <c r="E644" i="1"/>
  <c r="J643" i="1"/>
  <c r="H643" i="1"/>
  <c r="E643" i="1"/>
  <c r="J642" i="1"/>
  <c r="H642" i="1"/>
  <c r="E642" i="1"/>
  <c r="J641" i="1"/>
  <c r="H641" i="1"/>
  <c r="E641" i="1"/>
  <c r="J640" i="1"/>
  <c r="H640" i="1"/>
  <c r="E640" i="1"/>
  <c r="J639" i="1"/>
  <c r="H639" i="1"/>
  <c r="E639" i="1"/>
  <c r="J638" i="1"/>
  <c r="H638" i="1"/>
  <c r="E638" i="1"/>
  <c r="J637" i="1"/>
  <c r="H637" i="1"/>
  <c r="E637" i="1"/>
  <c r="J636" i="1"/>
  <c r="H636" i="1"/>
  <c r="E636" i="1"/>
  <c r="J635" i="1"/>
  <c r="H635" i="1"/>
  <c r="E635" i="1"/>
  <c r="J634" i="1"/>
  <c r="H634" i="1"/>
  <c r="E634" i="1"/>
  <c r="J633" i="1"/>
  <c r="H633" i="1"/>
  <c r="E633" i="1"/>
  <c r="J632" i="1"/>
  <c r="H632" i="1"/>
  <c r="E632" i="1"/>
  <c r="J631" i="1"/>
  <c r="H631" i="1"/>
  <c r="E631" i="1"/>
  <c r="J630" i="1"/>
  <c r="H630" i="1"/>
  <c r="E630" i="1"/>
  <c r="J629" i="1"/>
  <c r="H629" i="1"/>
  <c r="E629" i="1"/>
  <c r="J628" i="1"/>
  <c r="H628" i="1"/>
  <c r="E628" i="1"/>
  <c r="J627" i="1"/>
  <c r="H627" i="1"/>
  <c r="E627" i="1"/>
  <c r="J626" i="1"/>
  <c r="H626" i="1"/>
  <c r="E626" i="1"/>
  <c r="J625" i="1"/>
  <c r="H625" i="1"/>
  <c r="E625" i="1"/>
  <c r="J624" i="1"/>
  <c r="H624" i="1"/>
  <c r="E624" i="1"/>
  <c r="J623" i="1"/>
  <c r="H623" i="1"/>
  <c r="E623" i="1"/>
  <c r="J622" i="1"/>
  <c r="H622" i="1"/>
  <c r="E622" i="1"/>
  <c r="J621" i="1"/>
  <c r="H621" i="1"/>
  <c r="E621" i="1"/>
  <c r="J620" i="1"/>
  <c r="H620" i="1"/>
  <c r="E620" i="1"/>
  <c r="J619" i="1"/>
  <c r="H619" i="1"/>
  <c r="E619" i="1"/>
  <c r="J618" i="1"/>
  <c r="H618" i="1"/>
  <c r="E618" i="1"/>
  <c r="J617" i="1"/>
  <c r="H617" i="1"/>
  <c r="E617" i="1"/>
  <c r="J616" i="1"/>
  <c r="H616" i="1"/>
  <c r="E616" i="1"/>
  <c r="J615" i="1"/>
  <c r="H615" i="1"/>
  <c r="E615" i="1"/>
  <c r="J614" i="1"/>
  <c r="H614" i="1"/>
  <c r="E614" i="1"/>
  <c r="J613" i="1"/>
  <c r="H613" i="1"/>
  <c r="E613" i="1"/>
  <c r="J612" i="1"/>
  <c r="H612" i="1"/>
  <c r="E612" i="1"/>
  <c r="J611" i="1"/>
  <c r="H611" i="1"/>
  <c r="E611" i="1"/>
  <c r="J610" i="1"/>
  <c r="H610" i="1"/>
  <c r="E610" i="1"/>
  <c r="J609" i="1"/>
  <c r="H609" i="1"/>
  <c r="E609" i="1"/>
  <c r="J608" i="1"/>
  <c r="H608" i="1"/>
  <c r="E608" i="1"/>
  <c r="J607" i="1"/>
  <c r="H607" i="1"/>
  <c r="E607" i="1"/>
  <c r="J606" i="1"/>
  <c r="H606" i="1"/>
  <c r="E606" i="1"/>
  <c r="J605" i="1"/>
  <c r="H605" i="1"/>
  <c r="E605" i="1"/>
  <c r="J604" i="1"/>
  <c r="H604" i="1"/>
  <c r="E604" i="1"/>
  <c r="J603" i="1"/>
  <c r="H603" i="1"/>
  <c r="E603" i="1"/>
  <c r="J602" i="1"/>
  <c r="H602" i="1"/>
  <c r="E602" i="1"/>
  <c r="J601" i="1"/>
  <c r="H601" i="1"/>
  <c r="E601" i="1"/>
  <c r="J600" i="1"/>
  <c r="H600" i="1"/>
  <c r="E600" i="1"/>
  <c r="J599" i="1"/>
  <c r="H599" i="1"/>
  <c r="E599" i="1"/>
  <c r="J598" i="1"/>
  <c r="H598" i="1"/>
  <c r="E598" i="1"/>
  <c r="J597" i="1"/>
  <c r="H597" i="1"/>
  <c r="E597" i="1"/>
  <c r="J596" i="1"/>
  <c r="H596" i="1"/>
  <c r="E596" i="1"/>
  <c r="J595" i="1"/>
  <c r="H595" i="1"/>
  <c r="E595" i="1"/>
  <c r="J594" i="1"/>
  <c r="H594" i="1"/>
  <c r="E594" i="1"/>
  <c r="J593" i="1"/>
  <c r="H593" i="1"/>
  <c r="E593" i="1"/>
  <c r="J592" i="1"/>
  <c r="H592" i="1"/>
  <c r="E592" i="1"/>
  <c r="J591" i="1"/>
  <c r="H591" i="1"/>
  <c r="E591" i="1"/>
  <c r="J590" i="1"/>
  <c r="H590" i="1"/>
  <c r="E590" i="1"/>
  <c r="J589" i="1"/>
  <c r="H589" i="1"/>
  <c r="E589" i="1"/>
  <c r="J588" i="1"/>
  <c r="H588" i="1"/>
  <c r="E588" i="1"/>
  <c r="J587" i="1"/>
  <c r="H587" i="1"/>
  <c r="E587" i="1"/>
  <c r="J586" i="1"/>
  <c r="H586" i="1"/>
  <c r="E586" i="1"/>
  <c r="J585" i="1"/>
  <c r="H585" i="1"/>
  <c r="E585" i="1"/>
  <c r="J584" i="1"/>
  <c r="H584" i="1"/>
  <c r="E584" i="1"/>
  <c r="J583" i="1"/>
  <c r="H583" i="1"/>
  <c r="E583" i="1"/>
  <c r="J582" i="1"/>
  <c r="H582" i="1"/>
  <c r="E582" i="1"/>
  <c r="J581" i="1"/>
  <c r="H581" i="1"/>
  <c r="E581" i="1"/>
  <c r="J580" i="1"/>
  <c r="H580" i="1"/>
  <c r="E580" i="1"/>
  <c r="J579" i="1"/>
  <c r="H579" i="1"/>
  <c r="E579" i="1"/>
  <c r="J578" i="1"/>
  <c r="H578" i="1"/>
  <c r="E578" i="1"/>
  <c r="J577" i="1"/>
  <c r="H577" i="1"/>
  <c r="E577" i="1"/>
  <c r="J576" i="1"/>
  <c r="H576" i="1"/>
  <c r="E576" i="1"/>
  <c r="J575" i="1"/>
  <c r="H575" i="1"/>
  <c r="E575" i="1"/>
  <c r="J574" i="1"/>
  <c r="H574" i="1"/>
  <c r="E574" i="1"/>
  <c r="J573" i="1"/>
  <c r="H573" i="1"/>
  <c r="E573" i="1"/>
  <c r="J572" i="1"/>
  <c r="H572" i="1"/>
  <c r="E572" i="1"/>
  <c r="J571" i="1"/>
  <c r="H571" i="1"/>
  <c r="E571" i="1"/>
  <c r="J570" i="1"/>
  <c r="H570" i="1"/>
  <c r="E570" i="1"/>
  <c r="J569" i="1"/>
  <c r="H569" i="1"/>
  <c r="E569" i="1"/>
  <c r="J568" i="1"/>
  <c r="H568" i="1"/>
  <c r="E568" i="1"/>
  <c r="J567" i="1"/>
  <c r="H567" i="1"/>
  <c r="E567" i="1"/>
  <c r="J566" i="1"/>
  <c r="H566" i="1"/>
  <c r="E566" i="1"/>
  <c r="J565" i="1"/>
  <c r="H565" i="1"/>
  <c r="E565" i="1"/>
  <c r="J564" i="1"/>
  <c r="H564" i="1"/>
  <c r="E564" i="1"/>
  <c r="J563" i="1"/>
  <c r="H563" i="1"/>
  <c r="E563" i="1"/>
  <c r="J562" i="1"/>
  <c r="H562" i="1"/>
  <c r="E562" i="1"/>
  <c r="J561" i="1"/>
  <c r="H561" i="1"/>
  <c r="E561" i="1"/>
  <c r="J560" i="1"/>
  <c r="H560" i="1"/>
  <c r="E560" i="1"/>
  <c r="J559" i="1"/>
  <c r="H559" i="1"/>
  <c r="E559" i="1"/>
  <c r="J558" i="1"/>
  <c r="H558" i="1"/>
  <c r="E558" i="1"/>
  <c r="J557" i="1"/>
  <c r="H557" i="1"/>
  <c r="E557" i="1"/>
  <c r="J556" i="1"/>
  <c r="H556" i="1"/>
  <c r="E556" i="1"/>
  <c r="J555" i="1"/>
  <c r="H555" i="1"/>
  <c r="E555" i="1"/>
  <c r="J554" i="1"/>
  <c r="H554" i="1"/>
  <c r="E554" i="1"/>
  <c r="J553" i="1"/>
  <c r="H553" i="1"/>
  <c r="E553" i="1"/>
  <c r="J552" i="1"/>
  <c r="H552" i="1"/>
  <c r="E552" i="1"/>
  <c r="J551" i="1"/>
  <c r="H551" i="1"/>
  <c r="E551" i="1"/>
  <c r="J550" i="1"/>
  <c r="H550" i="1"/>
  <c r="E550" i="1"/>
  <c r="J549" i="1"/>
  <c r="H549" i="1"/>
  <c r="E549" i="1"/>
  <c r="J548" i="1"/>
  <c r="H548" i="1"/>
  <c r="E548" i="1"/>
  <c r="J547" i="1"/>
  <c r="H547" i="1"/>
  <c r="E547" i="1"/>
  <c r="J546" i="1"/>
  <c r="H546" i="1"/>
  <c r="E546" i="1"/>
  <c r="J545" i="1"/>
  <c r="H545" i="1"/>
  <c r="E545" i="1"/>
  <c r="J544" i="1"/>
  <c r="H544" i="1"/>
  <c r="E544" i="1"/>
  <c r="J543" i="1"/>
  <c r="H543" i="1"/>
  <c r="E543" i="1"/>
  <c r="J542" i="1"/>
  <c r="H542" i="1"/>
  <c r="E542" i="1"/>
  <c r="J541" i="1"/>
  <c r="H541" i="1"/>
  <c r="E541" i="1"/>
  <c r="J540" i="1"/>
  <c r="H540" i="1"/>
  <c r="E540" i="1"/>
  <c r="J539" i="1"/>
  <c r="H539" i="1"/>
  <c r="E539" i="1"/>
  <c r="J538" i="1"/>
  <c r="H538" i="1"/>
  <c r="E538" i="1"/>
  <c r="J537" i="1"/>
  <c r="H537" i="1"/>
  <c r="E537" i="1"/>
  <c r="J536" i="1"/>
  <c r="H536" i="1"/>
  <c r="E536" i="1"/>
  <c r="J535" i="1"/>
  <c r="H535" i="1"/>
  <c r="E535" i="1"/>
  <c r="J534" i="1"/>
  <c r="H534" i="1"/>
  <c r="E534" i="1"/>
  <c r="J533" i="1"/>
  <c r="H533" i="1"/>
  <c r="E533" i="1"/>
  <c r="J532" i="1"/>
  <c r="H532" i="1"/>
  <c r="E532" i="1"/>
  <c r="J531" i="1"/>
  <c r="H531" i="1"/>
  <c r="E531" i="1"/>
  <c r="J530" i="1"/>
  <c r="H530" i="1"/>
  <c r="E530" i="1"/>
  <c r="J529" i="1"/>
  <c r="H529" i="1"/>
  <c r="E529" i="1"/>
  <c r="J528" i="1"/>
  <c r="H528" i="1"/>
  <c r="E528" i="1"/>
  <c r="J527" i="1"/>
  <c r="H527" i="1"/>
  <c r="E527" i="1"/>
  <c r="J526" i="1"/>
  <c r="H526" i="1"/>
  <c r="E526" i="1"/>
  <c r="J525" i="1"/>
  <c r="H525" i="1"/>
  <c r="E525" i="1"/>
  <c r="J524" i="1"/>
  <c r="H524" i="1"/>
  <c r="E524" i="1"/>
  <c r="J523" i="1"/>
  <c r="H523" i="1"/>
  <c r="E523" i="1"/>
  <c r="J522" i="1"/>
  <c r="H522" i="1"/>
  <c r="E522" i="1"/>
  <c r="J521" i="1"/>
  <c r="H521" i="1"/>
  <c r="E521" i="1"/>
  <c r="J520" i="1"/>
  <c r="H520" i="1"/>
  <c r="E520" i="1"/>
  <c r="J519" i="1"/>
  <c r="H519" i="1"/>
  <c r="E519" i="1"/>
  <c r="J518" i="1"/>
  <c r="H518" i="1"/>
  <c r="E518" i="1"/>
  <c r="J517" i="1"/>
  <c r="H517" i="1"/>
  <c r="E517" i="1"/>
  <c r="J516" i="1"/>
  <c r="H516" i="1"/>
  <c r="E516" i="1"/>
  <c r="J515" i="1"/>
  <c r="H515" i="1"/>
  <c r="E515" i="1"/>
  <c r="J514" i="1"/>
  <c r="H514" i="1"/>
  <c r="E514" i="1"/>
  <c r="J513" i="1"/>
  <c r="H513" i="1"/>
  <c r="E513" i="1"/>
  <c r="J512" i="1"/>
  <c r="H512" i="1"/>
  <c r="E512" i="1"/>
  <c r="J511" i="1"/>
  <c r="H511" i="1"/>
  <c r="E511" i="1"/>
  <c r="J510" i="1"/>
  <c r="H510" i="1"/>
  <c r="E510" i="1"/>
  <c r="J509" i="1"/>
  <c r="H509" i="1"/>
  <c r="E509" i="1"/>
  <c r="J508" i="1"/>
  <c r="H508" i="1"/>
  <c r="E508" i="1"/>
  <c r="J507" i="1"/>
  <c r="H507" i="1"/>
  <c r="E507" i="1"/>
  <c r="J506" i="1"/>
  <c r="H506" i="1"/>
  <c r="E506" i="1"/>
  <c r="J505" i="1"/>
  <c r="H505" i="1"/>
  <c r="E505" i="1"/>
  <c r="J504" i="1"/>
  <c r="H504" i="1"/>
  <c r="E504" i="1"/>
  <c r="J503" i="1"/>
  <c r="H503" i="1"/>
  <c r="E503" i="1"/>
  <c r="J502" i="1"/>
  <c r="H502" i="1"/>
  <c r="E502" i="1"/>
  <c r="J501" i="1"/>
  <c r="H501" i="1"/>
  <c r="E501" i="1"/>
  <c r="J500" i="1"/>
  <c r="H500" i="1"/>
  <c r="E500" i="1"/>
  <c r="J499" i="1"/>
  <c r="H499" i="1"/>
  <c r="E499" i="1"/>
  <c r="J498" i="1"/>
  <c r="H498" i="1"/>
  <c r="E498" i="1"/>
  <c r="J497" i="1"/>
  <c r="H497" i="1"/>
  <c r="E497" i="1"/>
  <c r="J496" i="1"/>
  <c r="H496" i="1"/>
  <c r="E496" i="1"/>
  <c r="J495" i="1"/>
  <c r="H495" i="1"/>
  <c r="E495" i="1"/>
  <c r="J494" i="1"/>
  <c r="H494" i="1"/>
  <c r="E494" i="1"/>
  <c r="J493" i="1"/>
  <c r="H493" i="1"/>
  <c r="E493" i="1"/>
  <c r="J492" i="1"/>
  <c r="H492" i="1"/>
  <c r="E492" i="1"/>
  <c r="J491" i="1"/>
  <c r="H491" i="1"/>
  <c r="E491" i="1"/>
  <c r="J490" i="1"/>
  <c r="H490" i="1"/>
  <c r="E490" i="1"/>
  <c r="J489" i="1"/>
  <c r="H489" i="1"/>
  <c r="E489" i="1"/>
  <c r="J488" i="1"/>
  <c r="H488" i="1"/>
  <c r="E488" i="1"/>
  <c r="J487" i="1"/>
  <c r="H487" i="1"/>
  <c r="E487" i="1"/>
  <c r="J486" i="1"/>
  <c r="H486" i="1"/>
  <c r="E486" i="1"/>
  <c r="J485" i="1"/>
  <c r="H485" i="1"/>
  <c r="E485" i="1"/>
  <c r="J484" i="1"/>
  <c r="H484" i="1"/>
  <c r="E484" i="1"/>
  <c r="J483" i="1"/>
  <c r="H483" i="1"/>
  <c r="E483" i="1"/>
  <c r="J482" i="1"/>
  <c r="H482" i="1"/>
  <c r="E482" i="1"/>
  <c r="J481" i="1"/>
  <c r="H481" i="1"/>
  <c r="E481" i="1"/>
  <c r="J480" i="1"/>
  <c r="H480" i="1"/>
  <c r="E480" i="1"/>
  <c r="J479" i="1"/>
  <c r="H479" i="1"/>
  <c r="E479" i="1"/>
  <c r="J478" i="1"/>
  <c r="H478" i="1"/>
  <c r="E478" i="1"/>
  <c r="J477" i="1"/>
  <c r="H477" i="1"/>
  <c r="E477" i="1"/>
  <c r="J476" i="1"/>
  <c r="H476" i="1"/>
  <c r="E476" i="1"/>
  <c r="J475" i="1"/>
  <c r="H475" i="1"/>
  <c r="E475" i="1"/>
  <c r="J474" i="1"/>
  <c r="H474" i="1"/>
  <c r="E474" i="1"/>
  <c r="J473" i="1"/>
  <c r="H473" i="1"/>
  <c r="E473" i="1"/>
  <c r="J472" i="1"/>
  <c r="H472" i="1"/>
  <c r="E472" i="1"/>
  <c r="J471" i="1"/>
  <c r="H471" i="1"/>
  <c r="E471" i="1"/>
  <c r="J470" i="1"/>
  <c r="H470" i="1"/>
  <c r="E470" i="1"/>
  <c r="J469" i="1"/>
  <c r="H469" i="1"/>
  <c r="E469" i="1"/>
  <c r="J468" i="1"/>
  <c r="H468" i="1"/>
  <c r="E468" i="1"/>
  <c r="J467" i="1"/>
  <c r="H467" i="1"/>
  <c r="E467" i="1"/>
  <c r="J466" i="1"/>
  <c r="H466" i="1"/>
  <c r="E466" i="1"/>
  <c r="J465" i="1"/>
  <c r="H465" i="1"/>
  <c r="E465" i="1"/>
  <c r="J464" i="1"/>
  <c r="H464" i="1"/>
  <c r="E464" i="1"/>
  <c r="J463" i="1"/>
  <c r="H463" i="1"/>
  <c r="E463" i="1"/>
  <c r="J462" i="1"/>
  <c r="H462" i="1"/>
  <c r="E462" i="1"/>
  <c r="J461" i="1"/>
  <c r="H461" i="1"/>
  <c r="E461" i="1"/>
  <c r="J460" i="1"/>
  <c r="H460" i="1"/>
  <c r="E460" i="1"/>
  <c r="J459" i="1"/>
  <c r="H459" i="1"/>
  <c r="E459" i="1"/>
  <c r="J458" i="1"/>
  <c r="H458" i="1"/>
  <c r="E458" i="1"/>
  <c r="J457" i="1"/>
  <c r="H457" i="1"/>
  <c r="E457" i="1"/>
  <c r="J456" i="1"/>
  <c r="H456" i="1"/>
  <c r="E456" i="1"/>
  <c r="J455" i="1"/>
  <c r="H455" i="1"/>
  <c r="E455" i="1"/>
  <c r="J454" i="1"/>
  <c r="H454" i="1"/>
  <c r="E454" i="1"/>
  <c r="J453" i="1"/>
  <c r="H453" i="1"/>
  <c r="E453" i="1"/>
  <c r="J452" i="1"/>
  <c r="H452" i="1"/>
  <c r="E452" i="1"/>
  <c r="J451" i="1"/>
  <c r="H451" i="1"/>
  <c r="E451" i="1"/>
  <c r="J450" i="1"/>
  <c r="H450" i="1"/>
  <c r="E450" i="1"/>
  <c r="J449" i="1"/>
  <c r="H449" i="1"/>
  <c r="E449" i="1"/>
  <c r="J448" i="1"/>
  <c r="H448" i="1"/>
  <c r="E448" i="1"/>
  <c r="J447" i="1"/>
  <c r="H447" i="1"/>
  <c r="E447" i="1"/>
  <c r="J446" i="1"/>
  <c r="H446" i="1"/>
  <c r="E446" i="1"/>
  <c r="J445" i="1"/>
  <c r="H445" i="1"/>
  <c r="E445" i="1"/>
  <c r="J444" i="1"/>
  <c r="H444" i="1"/>
  <c r="E444" i="1"/>
  <c r="J443" i="1"/>
  <c r="H443" i="1"/>
  <c r="E443" i="1"/>
  <c r="J442" i="1"/>
  <c r="H442" i="1"/>
  <c r="E442" i="1"/>
  <c r="J441" i="1"/>
  <c r="H441" i="1"/>
  <c r="E441" i="1"/>
  <c r="J440" i="1"/>
  <c r="H440" i="1"/>
  <c r="E440" i="1"/>
  <c r="J439" i="1"/>
  <c r="H439" i="1"/>
  <c r="E439" i="1"/>
  <c r="J438" i="1"/>
  <c r="H438" i="1"/>
  <c r="E438" i="1"/>
  <c r="J437" i="1"/>
  <c r="H437" i="1"/>
  <c r="E437" i="1"/>
  <c r="J436" i="1"/>
  <c r="H436" i="1"/>
  <c r="E436" i="1"/>
  <c r="J435" i="1"/>
  <c r="H435" i="1"/>
  <c r="E435" i="1"/>
  <c r="J434" i="1"/>
  <c r="H434" i="1"/>
  <c r="E434" i="1"/>
  <c r="J433" i="1"/>
  <c r="H433" i="1"/>
  <c r="E433" i="1"/>
  <c r="J432" i="1"/>
  <c r="H432" i="1"/>
  <c r="E432" i="1"/>
  <c r="J431" i="1"/>
  <c r="H431" i="1"/>
  <c r="E431" i="1"/>
  <c r="J430" i="1"/>
  <c r="H430" i="1"/>
  <c r="E430" i="1"/>
  <c r="J429" i="1"/>
  <c r="H429" i="1"/>
  <c r="E429" i="1"/>
  <c r="J428" i="1"/>
  <c r="H428" i="1"/>
  <c r="E428" i="1"/>
  <c r="J427" i="1"/>
  <c r="H427" i="1"/>
  <c r="E427" i="1"/>
  <c r="J426" i="1"/>
  <c r="H426" i="1"/>
  <c r="E426" i="1"/>
  <c r="J425" i="1"/>
  <c r="H425" i="1"/>
  <c r="E425" i="1"/>
  <c r="J424" i="1"/>
  <c r="H424" i="1"/>
  <c r="E424" i="1"/>
  <c r="J423" i="1"/>
  <c r="H423" i="1"/>
  <c r="E423" i="1"/>
  <c r="J422" i="1"/>
  <c r="H422" i="1"/>
  <c r="E422" i="1"/>
  <c r="J421" i="1"/>
  <c r="H421" i="1"/>
  <c r="E421" i="1"/>
  <c r="J420" i="1"/>
  <c r="H420" i="1"/>
  <c r="E420" i="1"/>
  <c r="J419" i="1"/>
  <c r="H419" i="1"/>
  <c r="E419" i="1"/>
  <c r="J418" i="1"/>
  <c r="H418" i="1"/>
  <c r="E418" i="1"/>
  <c r="J417" i="1"/>
  <c r="H417" i="1"/>
  <c r="E417" i="1"/>
  <c r="J416" i="1"/>
  <c r="H416" i="1"/>
  <c r="E416" i="1"/>
  <c r="J415" i="1"/>
  <c r="H415" i="1"/>
  <c r="E415" i="1"/>
  <c r="J414" i="1"/>
  <c r="H414" i="1"/>
  <c r="E414" i="1"/>
  <c r="J413" i="1"/>
  <c r="H413" i="1"/>
  <c r="E413" i="1"/>
  <c r="J412" i="1"/>
  <c r="H412" i="1"/>
  <c r="E412" i="1"/>
  <c r="J411" i="1"/>
  <c r="H411" i="1"/>
  <c r="E411" i="1"/>
  <c r="J410" i="1"/>
  <c r="H410" i="1"/>
  <c r="E410" i="1"/>
  <c r="J409" i="1"/>
  <c r="H409" i="1"/>
  <c r="E409" i="1"/>
  <c r="J408" i="1"/>
  <c r="H408" i="1"/>
  <c r="E408" i="1"/>
  <c r="J407" i="1"/>
  <c r="H407" i="1"/>
  <c r="E407" i="1"/>
  <c r="J406" i="1"/>
  <c r="H406" i="1"/>
  <c r="E406" i="1"/>
  <c r="J405" i="1"/>
  <c r="H405" i="1"/>
  <c r="E405" i="1"/>
  <c r="J404" i="1"/>
  <c r="H404" i="1"/>
  <c r="E404" i="1"/>
  <c r="J403" i="1"/>
  <c r="H403" i="1"/>
  <c r="E403" i="1"/>
  <c r="J402" i="1"/>
  <c r="H402" i="1"/>
  <c r="E402" i="1"/>
  <c r="J401" i="1"/>
  <c r="H401" i="1"/>
  <c r="E401" i="1"/>
  <c r="J400" i="1"/>
  <c r="H400" i="1"/>
  <c r="E400" i="1"/>
  <c r="J399" i="1"/>
  <c r="H399" i="1"/>
  <c r="E399" i="1"/>
  <c r="J398" i="1"/>
  <c r="H398" i="1"/>
  <c r="E398" i="1"/>
  <c r="J397" i="1"/>
  <c r="H397" i="1"/>
  <c r="E397" i="1"/>
  <c r="J396" i="1"/>
  <c r="H396" i="1"/>
  <c r="E396" i="1"/>
  <c r="J395" i="1"/>
  <c r="H395" i="1"/>
  <c r="E395" i="1"/>
  <c r="J394" i="1"/>
  <c r="H394" i="1"/>
  <c r="E394" i="1"/>
  <c r="J393" i="1"/>
  <c r="H393" i="1"/>
  <c r="E393" i="1"/>
  <c r="J392" i="1"/>
  <c r="H392" i="1"/>
  <c r="E392" i="1"/>
  <c r="J391" i="1"/>
  <c r="H391" i="1"/>
  <c r="E391" i="1"/>
  <c r="J390" i="1"/>
  <c r="H390" i="1"/>
  <c r="E390" i="1"/>
  <c r="J389" i="1"/>
  <c r="H389" i="1"/>
  <c r="E389" i="1"/>
  <c r="J388" i="1"/>
  <c r="H388" i="1"/>
  <c r="E388" i="1"/>
  <c r="J387" i="1"/>
  <c r="H387" i="1"/>
  <c r="E387" i="1"/>
  <c r="J386" i="1"/>
  <c r="H386" i="1"/>
  <c r="E386" i="1"/>
  <c r="J385" i="1"/>
  <c r="H385" i="1"/>
  <c r="E385" i="1"/>
  <c r="J384" i="1"/>
  <c r="H384" i="1"/>
  <c r="E384" i="1"/>
  <c r="J383" i="1"/>
  <c r="H383" i="1"/>
  <c r="E383" i="1"/>
  <c r="J382" i="1"/>
  <c r="H382" i="1"/>
  <c r="E382" i="1"/>
  <c r="J381" i="1"/>
  <c r="H381" i="1"/>
  <c r="E381" i="1"/>
  <c r="J380" i="1"/>
  <c r="H380" i="1"/>
  <c r="E380" i="1"/>
  <c r="J379" i="1"/>
  <c r="H379" i="1"/>
  <c r="E379" i="1"/>
  <c r="J378" i="1"/>
  <c r="H378" i="1"/>
  <c r="E378" i="1"/>
  <c r="J377" i="1"/>
  <c r="H377" i="1"/>
  <c r="E377" i="1"/>
  <c r="J376" i="1"/>
  <c r="H376" i="1"/>
  <c r="E376" i="1"/>
  <c r="J375" i="1"/>
  <c r="H375" i="1"/>
  <c r="E375" i="1"/>
  <c r="J374" i="1"/>
  <c r="H374" i="1"/>
  <c r="E374" i="1"/>
  <c r="J373" i="1"/>
  <c r="H373" i="1"/>
  <c r="E373" i="1"/>
  <c r="J372" i="1"/>
  <c r="H372" i="1"/>
  <c r="E372" i="1"/>
  <c r="J371" i="1"/>
  <c r="H371" i="1"/>
  <c r="E371" i="1"/>
  <c r="J370" i="1"/>
  <c r="H370" i="1"/>
  <c r="E370" i="1"/>
  <c r="J369" i="1"/>
  <c r="H369" i="1"/>
  <c r="E369" i="1"/>
  <c r="J368" i="1"/>
  <c r="H368" i="1"/>
  <c r="E368" i="1"/>
  <c r="J367" i="1"/>
  <c r="H367" i="1"/>
  <c r="E367" i="1"/>
  <c r="J366" i="1"/>
  <c r="H366" i="1"/>
  <c r="E366" i="1"/>
  <c r="J365" i="1"/>
  <c r="H365" i="1"/>
  <c r="E365" i="1"/>
  <c r="J364" i="1"/>
  <c r="H364" i="1"/>
  <c r="E364" i="1"/>
  <c r="J363" i="1"/>
  <c r="H363" i="1"/>
  <c r="E363" i="1"/>
  <c r="J362" i="1"/>
  <c r="H362" i="1"/>
  <c r="E362" i="1"/>
  <c r="J361" i="1"/>
  <c r="H361" i="1"/>
  <c r="E361" i="1"/>
  <c r="J360" i="1"/>
  <c r="H360" i="1"/>
  <c r="E360" i="1"/>
  <c r="J359" i="1"/>
  <c r="H359" i="1"/>
  <c r="E359" i="1"/>
  <c r="J358" i="1"/>
  <c r="H358" i="1"/>
  <c r="E358" i="1"/>
  <c r="J357" i="1"/>
  <c r="H357" i="1"/>
  <c r="E357" i="1"/>
  <c r="J356" i="1"/>
  <c r="H356" i="1"/>
  <c r="E356" i="1"/>
  <c r="J355" i="1"/>
  <c r="H355" i="1"/>
  <c r="E355" i="1"/>
  <c r="J354" i="1"/>
  <c r="H354" i="1"/>
  <c r="E354" i="1"/>
  <c r="J353" i="1"/>
  <c r="H353" i="1"/>
  <c r="E353" i="1"/>
  <c r="J352" i="1"/>
  <c r="H352" i="1"/>
  <c r="E352" i="1"/>
  <c r="J351" i="1"/>
  <c r="H351" i="1"/>
  <c r="E351" i="1"/>
  <c r="J350" i="1"/>
  <c r="H350" i="1"/>
  <c r="E350" i="1"/>
  <c r="J349" i="1"/>
  <c r="H349" i="1"/>
  <c r="E349" i="1"/>
  <c r="J348" i="1"/>
  <c r="H348" i="1"/>
  <c r="E348" i="1"/>
  <c r="J347" i="1"/>
  <c r="H347" i="1"/>
  <c r="E347" i="1"/>
  <c r="J346" i="1"/>
  <c r="H346" i="1"/>
  <c r="E346" i="1"/>
  <c r="J345" i="1"/>
  <c r="H345" i="1"/>
  <c r="E345" i="1"/>
  <c r="J344" i="1"/>
  <c r="H344" i="1"/>
  <c r="E344" i="1"/>
  <c r="J343" i="1"/>
  <c r="H343" i="1"/>
  <c r="E343" i="1"/>
  <c r="J342" i="1"/>
  <c r="H342" i="1"/>
  <c r="E342" i="1"/>
  <c r="J341" i="1"/>
  <c r="H341" i="1"/>
  <c r="E341" i="1"/>
  <c r="J340" i="1"/>
  <c r="H340" i="1"/>
  <c r="E340" i="1"/>
  <c r="J339" i="1"/>
  <c r="H339" i="1"/>
  <c r="E339" i="1"/>
  <c r="J338" i="1"/>
  <c r="H338" i="1"/>
  <c r="E338" i="1"/>
  <c r="J337" i="1"/>
  <c r="H337" i="1"/>
  <c r="E337" i="1"/>
  <c r="J336" i="1"/>
  <c r="H336" i="1"/>
  <c r="E336" i="1"/>
  <c r="J335" i="1"/>
  <c r="H335" i="1"/>
  <c r="E335" i="1"/>
  <c r="J334" i="1"/>
  <c r="H334" i="1"/>
  <c r="E334" i="1"/>
  <c r="J333" i="1"/>
  <c r="H333" i="1"/>
  <c r="E333" i="1"/>
  <c r="J332" i="1"/>
  <c r="H332" i="1"/>
  <c r="E332" i="1"/>
  <c r="J331" i="1"/>
  <c r="H331" i="1"/>
  <c r="E331" i="1"/>
  <c r="J330" i="1"/>
  <c r="H330" i="1"/>
  <c r="E330" i="1"/>
  <c r="J329" i="1"/>
  <c r="H329" i="1"/>
  <c r="E329" i="1"/>
  <c r="J328" i="1"/>
  <c r="H328" i="1"/>
  <c r="E328" i="1"/>
  <c r="J327" i="1"/>
  <c r="H327" i="1"/>
  <c r="E327" i="1"/>
  <c r="J326" i="1"/>
  <c r="H326" i="1"/>
  <c r="E326" i="1"/>
  <c r="J325" i="1"/>
  <c r="H325" i="1"/>
  <c r="E325" i="1"/>
  <c r="J324" i="1"/>
  <c r="H324" i="1"/>
  <c r="E324" i="1"/>
  <c r="J323" i="1"/>
  <c r="H323" i="1"/>
  <c r="E323" i="1"/>
  <c r="J322" i="1"/>
  <c r="H322" i="1"/>
  <c r="E322" i="1"/>
  <c r="J321" i="1"/>
  <c r="H321" i="1"/>
  <c r="E321" i="1"/>
  <c r="J320" i="1"/>
  <c r="H320" i="1"/>
  <c r="E320" i="1"/>
  <c r="J319" i="1"/>
  <c r="H319" i="1"/>
  <c r="E319" i="1"/>
  <c r="J318" i="1"/>
  <c r="H318" i="1"/>
  <c r="E318" i="1"/>
  <c r="J317" i="1"/>
  <c r="H317" i="1"/>
  <c r="E317" i="1"/>
  <c r="J316" i="1"/>
  <c r="H316" i="1"/>
  <c r="E316" i="1"/>
  <c r="J315" i="1"/>
  <c r="H315" i="1"/>
  <c r="E315" i="1"/>
  <c r="J314" i="1"/>
  <c r="H314" i="1"/>
  <c r="E314" i="1"/>
  <c r="J313" i="1"/>
  <c r="H313" i="1"/>
  <c r="E313" i="1"/>
  <c r="J312" i="1"/>
  <c r="H312" i="1"/>
  <c r="E312" i="1"/>
  <c r="J311" i="1"/>
  <c r="H311" i="1"/>
  <c r="E311" i="1"/>
  <c r="J310" i="1"/>
  <c r="H310" i="1"/>
  <c r="E310" i="1"/>
  <c r="J309" i="1"/>
  <c r="H309" i="1"/>
  <c r="E309" i="1"/>
  <c r="J308" i="1"/>
  <c r="H308" i="1"/>
  <c r="E308" i="1"/>
  <c r="J307" i="1"/>
  <c r="H307" i="1"/>
  <c r="E307" i="1"/>
  <c r="J306" i="1"/>
  <c r="H306" i="1"/>
  <c r="E306" i="1"/>
  <c r="J305" i="1"/>
  <c r="H305" i="1"/>
  <c r="E305" i="1"/>
  <c r="J304" i="1"/>
  <c r="H304" i="1"/>
  <c r="E304" i="1"/>
  <c r="J303" i="1"/>
  <c r="H303" i="1"/>
  <c r="E303" i="1"/>
  <c r="J302" i="1"/>
  <c r="H302" i="1"/>
  <c r="E302" i="1"/>
  <c r="J301" i="1"/>
  <c r="H301" i="1"/>
  <c r="E301" i="1"/>
  <c r="J300" i="1"/>
  <c r="H300" i="1"/>
  <c r="E300" i="1"/>
  <c r="J299" i="1"/>
  <c r="H299" i="1"/>
  <c r="E299" i="1"/>
  <c r="J298" i="1"/>
  <c r="H298" i="1"/>
  <c r="E298" i="1"/>
  <c r="J297" i="1"/>
  <c r="H297" i="1"/>
  <c r="E297" i="1"/>
  <c r="J296" i="1"/>
  <c r="H296" i="1"/>
  <c r="E296" i="1"/>
  <c r="J295" i="1"/>
  <c r="H295" i="1"/>
  <c r="E295" i="1"/>
  <c r="J294" i="1"/>
  <c r="H294" i="1"/>
  <c r="E294" i="1"/>
  <c r="J293" i="1"/>
  <c r="H293" i="1"/>
  <c r="E293" i="1"/>
  <c r="J292" i="1"/>
  <c r="H292" i="1"/>
  <c r="E292" i="1"/>
  <c r="J291" i="1"/>
  <c r="H291" i="1"/>
  <c r="E291" i="1"/>
  <c r="J290" i="1"/>
  <c r="H290" i="1"/>
  <c r="E290" i="1"/>
  <c r="J289" i="1"/>
  <c r="H289" i="1"/>
  <c r="E289" i="1"/>
  <c r="J288" i="1"/>
  <c r="H288" i="1"/>
  <c r="E288" i="1"/>
  <c r="J287" i="1"/>
  <c r="H287" i="1"/>
  <c r="E287" i="1"/>
  <c r="J286" i="1"/>
  <c r="H286" i="1"/>
  <c r="E286" i="1"/>
  <c r="J285" i="1"/>
  <c r="H285" i="1"/>
  <c r="E285" i="1"/>
  <c r="J284" i="1"/>
  <c r="H284" i="1"/>
  <c r="E284" i="1"/>
  <c r="J283" i="1"/>
  <c r="H283" i="1"/>
  <c r="E283" i="1"/>
  <c r="J282" i="1"/>
  <c r="H282" i="1"/>
  <c r="E282" i="1"/>
  <c r="J281" i="1"/>
  <c r="H281" i="1"/>
  <c r="E281" i="1"/>
  <c r="J280" i="1"/>
  <c r="H280" i="1"/>
  <c r="E280" i="1"/>
  <c r="J279" i="1"/>
  <c r="H279" i="1"/>
  <c r="E279" i="1"/>
  <c r="J278" i="1"/>
  <c r="H278" i="1"/>
  <c r="E278" i="1"/>
  <c r="J277" i="1"/>
  <c r="H277" i="1"/>
  <c r="E277" i="1"/>
  <c r="J276" i="1"/>
  <c r="H276" i="1"/>
  <c r="E276" i="1"/>
  <c r="J275" i="1"/>
  <c r="H275" i="1"/>
  <c r="E275" i="1"/>
  <c r="J274" i="1"/>
  <c r="H274" i="1"/>
  <c r="E274" i="1"/>
  <c r="J273" i="1"/>
  <c r="H273" i="1"/>
  <c r="E273" i="1"/>
  <c r="J272" i="1"/>
  <c r="H272" i="1"/>
  <c r="E272" i="1"/>
  <c r="J271" i="1"/>
  <c r="H271" i="1"/>
  <c r="E271" i="1"/>
  <c r="J270" i="1"/>
  <c r="H270" i="1"/>
  <c r="E270" i="1"/>
  <c r="J269" i="1"/>
  <c r="H269" i="1"/>
  <c r="E269" i="1"/>
  <c r="J268" i="1"/>
  <c r="H268" i="1"/>
  <c r="E268" i="1"/>
  <c r="J267" i="1"/>
  <c r="H267" i="1"/>
  <c r="E267" i="1"/>
  <c r="J266" i="1"/>
  <c r="H266" i="1"/>
  <c r="E266" i="1"/>
  <c r="J265" i="1"/>
  <c r="H265" i="1"/>
  <c r="E265" i="1"/>
  <c r="J264" i="1"/>
  <c r="H264" i="1"/>
  <c r="E264" i="1"/>
  <c r="J263" i="1"/>
  <c r="H263" i="1"/>
  <c r="E263" i="1"/>
  <c r="J262" i="1"/>
  <c r="H262" i="1"/>
  <c r="E262" i="1"/>
  <c r="J261" i="1"/>
  <c r="H261" i="1"/>
  <c r="E261" i="1"/>
  <c r="J260" i="1"/>
  <c r="H260" i="1"/>
  <c r="E260" i="1"/>
  <c r="J259" i="1"/>
  <c r="H259" i="1"/>
  <c r="E259" i="1"/>
  <c r="J258" i="1"/>
  <c r="H258" i="1"/>
  <c r="E258" i="1"/>
  <c r="J257" i="1"/>
  <c r="H257" i="1"/>
  <c r="E257" i="1"/>
  <c r="J256" i="1"/>
  <c r="H256" i="1"/>
  <c r="E256" i="1"/>
  <c r="J255" i="1"/>
  <c r="H255" i="1"/>
  <c r="E255" i="1"/>
  <c r="J254" i="1"/>
  <c r="H254" i="1"/>
  <c r="E254" i="1"/>
  <c r="J253" i="1"/>
  <c r="H253" i="1"/>
  <c r="E253" i="1"/>
  <c r="J252" i="1"/>
  <c r="H252" i="1"/>
  <c r="E252" i="1"/>
  <c r="J251" i="1"/>
  <c r="H251" i="1"/>
  <c r="E251" i="1"/>
  <c r="J250" i="1"/>
  <c r="H250" i="1"/>
  <c r="E250" i="1"/>
  <c r="J249" i="1"/>
  <c r="H249" i="1"/>
  <c r="E249" i="1"/>
  <c r="J248" i="1"/>
  <c r="H248" i="1"/>
  <c r="E248" i="1"/>
  <c r="J247" i="1"/>
  <c r="H247" i="1"/>
  <c r="E247" i="1"/>
  <c r="J246" i="1"/>
  <c r="H246" i="1"/>
  <c r="E246" i="1"/>
  <c r="J245" i="1"/>
  <c r="H245" i="1"/>
  <c r="E245" i="1"/>
  <c r="J244" i="1"/>
  <c r="H244" i="1"/>
  <c r="E244" i="1"/>
  <c r="J243" i="1"/>
  <c r="H243" i="1"/>
  <c r="E243" i="1"/>
  <c r="J242" i="1"/>
  <c r="H242" i="1"/>
  <c r="E242" i="1"/>
  <c r="J241" i="1"/>
  <c r="H241" i="1"/>
  <c r="E241" i="1"/>
  <c r="J240" i="1"/>
  <c r="H240" i="1"/>
  <c r="E240" i="1"/>
  <c r="J239" i="1"/>
  <c r="H239" i="1"/>
  <c r="E239" i="1"/>
  <c r="J238" i="1"/>
  <c r="H238" i="1"/>
  <c r="E238" i="1"/>
  <c r="J237" i="1"/>
  <c r="H237" i="1"/>
  <c r="E237" i="1"/>
  <c r="J236" i="1"/>
  <c r="H236" i="1"/>
  <c r="E236" i="1"/>
  <c r="J235" i="1"/>
  <c r="H235" i="1"/>
  <c r="E235" i="1"/>
  <c r="J234" i="1"/>
  <c r="H234" i="1"/>
  <c r="E234" i="1"/>
  <c r="J233" i="1"/>
  <c r="H233" i="1"/>
  <c r="E233" i="1"/>
  <c r="J232" i="1"/>
  <c r="H232" i="1"/>
  <c r="E232" i="1"/>
  <c r="J231" i="1"/>
  <c r="H231" i="1"/>
  <c r="E231" i="1"/>
  <c r="J230" i="1"/>
  <c r="H230" i="1"/>
  <c r="E230" i="1"/>
  <c r="J229" i="1"/>
  <c r="H229" i="1"/>
  <c r="E229" i="1"/>
  <c r="J228" i="1"/>
  <c r="H228" i="1"/>
  <c r="E228" i="1"/>
  <c r="J227" i="1"/>
  <c r="H227" i="1"/>
  <c r="E227" i="1"/>
  <c r="J226" i="1"/>
  <c r="H226" i="1"/>
  <c r="E226" i="1"/>
  <c r="J225" i="1"/>
  <c r="H225" i="1"/>
  <c r="E225" i="1"/>
  <c r="J224" i="1"/>
  <c r="H224" i="1"/>
  <c r="E224" i="1"/>
  <c r="J223" i="1"/>
  <c r="H223" i="1"/>
  <c r="E223" i="1"/>
  <c r="J222" i="1"/>
  <c r="H222" i="1"/>
  <c r="E222" i="1"/>
  <c r="J221" i="1"/>
  <c r="H221" i="1"/>
  <c r="E221" i="1"/>
  <c r="J220" i="1"/>
  <c r="H220" i="1"/>
  <c r="E220" i="1"/>
  <c r="J219" i="1"/>
  <c r="H219" i="1"/>
  <c r="E219" i="1"/>
  <c r="J218" i="1"/>
  <c r="H218" i="1"/>
  <c r="E218" i="1"/>
  <c r="J217" i="1"/>
  <c r="H217" i="1"/>
  <c r="E217" i="1"/>
  <c r="J216" i="1"/>
  <c r="H216" i="1"/>
  <c r="E216" i="1"/>
  <c r="J215" i="1"/>
  <c r="H215" i="1"/>
  <c r="E215" i="1"/>
  <c r="J214" i="1"/>
  <c r="H214" i="1"/>
  <c r="E214" i="1"/>
  <c r="J213" i="1"/>
  <c r="H213" i="1"/>
  <c r="E213" i="1"/>
  <c r="J212" i="1"/>
  <c r="H212" i="1"/>
  <c r="E212" i="1"/>
  <c r="J211" i="1"/>
  <c r="H211" i="1"/>
  <c r="E211" i="1"/>
  <c r="J210" i="1"/>
  <c r="H210" i="1"/>
  <c r="E210" i="1"/>
  <c r="J209" i="1"/>
  <c r="H209" i="1"/>
  <c r="E209" i="1"/>
  <c r="J208" i="1"/>
  <c r="H208" i="1"/>
  <c r="E208" i="1"/>
  <c r="J207" i="1"/>
  <c r="H207" i="1"/>
  <c r="E207" i="1"/>
  <c r="J206" i="1"/>
  <c r="H206" i="1"/>
  <c r="E206" i="1"/>
  <c r="J205" i="1"/>
  <c r="H205" i="1"/>
  <c r="E205" i="1"/>
  <c r="J204" i="1"/>
  <c r="H204" i="1"/>
  <c r="E204" i="1"/>
  <c r="J203" i="1"/>
  <c r="H203" i="1"/>
  <c r="E203" i="1"/>
  <c r="J202" i="1"/>
  <c r="H202" i="1"/>
  <c r="E202" i="1"/>
  <c r="J201" i="1"/>
  <c r="H201" i="1"/>
  <c r="E201" i="1"/>
  <c r="J200" i="1"/>
  <c r="H200" i="1"/>
  <c r="E200" i="1"/>
  <c r="J199" i="1"/>
  <c r="H199" i="1"/>
  <c r="E199" i="1"/>
  <c r="J198" i="1"/>
  <c r="H198" i="1"/>
  <c r="E198" i="1"/>
  <c r="J197" i="1"/>
  <c r="H197" i="1"/>
  <c r="E197" i="1"/>
  <c r="J196" i="1"/>
  <c r="H196" i="1"/>
  <c r="E196" i="1"/>
  <c r="J195" i="1"/>
  <c r="H195" i="1"/>
  <c r="E195" i="1"/>
  <c r="J194" i="1"/>
  <c r="H194" i="1"/>
  <c r="E194" i="1"/>
  <c r="J193" i="1"/>
  <c r="H193" i="1"/>
  <c r="E193" i="1"/>
  <c r="J192" i="1"/>
  <c r="H192" i="1"/>
  <c r="E192" i="1"/>
  <c r="J191" i="1"/>
  <c r="H191" i="1"/>
  <c r="E191" i="1"/>
  <c r="J190" i="1"/>
  <c r="H190" i="1"/>
  <c r="E190" i="1"/>
  <c r="J189" i="1"/>
  <c r="H189" i="1"/>
  <c r="E189" i="1"/>
  <c r="J188" i="1"/>
  <c r="H188" i="1"/>
  <c r="E188" i="1"/>
  <c r="J187" i="1"/>
  <c r="H187" i="1"/>
  <c r="E187" i="1"/>
  <c r="J186" i="1"/>
  <c r="H186" i="1"/>
  <c r="E186" i="1"/>
  <c r="J185" i="1"/>
  <c r="H185" i="1"/>
  <c r="E185" i="1"/>
  <c r="J184" i="1"/>
  <c r="H184" i="1"/>
  <c r="E184" i="1"/>
  <c r="J183" i="1"/>
  <c r="H183" i="1"/>
  <c r="E183" i="1"/>
  <c r="J182" i="1"/>
  <c r="H182" i="1"/>
  <c r="E182" i="1"/>
  <c r="J181" i="1"/>
  <c r="H181" i="1"/>
  <c r="E181" i="1"/>
  <c r="J180" i="1"/>
  <c r="H180" i="1"/>
  <c r="E180" i="1"/>
  <c r="J179" i="1"/>
  <c r="H179" i="1"/>
  <c r="E179" i="1"/>
  <c r="J178" i="1"/>
  <c r="H178" i="1"/>
  <c r="E178" i="1"/>
  <c r="J177" i="1"/>
  <c r="H177" i="1"/>
  <c r="E177" i="1"/>
  <c r="J176" i="1"/>
  <c r="H176" i="1"/>
  <c r="E176" i="1"/>
  <c r="J175" i="1"/>
  <c r="H175" i="1"/>
  <c r="E175" i="1"/>
  <c r="J174" i="1"/>
  <c r="H174" i="1"/>
  <c r="E174" i="1"/>
  <c r="J173" i="1"/>
  <c r="H173" i="1"/>
  <c r="E173" i="1"/>
  <c r="J172" i="1"/>
  <c r="H172" i="1"/>
  <c r="E172" i="1"/>
  <c r="J171" i="1"/>
  <c r="H171" i="1"/>
  <c r="E171" i="1"/>
  <c r="J170" i="1"/>
  <c r="H170" i="1"/>
  <c r="E170" i="1"/>
  <c r="J169" i="1"/>
  <c r="H169" i="1"/>
  <c r="E169" i="1"/>
  <c r="J168" i="1"/>
  <c r="H168" i="1"/>
  <c r="E168" i="1"/>
  <c r="J167" i="1"/>
  <c r="H167" i="1"/>
  <c r="E167" i="1"/>
  <c r="J166" i="1"/>
  <c r="H166" i="1"/>
  <c r="E166" i="1"/>
  <c r="J165" i="1"/>
  <c r="H165" i="1"/>
  <c r="E165" i="1"/>
  <c r="J164" i="1"/>
  <c r="H164" i="1"/>
  <c r="E164" i="1"/>
  <c r="J163" i="1"/>
  <c r="H163" i="1"/>
  <c r="E163" i="1"/>
  <c r="J162" i="1"/>
  <c r="H162" i="1"/>
  <c r="E162" i="1"/>
  <c r="J161" i="1"/>
  <c r="H161" i="1"/>
  <c r="E161" i="1"/>
  <c r="J160" i="1"/>
  <c r="H160" i="1"/>
  <c r="E160" i="1"/>
  <c r="J159" i="1"/>
  <c r="H159" i="1"/>
  <c r="E159" i="1"/>
  <c r="J158" i="1"/>
  <c r="H158" i="1"/>
  <c r="E158" i="1"/>
  <c r="J157" i="1"/>
  <c r="H157" i="1"/>
  <c r="E157" i="1"/>
  <c r="J156" i="1"/>
  <c r="H156" i="1"/>
  <c r="E156" i="1"/>
  <c r="J155" i="1"/>
  <c r="H155" i="1"/>
  <c r="E155" i="1"/>
  <c r="J154" i="1"/>
  <c r="H154" i="1"/>
  <c r="E154" i="1"/>
  <c r="J153" i="1"/>
  <c r="H153" i="1"/>
  <c r="E153" i="1"/>
  <c r="J152" i="1"/>
  <c r="H152" i="1"/>
  <c r="E152" i="1"/>
  <c r="J151" i="1"/>
  <c r="H151" i="1"/>
  <c r="E151" i="1"/>
  <c r="J150" i="1"/>
  <c r="H150" i="1"/>
  <c r="E150" i="1"/>
  <c r="J149" i="1"/>
  <c r="H149" i="1"/>
  <c r="E149" i="1"/>
  <c r="J148" i="1"/>
  <c r="H148" i="1"/>
  <c r="E148" i="1"/>
  <c r="J147" i="1"/>
  <c r="H147" i="1"/>
  <c r="E147" i="1"/>
  <c r="J146" i="1"/>
  <c r="H146" i="1"/>
  <c r="E146" i="1"/>
  <c r="J145" i="1"/>
  <c r="H145" i="1"/>
  <c r="E145" i="1"/>
  <c r="J144" i="1"/>
  <c r="H144" i="1"/>
  <c r="E144" i="1"/>
  <c r="J143" i="1"/>
  <c r="H143" i="1"/>
  <c r="E143" i="1"/>
  <c r="J142" i="1"/>
  <c r="H142" i="1"/>
  <c r="E142" i="1"/>
  <c r="J141" i="1"/>
  <c r="H141" i="1"/>
  <c r="E141" i="1"/>
  <c r="J140" i="1"/>
  <c r="H140" i="1"/>
  <c r="E140" i="1"/>
  <c r="J139" i="1"/>
  <c r="H139" i="1"/>
  <c r="E139" i="1"/>
  <c r="J138" i="1"/>
  <c r="H138" i="1"/>
  <c r="E138" i="1"/>
  <c r="J137" i="1"/>
  <c r="H137" i="1"/>
  <c r="E137" i="1"/>
  <c r="J136" i="1"/>
  <c r="H136" i="1"/>
  <c r="E136" i="1"/>
  <c r="J135" i="1"/>
  <c r="H135" i="1"/>
  <c r="E135" i="1"/>
  <c r="J134" i="1"/>
  <c r="H134" i="1"/>
  <c r="E134" i="1"/>
  <c r="J133" i="1"/>
  <c r="H133" i="1"/>
  <c r="E133" i="1"/>
  <c r="J132" i="1"/>
  <c r="H132" i="1"/>
  <c r="E132" i="1"/>
  <c r="J131" i="1"/>
  <c r="H131" i="1"/>
  <c r="E131" i="1"/>
  <c r="J130" i="1"/>
  <c r="H130" i="1"/>
  <c r="E130" i="1"/>
  <c r="J129" i="1"/>
  <c r="H129" i="1"/>
  <c r="E129" i="1"/>
  <c r="J128" i="1"/>
  <c r="H128" i="1"/>
  <c r="E128" i="1"/>
  <c r="J127" i="1"/>
  <c r="H127" i="1"/>
  <c r="E127" i="1"/>
  <c r="J126" i="1"/>
  <c r="H126" i="1"/>
  <c r="E126" i="1"/>
  <c r="J125" i="1"/>
  <c r="H125" i="1"/>
  <c r="E125" i="1"/>
  <c r="J124" i="1"/>
  <c r="H124" i="1"/>
  <c r="E124" i="1"/>
  <c r="J123" i="1"/>
  <c r="H123" i="1"/>
  <c r="E123" i="1"/>
  <c r="J122" i="1"/>
  <c r="H122" i="1"/>
  <c r="E122" i="1"/>
  <c r="J121" i="1"/>
  <c r="H121" i="1"/>
  <c r="E121" i="1"/>
  <c r="J120" i="1"/>
  <c r="H120" i="1"/>
  <c r="E120" i="1"/>
  <c r="J119" i="1"/>
  <c r="H119" i="1"/>
  <c r="E119" i="1"/>
  <c r="J118" i="1"/>
  <c r="H118" i="1"/>
  <c r="E118" i="1"/>
  <c r="J117" i="1"/>
  <c r="H117" i="1"/>
  <c r="E117" i="1"/>
  <c r="J116" i="1"/>
  <c r="H116" i="1"/>
  <c r="E116" i="1"/>
  <c r="J115" i="1"/>
  <c r="H115" i="1"/>
  <c r="E115" i="1"/>
  <c r="J114" i="1"/>
  <c r="H114" i="1"/>
  <c r="E114" i="1"/>
  <c r="J113" i="1"/>
  <c r="H113" i="1"/>
  <c r="E113" i="1"/>
  <c r="J112" i="1"/>
  <c r="H112" i="1"/>
  <c r="E112" i="1"/>
  <c r="J111" i="1"/>
  <c r="H111" i="1"/>
  <c r="E111" i="1"/>
  <c r="J110" i="1"/>
  <c r="H110" i="1"/>
  <c r="E110" i="1"/>
  <c r="J109" i="1"/>
  <c r="H109" i="1"/>
  <c r="E109" i="1"/>
  <c r="J108" i="1"/>
  <c r="H108" i="1"/>
  <c r="E108" i="1"/>
  <c r="J107" i="1"/>
  <c r="H107" i="1"/>
  <c r="E107" i="1"/>
  <c r="J106" i="1"/>
  <c r="H106" i="1"/>
  <c r="E106" i="1"/>
  <c r="J105" i="1"/>
  <c r="H105" i="1"/>
  <c r="E105" i="1"/>
  <c r="J104" i="1"/>
  <c r="H104" i="1"/>
  <c r="E104" i="1"/>
  <c r="J103" i="1"/>
  <c r="H103" i="1"/>
  <c r="E103" i="1"/>
  <c r="J102" i="1"/>
  <c r="H102" i="1"/>
  <c r="E102" i="1"/>
  <c r="J101" i="1"/>
  <c r="H101" i="1"/>
  <c r="E101" i="1"/>
  <c r="J100" i="1"/>
  <c r="H100" i="1"/>
  <c r="E100" i="1"/>
  <c r="J99" i="1"/>
  <c r="H99" i="1"/>
  <c r="E99" i="1"/>
  <c r="J98" i="1"/>
  <c r="H98" i="1"/>
  <c r="E98" i="1"/>
  <c r="J97" i="1"/>
  <c r="H97" i="1"/>
  <c r="E97" i="1"/>
  <c r="J96" i="1"/>
  <c r="H96" i="1"/>
  <c r="E96" i="1"/>
  <c r="J95" i="1"/>
  <c r="H95" i="1"/>
  <c r="E95" i="1"/>
  <c r="J94" i="1"/>
  <c r="H94" i="1"/>
  <c r="E94" i="1"/>
  <c r="J93" i="1"/>
  <c r="H93" i="1"/>
  <c r="E93" i="1"/>
  <c r="J92" i="1"/>
  <c r="H92" i="1"/>
  <c r="E92" i="1"/>
  <c r="J91" i="1"/>
  <c r="H91" i="1"/>
  <c r="E91" i="1"/>
  <c r="J90" i="1"/>
  <c r="H90" i="1"/>
  <c r="E90" i="1"/>
  <c r="J89" i="1"/>
  <c r="H89" i="1"/>
  <c r="E89" i="1"/>
  <c r="J88" i="1"/>
  <c r="H88" i="1"/>
  <c r="E88" i="1"/>
  <c r="J87" i="1"/>
  <c r="H87" i="1"/>
  <c r="E87" i="1"/>
  <c r="J86" i="1"/>
  <c r="H86" i="1"/>
  <c r="E86" i="1"/>
  <c r="J85" i="1"/>
  <c r="H85" i="1"/>
  <c r="E85" i="1"/>
  <c r="J84" i="1"/>
  <c r="H84" i="1"/>
  <c r="E84" i="1"/>
  <c r="J83" i="1"/>
  <c r="H83" i="1"/>
  <c r="E83" i="1"/>
  <c r="J82" i="1"/>
  <c r="H82" i="1"/>
  <c r="E82" i="1"/>
  <c r="J81" i="1"/>
  <c r="H81" i="1"/>
  <c r="E81" i="1"/>
  <c r="J80" i="1"/>
  <c r="H80" i="1"/>
  <c r="E80" i="1"/>
  <c r="J79" i="1"/>
  <c r="H79" i="1"/>
  <c r="E79" i="1"/>
  <c r="J78" i="1"/>
  <c r="H78" i="1"/>
  <c r="E78" i="1"/>
  <c r="J77" i="1"/>
  <c r="H77" i="1"/>
  <c r="E77" i="1"/>
  <c r="J76" i="1"/>
  <c r="H76" i="1"/>
  <c r="E76" i="1"/>
  <c r="J75" i="1"/>
  <c r="H75" i="1"/>
  <c r="E75" i="1"/>
  <c r="J74" i="1"/>
  <c r="H74" i="1"/>
  <c r="E74" i="1"/>
  <c r="J73" i="1"/>
  <c r="H73" i="1"/>
  <c r="E73" i="1"/>
  <c r="J72" i="1"/>
  <c r="H72" i="1"/>
  <c r="E72" i="1"/>
  <c r="J71" i="1"/>
  <c r="H71" i="1"/>
  <c r="E71" i="1"/>
  <c r="J70" i="1"/>
  <c r="H70" i="1"/>
  <c r="E70" i="1"/>
  <c r="J69" i="1"/>
  <c r="H69" i="1"/>
  <c r="E69" i="1"/>
  <c r="J68" i="1"/>
  <c r="H68" i="1"/>
  <c r="E68" i="1"/>
  <c r="J67" i="1"/>
  <c r="H67" i="1"/>
  <c r="E67" i="1"/>
  <c r="J66" i="1"/>
  <c r="H66" i="1"/>
  <c r="E66" i="1"/>
  <c r="J65" i="1"/>
  <c r="H65" i="1"/>
  <c r="E65" i="1"/>
  <c r="J64" i="1"/>
  <c r="H64" i="1"/>
  <c r="E64" i="1"/>
  <c r="J63" i="1"/>
  <c r="H63" i="1"/>
  <c r="E63" i="1"/>
  <c r="J62" i="1"/>
  <c r="H62" i="1"/>
  <c r="E62" i="1"/>
  <c r="J61" i="1"/>
  <c r="H61" i="1"/>
  <c r="E61" i="1"/>
  <c r="J60" i="1"/>
  <c r="H60" i="1"/>
  <c r="E60" i="1"/>
  <c r="J59" i="1"/>
  <c r="H59" i="1"/>
  <c r="E59" i="1"/>
  <c r="J58" i="1"/>
  <c r="H58" i="1"/>
  <c r="E58" i="1"/>
  <c r="J57" i="1"/>
  <c r="H57" i="1"/>
  <c r="E57" i="1"/>
  <c r="J56" i="1"/>
  <c r="H56" i="1"/>
  <c r="E56" i="1"/>
  <c r="J55" i="1"/>
  <c r="H55" i="1"/>
  <c r="E55" i="1"/>
  <c r="J54" i="1"/>
  <c r="H54" i="1"/>
  <c r="E54" i="1"/>
  <c r="J53" i="1"/>
  <c r="H53" i="1"/>
  <c r="E53" i="1"/>
  <c r="J52" i="1"/>
  <c r="H52" i="1"/>
  <c r="E52" i="1"/>
  <c r="J51" i="1"/>
  <c r="H51" i="1"/>
  <c r="E51" i="1"/>
  <c r="J50" i="1"/>
  <c r="H50" i="1"/>
  <c r="E50" i="1"/>
  <c r="J49" i="1"/>
  <c r="H49" i="1"/>
  <c r="E49" i="1"/>
  <c r="J48" i="1"/>
  <c r="H48" i="1"/>
  <c r="E48" i="1"/>
  <c r="J47" i="1"/>
  <c r="H47" i="1"/>
  <c r="E47" i="1"/>
  <c r="J46" i="1"/>
  <c r="H46" i="1"/>
  <c r="E46" i="1"/>
  <c r="J45" i="1"/>
  <c r="H45" i="1"/>
  <c r="E45" i="1"/>
  <c r="J44" i="1"/>
  <c r="H44" i="1"/>
  <c r="E44" i="1"/>
  <c r="J43" i="1"/>
  <c r="H43" i="1"/>
  <c r="E43" i="1"/>
  <c r="J42" i="1"/>
  <c r="H42" i="1"/>
  <c r="E42" i="1"/>
  <c r="J41" i="1"/>
  <c r="H41" i="1"/>
  <c r="E41" i="1"/>
  <c r="J40" i="1"/>
  <c r="H40" i="1"/>
  <c r="E40" i="1"/>
  <c r="J39" i="1"/>
  <c r="H39" i="1"/>
  <c r="E39" i="1"/>
  <c r="J38" i="1"/>
  <c r="H38" i="1"/>
  <c r="E38" i="1"/>
  <c r="J37" i="1"/>
  <c r="H37" i="1"/>
  <c r="E37" i="1"/>
  <c r="J36" i="1"/>
  <c r="H36" i="1"/>
  <c r="E36" i="1"/>
  <c r="J35" i="1"/>
  <c r="H35" i="1"/>
  <c r="E35" i="1"/>
  <c r="J34" i="1"/>
  <c r="H34" i="1"/>
  <c r="E34" i="1"/>
  <c r="J33" i="1"/>
  <c r="H33" i="1"/>
  <c r="E33" i="1"/>
  <c r="J32" i="1"/>
  <c r="H32" i="1"/>
  <c r="E32" i="1"/>
  <c r="J31" i="1"/>
  <c r="H31" i="1"/>
  <c r="E31" i="1"/>
  <c r="J30" i="1"/>
  <c r="H30" i="1"/>
  <c r="E30" i="1"/>
  <c r="J29" i="1"/>
  <c r="H29" i="1"/>
  <c r="E29" i="1"/>
  <c r="J28" i="1"/>
  <c r="H28" i="1"/>
  <c r="E28" i="1"/>
  <c r="J27" i="1"/>
  <c r="H27" i="1"/>
  <c r="E27" i="1"/>
  <c r="J26" i="1"/>
  <c r="H26" i="1"/>
  <c r="E26" i="1"/>
  <c r="J25" i="1"/>
  <c r="H25" i="1"/>
  <c r="E25" i="1"/>
  <c r="J24" i="1"/>
  <c r="H24" i="1"/>
  <c r="E24" i="1"/>
  <c r="J23" i="1"/>
  <c r="H23" i="1"/>
  <c r="E23" i="1"/>
  <c r="J22" i="1"/>
  <c r="H22" i="1"/>
  <c r="E22" i="1"/>
  <c r="J21" i="1"/>
  <c r="H21" i="1"/>
  <c r="E21" i="1"/>
  <c r="J20" i="1"/>
  <c r="H20" i="1"/>
  <c r="E20" i="1"/>
  <c r="J19" i="1"/>
  <c r="H19" i="1"/>
  <c r="E19" i="1"/>
  <c r="J18" i="1"/>
  <c r="H18" i="1"/>
  <c r="E18" i="1"/>
  <c r="J17" i="1"/>
  <c r="H17" i="1"/>
  <c r="E17" i="1"/>
  <c r="J16" i="1"/>
  <c r="H16" i="1"/>
  <c r="E16" i="1"/>
  <c r="J15" i="1"/>
  <c r="H15" i="1"/>
  <c r="E15" i="1"/>
  <c r="J14" i="1"/>
  <c r="H14" i="1"/>
  <c r="E14" i="1"/>
  <c r="J13" i="1"/>
  <c r="H13" i="1"/>
  <c r="E13" i="1"/>
  <c r="J12" i="1"/>
  <c r="H12" i="1"/>
  <c r="E12" i="1"/>
  <c r="J11" i="1"/>
  <c r="H11" i="1"/>
  <c r="E11" i="1"/>
  <c r="J10" i="1"/>
  <c r="H10" i="1"/>
  <c r="E10" i="1"/>
  <c r="J9" i="1"/>
  <c r="H9" i="1"/>
  <c r="E9" i="1"/>
  <c r="J8" i="1"/>
  <c r="H8" i="1"/>
  <c r="E8" i="1"/>
  <c r="J7" i="1"/>
  <c r="H7" i="1"/>
  <c r="E7" i="1"/>
  <c r="J6" i="1"/>
  <c r="H6" i="1"/>
  <c r="E6" i="1"/>
  <c r="J5" i="1"/>
  <c r="H5" i="1"/>
  <c r="E5" i="1"/>
  <c r="J4" i="1"/>
  <c r="H4" i="1"/>
  <c r="E4" i="1"/>
  <c r="J3" i="1"/>
  <c r="H3" i="1"/>
  <c r="E3" i="1"/>
  <c r="J2" i="1"/>
  <c r="H2" i="1"/>
  <c r="E2" i="1"/>
</calcChain>
</file>

<file path=xl/sharedStrings.xml><?xml version="1.0" encoding="utf-8"?>
<sst xmlns="http://schemas.openxmlformats.org/spreadsheetml/2006/main" count="45" uniqueCount="25">
  <si>
    <t>TEMP</t>
  </si>
  <si>
    <t>Sum of HUMIDITY</t>
  </si>
  <si>
    <t>(blank)</t>
  </si>
  <si>
    <t>Grand Total</t>
  </si>
  <si>
    <t>REGISTERED</t>
  </si>
  <si>
    <t>(ALL)</t>
  </si>
  <si>
    <t>CASUAL</t>
  </si>
  <si>
    <t>Sum of COUNT</t>
  </si>
  <si>
    <t>Sum of REGISTERED</t>
  </si>
  <si>
    <t>WINDSPEED</t>
  </si>
  <si>
    <t>Sum of ATEMP</t>
  </si>
  <si>
    <t>HOUR</t>
  </si>
  <si>
    <t>INSTANT</t>
  </si>
  <si>
    <t>DATES</t>
  </si>
  <si>
    <t>SEASON</t>
  </si>
  <si>
    <t>YEAR</t>
  </si>
  <si>
    <t>MONTH</t>
  </si>
  <si>
    <t>HOLIDAY</t>
  </si>
  <si>
    <t>WEEKDAY NAME</t>
  </si>
  <si>
    <t>WEEKDAY</t>
  </si>
  <si>
    <t>WEATHERSHIT</t>
  </si>
  <si>
    <t>HUMIDITY</t>
  </si>
  <si>
    <t>ATEMP</t>
  </si>
  <si>
    <t>COUNT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</si>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</sst>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1"/>
      <color theme="1"/>
      <name val="Calibri"/>
      <charset val="134"/>
    </font>
    <font>
      <b/>
      <sz val="14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1" xfId="0" applyFont="1" applyFill="1" applyBorder="1" applyAlignment="1">
      <alignment horizontal="justify" vertical="center" wrapText="1" readingOrder="1"/>
    </xf>
    <xf numFmtId="0" fontId="1" fillId="4" borderId="1" xfId="0" applyFont="1" applyFill="1" applyBorder="1" applyAlignment="1">
      <alignment horizontal="justify" vertical="center" wrapText="1" readingOrder="1"/>
    </xf>
    <xf numFmtId="14" fontId="1" fillId="4" borderId="1" xfId="0" applyNumberFormat="1" applyFont="1" applyFill="1" applyBorder="1" applyAlignment="1">
      <alignment horizontal="justify" vertical="center" wrapText="1" readingOrder="1"/>
    </xf>
    <xf numFmtId="0" fontId="2" fillId="3" borderId="1" xfId="0" applyFont="1" applyFill="1" applyBorder="1" applyAlignment="1">
      <alignment horizontal="justify" vertical="center" wrapText="1" readingOrder="1"/>
    </xf>
    <xf numFmtId="0" fontId="2" fillId="4" borderId="1" xfId="0" applyFont="1" applyFill="1" applyBorder="1" applyAlignment="1">
      <alignment horizontal="justify" vertical="center" wrapText="1" readingOrder="1"/>
    </xf>
    <xf numFmtId="0" fontId="2" fillId="0" borderId="1" xfId="0" applyFont="1" applyBorder="1" applyAlignment="1">
      <alignment wrapText="1" readingOrder="1"/>
    </xf>
    <xf numFmtId="0" fontId="2" fillId="0" borderId="1" xfId="0" applyFont="1" applyBorder="1" applyAlignment="1">
      <alignment horizontal="right" wrapText="1" readingOrder="1"/>
    </xf>
    <xf numFmtId="0" fontId="1" fillId="4" borderId="1" xfId="0" applyFont="1" applyFill="1" applyBorder="1" applyAlignment="1">
      <alignment horizontal="justify" wrapText="1" readingOrder="1"/>
    </xf>
    <xf numFmtId="14" fontId="1" fillId="4" borderId="1" xfId="0" applyNumberFormat="1" applyFont="1" applyFill="1" applyBorder="1" applyAlignment="1">
      <alignment horizontal="justify" wrapText="1" readingOrder="1"/>
    </xf>
    <xf numFmtId="0" fontId="1" fillId="2" borderId="1" xfId="0" applyFont="1" applyFill="1" applyBorder="1" applyAlignment="1">
      <alignment horizontal="justify" vertical="center" wrapText="1" readingOrder="1"/>
    </xf>
    <xf numFmtId="0" fontId="1" fillId="0" borderId="1" xfId="0" applyFont="1" applyBorder="1" applyAlignment="1">
      <alignment horizontal="justify" vertical="center" wrapText="1" readingOrder="1"/>
    </xf>
    <xf numFmtId="0" fontId="0" fillId="5" borderId="0" xfId="0" applyFill="1">
      <alignment vertical="center"/>
    </xf>
    <xf numFmtId="0" fontId="3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</cellXfs>
  <cellStyles count="1">
    <cellStyle name="Normal" xfId="0" builtinId="0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11"/>
      <tableStyleElement type="totalRow" dxfId="10"/>
      <tableStyleElement type="firstRowStripe" dxfId="9"/>
      <tableStyleElement type="firstColumnStripe" dxfId="8"/>
      <tableStyleElement type="firstSubtotalRow" dxfId="7"/>
      <tableStyleElement type="secondSubtotalRow" dxfId="6"/>
      <tableStyleElement type="firstRowSubheading" dxfId="5"/>
      <tableStyleElement type="secondRowSubheading" dxfId="4"/>
      <tableStyleElement type="pageFieldLabels" dxfId="3"/>
      <tableStyleElement type="pageFieldValues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[NIDHIRAJ EXCEL PROJECT.xlsx]Sheet3!PivotTable1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Sheet3!$A$4:$A$28</c:f>
              <c:strCache>
                <c:ptCount val="24"/>
                <c:pt idx="0">
                  <c:v>0.02</c:v>
                </c:pt>
                <c:pt idx="1">
                  <c:v>0.04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0.12</c:v>
                </c:pt>
                <c:pt idx="6">
                  <c:v>0.14</c:v>
                </c:pt>
                <c:pt idx="7">
                  <c:v>0.16</c:v>
                </c:pt>
                <c:pt idx="8">
                  <c:v>0.18</c:v>
                </c:pt>
                <c:pt idx="9">
                  <c:v>0.2</c:v>
                </c:pt>
                <c:pt idx="10">
                  <c:v>0.22</c:v>
                </c:pt>
                <c:pt idx="11">
                  <c:v>0.24</c:v>
                </c:pt>
                <c:pt idx="12">
                  <c:v>0.26</c:v>
                </c:pt>
                <c:pt idx="13">
                  <c:v>0.28</c:v>
                </c:pt>
                <c:pt idx="14">
                  <c:v>0.3</c:v>
                </c:pt>
                <c:pt idx="15">
                  <c:v>0.32</c:v>
                </c:pt>
                <c:pt idx="16">
                  <c:v>0.34</c:v>
                </c:pt>
                <c:pt idx="17">
                  <c:v>0.36</c:v>
                </c:pt>
                <c:pt idx="18">
                  <c:v>0.38</c:v>
                </c:pt>
                <c:pt idx="19">
                  <c:v>0.4</c:v>
                </c:pt>
                <c:pt idx="20">
                  <c:v>0.42</c:v>
                </c:pt>
                <c:pt idx="21">
                  <c:v>0.44</c:v>
                </c:pt>
                <c:pt idx="22">
                  <c:v>0.46</c:v>
                </c:pt>
                <c:pt idx="23">
                  <c:v>(blank)</c:v>
                </c:pt>
              </c:strCache>
            </c:strRef>
          </c:cat>
          <c:val>
            <c:numRef>
              <c:f>Sheet3!$B$4:$B$28</c:f>
              <c:numCache>
                <c:formatCode>General</c:formatCode>
                <c:ptCount val="24"/>
                <c:pt idx="0">
                  <c:v>4.96</c:v>
                </c:pt>
                <c:pt idx="1">
                  <c:v>6.74</c:v>
                </c:pt>
                <c:pt idx="2">
                  <c:v>5.1894999999999998</c:v>
                </c:pt>
                <c:pt idx="3">
                  <c:v>4.3437000000000001</c:v>
                </c:pt>
                <c:pt idx="4">
                  <c:v>11.632099999999999</c:v>
                </c:pt>
                <c:pt idx="5">
                  <c:v>15.9712</c:v>
                </c:pt>
                <c:pt idx="6">
                  <c:v>36.720999999999997</c:v>
                </c:pt>
                <c:pt idx="7">
                  <c:v>60.333900000000099</c:v>
                </c:pt>
                <c:pt idx="8">
                  <c:v>35.639400000000002</c:v>
                </c:pt>
                <c:pt idx="9">
                  <c:v>55.537500000000001</c:v>
                </c:pt>
                <c:pt idx="10">
                  <c:v>64.264899999999997</c:v>
                </c:pt>
                <c:pt idx="11">
                  <c:v>33.8399</c:v>
                </c:pt>
                <c:pt idx="12">
                  <c:v>22.173200000000001</c:v>
                </c:pt>
                <c:pt idx="13">
                  <c:v>9.3178000000000001</c:v>
                </c:pt>
                <c:pt idx="14">
                  <c:v>13.929</c:v>
                </c:pt>
                <c:pt idx="15">
                  <c:v>9.41</c:v>
                </c:pt>
                <c:pt idx="16">
                  <c:v>7.9489000000000001</c:v>
                </c:pt>
                <c:pt idx="17">
                  <c:v>7.8186999999999998</c:v>
                </c:pt>
                <c:pt idx="18">
                  <c:v>4.4634</c:v>
                </c:pt>
                <c:pt idx="19">
                  <c:v>9.1628000000000007</c:v>
                </c:pt>
                <c:pt idx="20">
                  <c:v>5.9683999999999999</c:v>
                </c:pt>
                <c:pt idx="21">
                  <c:v>2.5299999999999998</c:v>
                </c:pt>
                <c:pt idx="22">
                  <c:v>5.08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40-4536-87C6-3563D3EE5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06009281"/>
        <c:axId val="54650013"/>
      </c:barChart>
      <c:catAx>
        <c:axId val="4060092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50013"/>
        <c:crosses val="autoZero"/>
        <c:auto val="1"/>
        <c:lblAlgn val="ctr"/>
        <c:lblOffset val="100"/>
        <c:noMultiLvlLbl val="0"/>
      </c:catAx>
      <c:valAx>
        <c:axId val="5465001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00928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489dcc5-7cd4-4300-a61e-00e2073161a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[NIDHIRAJ EXCEL PROJECT.xlsx]Sheet4!PivotTable4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8045368967043"/>
          <c:y val="0.22638871601447699"/>
          <c:w val="0.483868421052632"/>
          <c:h val="0.6463888908757100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Sheet4!$A$4:$A$47</c:f>
              <c:strCache>
                <c:ptCount val="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32</c:v>
                </c:pt>
                <c:pt idx="31">
                  <c:v>33</c:v>
                </c:pt>
                <c:pt idx="32">
                  <c:v>35</c:v>
                </c:pt>
                <c:pt idx="33">
                  <c:v>40</c:v>
                </c:pt>
                <c:pt idx="34">
                  <c:v>41</c:v>
                </c:pt>
                <c:pt idx="35">
                  <c:v>42</c:v>
                </c:pt>
                <c:pt idx="36">
                  <c:v>47</c:v>
                </c:pt>
                <c:pt idx="37">
                  <c:v>48</c:v>
                </c:pt>
                <c:pt idx="38">
                  <c:v>51</c:v>
                </c:pt>
                <c:pt idx="39">
                  <c:v>52</c:v>
                </c:pt>
                <c:pt idx="40">
                  <c:v>58</c:v>
                </c:pt>
                <c:pt idx="41">
                  <c:v>62</c:v>
                </c:pt>
                <c:pt idx="42">
                  <c:v>(blank)</c:v>
                </c:pt>
              </c:strCache>
            </c:strRef>
          </c:cat>
          <c:val>
            <c:numRef>
              <c:f>Sheet4!$B$4:$B$47</c:f>
              <c:numCache>
                <c:formatCode>General</c:formatCode>
                <c:ptCount val="43"/>
                <c:pt idx="0">
                  <c:v>4557</c:v>
                </c:pt>
                <c:pt idx="1">
                  <c:v>6090</c:v>
                </c:pt>
                <c:pt idx="2">
                  <c:v>5815</c:v>
                </c:pt>
                <c:pt idx="3">
                  <c:v>6911</c:v>
                </c:pt>
                <c:pt idx="4">
                  <c:v>5063</c:v>
                </c:pt>
                <c:pt idx="5">
                  <c:v>4225</c:v>
                </c:pt>
                <c:pt idx="6">
                  <c:v>3509</c:v>
                </c:pt>
                <c:pt idx="7">
                  <c:v>3598</c:v>
                </c:pt>
                <c:pt idx="8">
                  <c:v>2183</c:v>
                </c:pt>
                <c:pt idx="9">
                  <c:v>2497</c:v>
                </c:pt>
                <c:pt idx="10">
                  <c:v>1785</c:v>
                </c:pt>
                <c:pt idx="11">
                  <c:v>1198</c:v>
                </c:pt>
                <c:pt idx="12">
                  <c:v>1026</c:v>
                </c:pt>
                <c:pt idx="13">
                  <c:v>715</c:v>
                </c:pt>
                <c:pt idx="14">
                  <c:v>857</c:v>
                </c:pt>
                <c:pt idx="15">
                  <c:v>589</c:v>
                </c:pt>
                <c:pt idx="16">
                  <c:v>366</c:v>
                </c:pt>
                <c:pt idx="17">
                  <c:v>354</c:v>
                </c:pt>
                <c:pt idx="18">
                  <c:v>502</c:v>
                </c:pt>
                <c:pt idx="19">
                  <c:v>476</c:v>
                </c:pt>
                <c:pt idx="20">
                  <c:v>303</c:v>
                </c:pt>
                <c:pt idx="21">
                  <c:v>716</c:v>
                </c:pt>
                <c:pt idx="22">
                  <c:v>409</c:v>
                </c:pt>
                <c:pt idx="23">
                  <c:v>316</c:v>
                </c:pt>
                <c:pt idx="24">
                  <c:v>374</c:v>
                </c:pt>
                <c:pt idx="25">
                  <c:v>286</c:v>
                </c:pt>
                <c:pt idx="26">
                  <c:v>120</c:v>
                </c:pt>
                <c:pt idx="27">
                  <c:v>251</c:v>
                </c:pt>
                <c:pt idx="28">
                  <c:v>271</c:v>
                </c:pt>
                <c:pt idx="29">
                  <c:v>359</c:v>
                </c:pt>
                <c:pt idx="30">
                  <c:v>135</c:v>
                </c:pt>
                <c:pt idx="31">
                  <c:v>128</c:v>
                </c:pt>
                <c:pt idx="32">
                  <c:v>219</c:v>
                </c:pt>
                <c:pt idx="33">
                  <c:v>272</c:v>
                </c:pt>
                <c:pt idx="34">
                  <c:v>93</c:v>
                </c:pt>
                <c:pt idx="35">
                  <c:v>302</c:v>
                </c:pt>
                <c:pt idx="36">
                  <c:v>611</c:v>
                </c:pt>
                <c:pt idx="37">
                  <c:v>174</c:v>
                </c:pt>
                <c:pt idx="38">
                  <c:v>161</c:v>
                </c:pt>
                <c:pt idx="39">
                  <c:v>182</c:v>
                </c:pt>
                <c:pt idx="40">
                  <c:v>152</c:v>
                </c:pt>
                <c:pt idx="41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D0-4BEA-840A-505CDE66530B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REGISTERED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Sheet4!$A$4:$A$47</c:f>
              <c:strCache>
                <c:ptCount val="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32</c:v>
                </c:pt>
                <c:pt idx="31">
                  <c:v>33</c:v>
                </c:pt>
                <c:pt idx="32">
                  <c:v>35</c:v>
                </c:pt>
                <c:pt idx="33">
                  <c:v>40</c:v>
                </c:pt>
                <c:pt idx="34">
                  <c:v>41</c:v>
                </c:pt>
                <c:pt idx="35">
                  <c:v>42</c:v>
                </c:pt>
                <c:pt idx="36">
                  <c:v>47</c:v>
                </c:pt>
                <c:pt idx="37">
                  <c:v>48</c:v>
                </c:pt>
                <c:pt idx="38">
                  <c:v>51</c:v>
                </c:pt>
                <c:pt idx="39">
                  <c:v>52</c:v>
                </c:pt>
                <c:pt idx="40">
                  <c:v>58</c:v>
                </c:pt>
                <c:pt idx="41">
                  <c:v>62</c:v>
                </c:pt>
                <c:pt idx="42">
                  <c:v>(blank)</c:v>
                </c:pt>
              </c:strCache>
            </c:strRef>
          </c:cat>
          <c:val>
            <c:numRef>
              <c:f>Sheet4!$C$4:$C$47</c:f>
              <c:numCache>
                <c:formatCode>General</c:formatCode>
                <c:ptCount val="43"/>
                <c:pt idx="0">
                  <c:v>4557</c:v>
                </c:pt>
                <c:pt idx="1">
                  <c:v>5945</c:v>
                </c:pt>
                <c:pt idx="2">
                  <c:v>5619</c:v>
                </c:pt>
                <c:pt idx="3">
                  <c:v>6611</c:v>
                </c:pt>
                <c:pt idx="4">
                  <c:v>4783</c:v>
                </c:pt>
                <c:pt idx="5">
                  <c:v>3940</c:v>
                </c:pt>
                <c:pt idx="6">
                  <c:v>3239</c:v>
                </c:pt>
                <c:pt idx="7">
                  <c:v>3346</c:v>
                </c:pt>
                <c:pt idx="8">
                  <c:v>1967</c:v>
                </c:pt>
                <c:pt idx="9">
                  <c:v>2254</c:v>
                </c:pt>
                <c:pt idx="10">
                  <c:v>1605</c:v>
                </c:pt>
                <c:pt idx="11">
                  <c:v>1000</c:v>
                </c:pt>
                <c:pt idx="12">
                  <c:v>858</c:v>
                </c:pt>
                <c:pt idx="13">
                  <c:v>611</c:v>
                </c:pt>
                <c:pt idx="14">
                  <c:v>745</c:v>
                </c:pt>
                <c:pt idx="15">
                  <c:v>469</c:v>
                </c:pt>
                <c:pt idx="16">
                  <c:v>302</c:v>
                </c:pt>
                <c:pt idx="17">
                  <c:v>286</c:v>
                </c:pt>
                <c:pt idx="18">
                  <c:v>430</c:v>
                </c:pt>
                <c:pt idx="19">
                  <c:v>381</c:v>
                </c:pt>
                <c:pt idx="20">
                  <c:v>263</c:v>
                </c:pt>
                <c:pt idx="21">
                  <c:v>569</c:v>
                </c:pt>
                <c:pt idx="22">
                  <c:v>321</c:v>
                </c:pt>
                <c:pt idx="23">
                  <c:v>247</c:v>
                </c:pt>
                <c:pt idx="24">
                  <c:v>302</c:v>
                </c:pt>
                <c:pt idx="25">
                  <c:v>208</c:v>
                </c:pt>
                <c:pt idx="26">
                  <c:v>93</c:v>
                </c:pt>
                <c:pt idx="27">
                  <c:v>195</c:v>
                </c:pt>
                <c:pt idx="28">
                  <c:v>184</c:v>
                </c:pt>
                <c:pt idx="29">
                  <c:v>269</c:v>
                </c:pt>
                <c:pt idx="30">
                  <c:v>103</c:v>
                </c:pt>
                <c:pt idx="31">
                  <c:v>95</c:v>
                </c:pt>
                <c:pt idx="32">
                  <c:v>149</c:v>
                </c:pt>
                <c:pt idx="33">
                  <c:v>192</c:v>
                </c:pt>
                <c:pt idx="34">
                  <c:v>52</c:v>
                </c:pt>
                <c:pt idx="35">
                  <c:v>218</c:v>
                </c:pt>
                <c:pt idx="36">
                  <c:v>423</c:v>
                </c:pt>
                <c:pt idx="37">
                  <c:v>126</c:v>
                </c:pt>
                <c:pt idx="38">
                  <c:v>110</c:v>
                </c:pt>
                <c:pt idx="39">
                  <c:v>130</c:v>
                </c:pt>
                <c:pt idx="40">
                  <c:v>94</c:v>
                </c:pt>
                <c:pt idx="41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D0-4BEA-840A-505CDE665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621633388"/>
        <c:axId val="897720913"/>
      </c:barChart>
      <c:catAx>
        <c:axId val="62163338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720913"/>
        <c:crosses val="autoZero"/>
        <c:auto val="1"/>
        <c:lblAlgn val="ctr"/>
        <c:lblOffset val="100"/>
        <c:noMultiLvlLbl val="0"/>
      </c:catAx>
      <c:valAx>
        <c:axId val="89772091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6333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3e04e08-3e53-4d9b-8ef4-24a363cfd573}"/>
      </c:ext>
    </c:extLst>
  </c:chart>
  <c:spPr>
    <a:noFill/>
    <a:ln w="19050" cap="flat" cmpd="sng" algn="ctr">
      <a:solidFill>
        <a:schemeClr val="accent4"/>
      </a:solidFill>
      <a:prstDash val="solid"/>
      <a:miter lim="800000"/>
    </a:ln>
    <a:effectLst/>
  </c:spPr>
  <c:txPr>
    <a:bodyPr/>
    <a:lstStyle/>
    <a:p>
      <a:pPr>
        <a:defRPr lang="en-US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[NIDHIRAJ EXCEL PROJECT.xlsx]Sheet5!PivotTable6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6632331902718201"/>
          <c:y val="0.33800055886543401"/>
          <c:w val="0.50907010014306198"/>
          <c:h val="0.546177542506730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Sheet5!$A$4:$A$24</c:f>
              <c:strCache>
                <c:ptCount val="20"/>
                <c:pt idx="0">
                  <c:v>0</c:v>
                </c:pt>
                <c:pt idx="1">
                  <c:v>0.0896</c:v>
                </c:pt>
                <c:pt idx="2">
                  <c:v>0.1045</c:v>
                </c:pt>
                <c:pt idx="3">
                  <c:v>0.1343</c:v>
                </c:pt>
                <c:pt idx="4">
                  <c:v>0.1642</c:v>
                </c:pt>
                <c:pt idx="5">
                  <c:v>0.194</c:v>
                </c:pt>
                <c:pt idx="6">
                  <c:v>0.2239</c:v>
                </c:pt>
                <c:pt idx="7">
                  <c:v>0.2537</c:v>
                </c:pt>
                <c:pt idx="8">
                  <c:v>0.2836</c:v>
                </c:pt>
                <c:pt idx="9">
                  <c:v>0.2985</c:v>
                </c:pt>
                <c:pt idx="10">
                  <c:v>0.3284</c:v>
                </c:pt>
                <c:pt idx="11">
                  <c:v>0.3582</c:v>
                </c:pt>
                <c:pt idx="12">
                  <c:v>0.3881</c:v>
                </c:pt>
                <c:pt idx="13">
                  <c:v>0.4179</c:v>
                </c:pt>
                <c:pt idx="14">
                  <c:v>0.4478</c:v>
                </c:pt>
                <c:pt idx="15">
                  <c:v>0.4627</c:v>
                </c:pt>
                <c:pt idx="16">
                  <c:v>0.4925</c:v>
                </c:pt>
                <c:pt idx="17">
                  <c:v>0.5224</c:v>
                </c:pt>
                <c:pt idx="18">
                  <c:v>0.5522</c:v>
                </c:pt>
                <c:pt idx="19">
                  <c:v>0.5821</c:v>
                </c:pt>
              </c:strCache>
            </c:strRef>
          </c:cat>
          <c:val>
            <c:numRef>
              <c:f>Sheet5!$B$4:$B$24</c:f>
              <c:numCache>
                <c:formatCode>General</c:formatCode>
                <c:ptCount val="20"/>
                <c:pt idx="0">
                  <c:v>68.751000000000005</c:v>
                </c:pt>
                <c:pt idx="1">
                  <c:v>34.290799999999997</c:v>
                </c:pt>
                <c:pt idx="2">
                  <c:v>32.767899999999997</c:v>
                </c:pt>
                <c:pt idx="3">
                  <c:v>40.296199999999999</c:v>
                </c:pt>
                <c:pt idx="4">
                  <c:v>36.182200000000002</c:v>
                </c:pt>
                <c:pt idx="5">
                  <c:v>28.067299999999999</c:v>
                </c:pt>
                <c:pt idx="6">
                  <c:v>20.790400000000002</c:v>
                </c:pt>
                <c:pt idx="7">
                  <c:v>19.0914</c:v>
                </c:pt>
                <c:pt idx="8">
                  <c:v>16.790600000000001</c:v>
                </c:pt>
                <c:pt idx="9">
                  <c:v>13.0466</c:v>
                </c:pt>
                <c:pt idx="10">
                  <c:v>14.4947</c:v>
                </c:pt>
                <c:pt idx="11">
                  <c:v>9.1471999999999998</c:v>
                </c:pt>
                <c:pt idx="12">
                  <c:v>4.7458</c:v>
                </c:pt>
                <c:pt idx="13">
                  <c:v>5.4615</c:v>
                </c:pt>
                <c:pt idx="14">
                  <c:v>5.5674999999999999</c:v>
                </c:pt>
                <c:pt idx="15">
                  <c:v>3.1372</c:v>
                </c:pt>
                <c:pt idx="16">
                  <c:v>2.0767000000000002</c:v>
                </c:pt>
                <c:pt idx="17">
                  <c:v>2.13</c:v>
                </c:pt>
                <c:pt idx="18">
                  <c:v>1.4912000000000001</c:v>
                </c:pt>
                <c:pt idx="19">
                  <c:v>0.80479999999999996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33-4C4F-9091-142367F26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703788053"/>
        <c:axId val="627812007"/>
      </c:barChart>
      <c:catAx>
        <c:axId val="70378805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812007"/>
        <c:crosses val="autoZero"/>
        <c:auto val="1"/>
        <c:lblAlgn val="ctr"/>
        <c:lblOffset val="100"/>
        <c:noMultiLvlLbl val="0"/>
      </c:catAx>
      <c:valAx>
        <c:axId val="627812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7880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93fc774-805f-49b2-9c93-09f24cc45009}"/>
      </c:ext>
    </c:extLst>
  </c:chart>
  <c:spPr>
    <a:solidFill>
      <a:schemeClr val="tx1">
        <a:lumMod val="95000"/>
        <a:lumOff val="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[NIDHIRAJ EXCEL PROJECT.xlsx]Sheet7!PivotTable8</c:name>
    <c:fmtId val="0"/>
  </c:pivotSource>
  <c:chart>
    <c:autoTitleDeleted val="1"/>
    <c:pivotFmts>
      <c:pivotFmt>
        <c:idx val="0"/>
        <c:spPr>
          <a:solidFill>
            <a:schemeClr val="tx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95000"/>
              <a:lumOff val="5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Sheet7!$A$4:$A$28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Sheet7!$B$4:$B$28</c:f>
              <c:numCache>
                <c:formatCode>General</c:formatCode>
                <c:ptCount val="24"/>
                <c:pt idx="0">
                  <c:v>703</c:v>
                </c:pt>
                <c:pt idx="1">
                  <c:v>460</c:v>
                </c:pt>
                <c:pt idx="2">
                  <c:v>294</c:v>
                </c:pt>
                <c:pt idx="3">
                  <c:v>151</c:v>
                </c:pt>
                <c:pt idx="4">
                  <c:v>69</c:v>
                </c:pt>
                <c:pt idx="5">
                  <c:v>164</c:v>
                </c:pt>
                <c:pt idx="6">
                  <c:v>822</c:v>
                </c:pt>
                <c:pt idx="7">
                  <c:v>2339</c:v>
                </c:pt>
                <c:pt idx="8">
                  <c:v>5388</c:v>
                </c:pt>
                <c:pt idx="9">
                  <c:v>3672</c:v>
                </c:pt>
                <c:pt idx="10">
                  <c:v>2253</c:v>
                </c:pt>
                <c:pt idx="11">
                  <c:v>2494</c:v>
                </c:pt>
                <c:pt idx="12">
                  <c:v>3283</c:v>
                </c:pt>
                <c:pt idx="13">
                  <c:v>3376</c:v>
                </c:pt>
                <c:pt idx="14">
                  <c:v>3200</c:v>
                </c:pt>
                <c:pt idx="15">
                  <c:v>3352</c:v>
                </c:pt>
                <c:pt idx="16">
                  <c:v>3928</c:v>
                </c:pt>
                <c:pt idx="17">
                  <c:v>6169</c:v>
                </c:pt>
                <c:pt idx="18">
                  <c:v>5283</c:v>
                </c:pt>
                <c:pt idx="19">
                  <c:v>3661</c:v>
                </c:pt>
                <c:pt idx="20">
                  <c:v>2656</c:v>
                </c:pt>
                <c:pt idx="21">
                  <c:v>1996</c:v>
                </c:pt>
                <c:pt idx="22">
                  <c:v>1508</c:v>
                </c:pt>
                <c:pt idx="23">
                  <c:v>1083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82-46A7-9315-B3F1347BFC0C}"/>
            </c:ext>
          </c:extLst>
        </c:ser>
        <c:ser>
          <c:idx val="1"/>
          <c:order val="1"/>
          <c:tx>
            <c:strRef>
              <c:f>Sheet7!$C$3</c:f>
              <c:strCache>
                <c:ptCount val="1"/>
                <c:pt idx="0">
                  <c:v>Sum of REGISTERED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Sheet7!$A$4:$A$28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Sheet7!$C$4:$C$28</c:f>
              <c:numCache>
                <c:formatCode>General</c:formatCode>
                <c:ptCount val="24"/>
                <c:pt idx="0">
                  <c:v>629</c:v>
                </c:pt>
                <c:pt idx="1">
                  <c:v>412</c:v>
                </c:pt>
                <c:pt idx="2">
                  <c:v>261</c:v>
                </c:pt>
                <c:pt idx="3">
                  <c:v>117</c:v>
                </c:pt>
                <c:pt idx="4">
                  <c:v>62</c:v>
                </c:pt>
                <c:pt idx="5">
                  <c:v>161</c:v>
                </c:pt>
                <c:pt idx="6">
                  <c:v>801</c:v>
                </c:pt>
                <c:pt idx="7">
                  <c:v>2275</c:v>
                </c:pt>
                <c:pt idx="8">
                  <c:v>5261</c:v>
                </c:pt>
                <c:pt idx="9">
                  <c:v>3500</c:v>
                </c:pt>
                <c:pt idx="10">
                  <c:v>2037</c:v>
                </c:pt>
                <c:pt idx="11">
                  <c:v>2127</c:v>
                </c:pt>
                <c:pt idx="12">
                  <c:v>2801</c:v>
                </c:pt>
                <c:pt idx="13">
                  <c:v>2863</c:v>
                </c:pt>
                <c:pt idx="14">
                  <c:v>2734</c:v>
                </c:pt>
                <c:pt idx="15">
                  <c:v>2816</c:v>
                </c:pt>
                <c:pt idx="16">
                  <c:v>3435</c:v>
                </c:pt>
                <c:pt idx="17">
                  <c:v>5774</c:v>
                </c:pt>
                <c:pt idx="18">
                  <c:v>5061</c:v>
                </c:pt>
                <c:pt idx="19">
                  <c:v>3474</c:v>
                </c:pt>
                <c:pt idx="20">
                  <c:v>2516</c:v>
                </c:pt>
                <c:pt idx="21">
                  <c:v>1879</c:v>
                </c:pt>
                <c:pt idx="22">
                  <c:v>1405</c:v>
                </c:pt>
                <c:pt idx="23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82-46A7-9315-B3F1347BF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848402833"/>
        <c:axId val="609379767"/>
      </c:barChart>
      <c:catAx>
        <c:axId val="84840283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379767"/>
        <c:crosses val="autoZero"/>
        <c:auto val="1"/>
        <c:lblAlgn val="ctr"/>
        <c:lblOffset val="100"/>
        <c:noMultiLvlLbl val="0"/>
      </c:catAx>
      <c:valAx>
        <c:axId val="609379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4028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2">
                  <a:lumMod val="1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8ad420a-dcde-402b-8cd9-eeb69e62078c}"/>
      </c:ext>
    </c:extLst>
  </c:chart>
  <c:spPr>
    <a:solidFill>
      <a:schemeClr val="accent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bg2">
              <a:lumMod val="1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[NIDHIRAJ EXCEL PROJECT.xlsx]Sheet4!PivotTable4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8045368967043"/>
          <c:y val="0.22638871601447699"/>
          <c:w val="0.483868421052632"/>
          <c:h val="0.6463888908757100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Sheet4!$A$4:$A$47</c:f>
              <c:strCache>
                <c:ptCount val="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32</c:v>
                </c:pt>
                <c:pt idx="31">
                  <c:v>33</c:v>
                </c:pt>
                <c:pt idx="32">
                  <c:v>35</c:v>
                </c:pt>
                <c:pt idx="33">
                  <c:v>40</c:v>
                </c:pt>
                <c:pt idx="34">
                  <c:v>41</c:v>
                </c:pt>
                <c:pt idx="35">
                  <c:v>42</c:v>
                </c:pt>
                <c:pt idx="36">
                  <c:v>47</c:v>
                </c:pt>
                <c:pt idx="37">
                  <c:v>48</c:v>
                </c:pt>
                <c:pt idx="38">
                  <c:v>51</c:v>
                </c:pt>
                <c:pt idx="39">
                  <c:v>52</c:v>
                </c:pt>
                <c:pt idx="40">
                  <c:v>58</c:v>
                </c:pt>
                <c:pt idx="41">
                  <c:v>62</c:v>
                </c:pt>
                <c:pt idx="42">
                  <c:v>(blank)</c:v>
                </c:pt>
              </c:strCache>
            </c:strRef>
          </c:cat>
          <c:val>
            <c:numRef>
              <c:f>Sheet4!$B$4:$B$47</c:f>
              <c:numCache>
                <c:formatCode>General</c:formatCode>
                <c:ptCount val="43"/>
                <c:pt idx="0">
                  <c:v>4557</c:v>
                </c:pt>
                <c:pt idx="1">
                  <c:v>6090</c:v>
                </c:pt>
                <c:pt idx="2">
                  <c:v>5815</c:v>
                </c:pt>
                <c:pt idx="3">
                  <c:v>6911</c:v>
                </c:pt>
                <c:pt idx="4">
                  <c:v>5063</c:v>
                </c:pt>
                <c:pt idx="5">
                  <c:v>4225</c:v>
                </c:pt>
                <c:pt idx="6">
                  <c:v>3509</c:v>
                </c:pt>
                <c:pt idx="7">
                  <c:v>3598</c:v>
                </c:pt>
                <c:pt idx="8">
                  <c:v>2183</c:v>
                </c:pt>
                <c:pt idx="9">
                  <c:v>2497</c:v>
                </c:pt>
                <c:pt idx="10">
                  <c:v>1785</c:v>
                </c:pt>
                <c:pt idx="11">
                  <c:v>1198</c:v>
                </c:pt>
                <c:pt idx="12">
                  <c:v>1026</c:v>
                </c:pt>
                <c:pt idx="13">
                  <c:v>715</c:v>
                </c:pt>
                <c:pt idx="14">
                  <c:v>857</c:v>
                </c:pt>
                <c:pt idx="15">
                  <c:v>589</c:v>
                </c:pt>
                <c:pt idx="16">
                  <c:v>366</c:v>
                </c:pt>
                <c:pt idx="17">
                  <c:v>354</c:v>
                </c:pt>
                <c:pt idx="18">
                  <c:v>502</c:v>
                </c:pt>
                <c:pt idx="19">
                  <c:v>476</c:v>
                </c:pt>
                <c:pt idx="20">
                  <c:v>303</c:v>
                </c:pt>
                <c:pt idx="21">
                  <c:v>716</c:v>
                </c:pt>
                <c:pt idx="22">
                  <c:v>409</c:v>
                </c:pt>
                <c:pt idx="23">
                  <c:v>316</c:v>
                </c:pt>
                <c:pt idx="24">
                  <c:v>374</c:v>
                </c:pt>
                <c:pt idx="25">
                  <c:v>286</c:v>
                </c:pt>
                <c:pt idx="26">
                  <c:v>120</c:v>
                </c:pt>
                <c:pt idx="27">
                  <c:v>251</c:v>
                </c:pt>
                <c:pt idx="28">
                  <c:v>271</c:v>
                </c:pt>
                <c:pt idx="29">
                  <c:v>359</c:v>
                </c:pt>
                <c:pt idx="30">
                  <c:v>135</c:v>
                </c:pt>
                <c:pt idx="31">
                  <c:v>128</c:v>
                </c:pt>
                <c:pt idx="32">
                  <c:v>219</c:v>
                </c:pt>
                <c:pt idx="33">
                  <c:v>272</c:v>
                </c:pt>
                <c:pt idx="34">
                  <c:v>93</c:v>
                </c:pt>
                <c:pt idx="35">
                  <c:v>302</c:v>
                </c:pt>
                <c:pt idx="36">
                  <c:v>611</c:v>
                </c:pt>
                <c:pt idx="37">
                  <c:v>174</c:v>
                </c:pt>
                <c:pt idx="38">
                  <c:v>161</c:v>
                </c:pt>
                <c:pt idx="39">
                  <c:v>182</c:v>
                </c:pt>
                <c:pt idx="40">
                  <c:v>152</c:v>
                </c:pt>
                <c:pt idx="41">
                  <c:v>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C5-4B01-B232-5877F3AEB1B9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REGISTERED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Sheet4!$A$4:$A$47</c:f>
              <c:strCache>
                <c:ptCount val="4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32</c:v>
                </c:pt>
                <c:pt idx="31">
                  <c:v>33</c:v>
                </c:pt>
                <c:pt idx="32">
                  <c:v>35</c:v>
                </c:pt>
                <c:pt idx="33">
                  <c:v>40</c:v>
                </c:pt>
                <c:pt idx="34">
                  <c:v>41</c:v>
                </c:pt>
                <c:pt idx="35">
                  <c:v>42</c:v>
                </c:pt>
                <c:pt idx="36">
                  <c:v>47</c:v>
                </c:pt>
                <c:pt idx="37">
                  <c:v>48</c:v>
                </c:pt>
                <c:pt idx="38">
                  <c:v>51</c:v>
                </c:pt>
                <c:pt idx="39">
                  <c:v>52</c:v>
                </c:pt>
                <c:pt idx="40">
                  <c:v>58</c:v>
                </c:pt>
                <c:pt idx="41">
                  <c:v>62</c:v>
                </c:pt>
                <c:pt idx="42">
                  <c:v>(blank)</c:v>
                </c:pt>
              </c:strCache>
            </c:strRef>
          </c:cat>
          <c:val>
            <c:numRef>
              <c:f>Sheet4!$C$4:$C$47</c:f>
              <c:numCache>
                <c:formatCode>General</c:formatCode>
                <c:ptCount val="43"/>
                <c:pt idx="0">
                  <c:v>4557</c:v>
                </c:pt>
                <c:pt idx="1">
                  <c:v>5945</c:v>
                </c:pt>
                <c:pt idx="2">
                  <c:v>5619</c:v>
                </c:pt>
                <c:pt idx="3">
                  <c:v>6611</c:v>
                </c:pt>
                <c:pt idx="4">
                  <c:v>4783</c:v>
                </c:pt>
                <c:pt idx="5">
                  <c:v>3940</c:v>
                </c:pt>
                <c:pt idx="6">
                  <c:v>3239</c:v>
                </c:pt>
                <c:pt idx="7">
                  <c:v>3346</c:v>
                </c:pt>
                <c:pt idx="8">
                  <c:v>1967</c:v>
                </c:pt>
                <c:pt idx="9">
                  <c:v>2254</c:v>
                </c:pt>
                <c:pt idx="10">
                  <c:v>1605</c:v>
                </c:pt>
                <c:pt idx="11">
                  <c:v>1000</c:v>
                </c:pt>
                <c:pt idx="12">
                  <c:v>858</c:v>
                </c:pt>
                <c:pt idx="13">
                  <c:v>611</c:v>
                </c:pt>
                <c:pt idx="14">
                  <c:v>745</c:v>
                </c:pt>
                <c:pt idx="15">
                  <c:v>469</c:v>
                </c:pt>
                <c:pt idx="16">
                  <c:v>302</c:v>
                </c:pt>
                <c:pt idx="17">
                  <c:v>286</c:v>
                </c:pt>
                <c:pt idx="18">
                  <c:v>430</c:v>
                </c:pt>
                <c:pt idx="19">
                  <c:v>381</c:v>
                </c:pt>
                <c:pt idx="20">
                  <c:v>263</c:v>
                </c:pt>
                <c:pt idx="21">
                  <c:v>569</c:v>
                </c:pt>
                <c:pt idx="22">
                  <c:v>321</c:v>
                </c:pt>
                <c:pt idx="23">
                  <c:v>247</c:v>
                </c:pt>
                <c:pt idx="24">
                  <c:v>302</c:v>
                </c:pt>
                <c:pt idx="25">
                  <c:v>208</c:v>
                </c:pt>
                <c:pt idx="26">
                  <c:v>93</c:v>
                </c:pt>
                <c:pt idx="27">
                  <c:v>195</c:v>
                </c:pt>
                <c:pt idx="28">
                  <c:v>184</c:v>
                </c:pt>
                <c:pt idx="29">
                  <c:v>269</c:v>
                </c:pt>
                <c:pt idx="30">
                  <c:v>103</c:v>
                </c:pt>
                <c:pt idx="31">
                  <c:v>95</c:v>
                </c:pt>
                <c:pt idx="32">
                  <c:v>149</c:v>
                </c:pt>
                <c:pt idx="33">
                  <c:v>192</c:v>
                </c:pt>
                <c:pt idx="34">
                  <c:v>52</c:v>
                </c:pt>
                <c:pt idx="35">
                  <c:v>218</c:v>
                </c:pt>
                <c:pt idx="36">
                  <c:v>423</c:v>
                </c:pt>
                <c:pt idx="37">
                  <c:v>126</c:v>
                </c:pt>
                <c:pt idx="38">
                  <c:v>110</c:v>
                </c:pt>
                <c:pt idx="39">
                  <c:v>130</c:v>
                </c:pt>
                <c:pt idx="40">
                  <c:v>94</c:v>
                </c:pt>
                <c:pt idx="41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C5-4B01-B232-5877F3AEB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621633388"/>
        <c:axId val="897720913"/>
      </c:barChart>
      <c:catAx>
        <c:axId val="62163338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720913"/>
        <c:crosses val="autoZero"/>
        <c:auto val="1"/>
        <c:lblAlgn val="ctr"/>
        <c:lblOffset val="100"/>
        <c:noMultiLvlLbl val="0"/>
      </c:catAx>
      <c:valAx>
        <c:axId val="89772091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6333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7987141-9eba-4267-9dab-9cba4bdac425}"/>
      </c:ext>
    </c:extLst>
  </c:chart>
  <c:spPr>
    <a:noFill/>
    <a:ln w="19050" cap="flat" cmpd="sng" algn="ctr">
      <a:solidFill>
        <a:schemeClr val="accent4"/>
      </a:solidFill>
      <a:prstDash val="solid"/>
      <a:miter lim="800000"/>
    </a:ln>
    <a:effectLst/>
  </c:spPr>
  <c:txPr>
    <a:bodyPr/>
    <a:lstStyle/>
    <a:p>
      <a:pPr>
        <a:defRPr lang="en-US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[NIDHIRAJ EXCEL PROJECT.xlsx]Sheet5!PivotTable6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6632331902718201"/>
          <c:y val="0.33800055886543401"/>
          <c:w val="0.50907010014306198"/>
          <c:h val="0.546177542506730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Sheet5!$A$4:$A$24</c:f>
              <c:strCache>
                <c:ptCount val="20"/>
                <c:pt idx="0">
                  <c:v>0</c:v>
                </c:pt>
                <c:pt idx="1">
                  <c:v>0.0896</c:v>
                </c:pt>
                <c:pt idx="2">
                  <c:v>0.1045</c:v>
                </c:pt>
                <c:pt idx="3">
                  <c:v>0.1343</c:v>
                </c:pt>
                <c:pt idx="4">
                  <c:v>0.1642</c:v>
                </c:pt>
                <c:pt idx="5">
                  <c:v>0.194</c:v>
                </c:pt>
                <c:pt idx="6">
                  <c:v>0.2239</c:v>
                </c:pt>
                <c:pt idx="7">
                  <c:v>0.2537</c:v>
                </c:pt>
                <c:pt idx="8">
                  <c:v>0.2836</c:v>
                </c:pt>
                <c:pt idx="9">
                  <c:v>0.2985</c:v>
                </c:pt>
                <c:pt idx="10">
                  <c:v>0.3284</c:v>
                </c:pt>
                <c:pt idx="11">
                  <c:v>0.3582</c:v>
                </c:pt>
                <c:pt idx="12">
                  <c:v>0.3881</c:v>
                </c:pt>
                <c:pt idx="13">
                  <c:v>0.4179</c:v>
                </c:pt>
                <c:pt idx="14">
                  <c:v>0.4478</c:v>
                </c:pt>
                <c:pt idx="15">
                  <c:v>0.4627</c:v>
                </c:pt>
                <c:pt idx="16">
                  <c:v>0.4925</c:v>
                </c:pt>
                <c:pt idx="17">
                  <c:v>0.5224</c:v>
                </c:pt>
                <c:pt idx="18">
                  <c:v>0.5522</c:v>
                </c:pt>
                <c:pt idx="19">
                  <c:v>0.5821</c:v>
                </c:pt>
              </c:strCache>
            </c:strRef>
          </c:cat>
          <c:val>
            <c:numRef>
              <c:f>Sheet5!$B$4:$B$24</c:f>
              <c:numCache>
                <c:formatCode>General</c:formatCode>
                <c:ptCount val="20"/>
                <c:pt idx="0">
                  <c:v>68.751000000000005</c:v>
                </c:pt>
                <c:pt idx="1">
                  <c:v>34.290799999999997</c:v>
                </c:pt>
                <c:pt idx="2">
                  <c:v>32.767899999999997</c:v>
                </c:pt>
                <c:pt idx="3">
                  <c:v>40.296199999999999</c:v>
                </c:pt>
                <c:pt idx="4">
                  <c:v>36.182200000000002</c:v>
                </c:pt>
                <c:pt idx="5">
                  <c:v>28.067299999999999</c:v>
                </c:pt>
                <c:pt idx="6">
                  <c:v>20.790400000000002</c:v>
                </c:pt>
                <c:pt idx="7">
                  <c:v>19.0914</c:v>
                </c:pt>
                <c:pt idx="8">
                  <c:v>16.790600000000001</c:v>
                </c:pt>
                <c:pt idx="9">
                  <c:v>13.0466</c:v>
                </c:pt>
                <c:pt idx="10">
                  <c:v>14.4947</c:v>
                </c:pt>
                <c:pt idx="11">
                  <c:v>9.1471999999999998</c:v>
                </c:pt>
                <c:pt idx="12">
                  <c:v>4.7458</c:v>
                </c:pt>
                <c:pt idx="13">
                  <c:v>5.4615</c:v>
                </c:pt>
                <c:pt idx="14">
                  <c:v>5.5674999999999999</c:v>
                </c:pt>
                <c:pt idx="15">
                  <c:v>3.1372</c:v>
                </c:pt>
                <c:pt idx="16">
                  <c:v>2.0767000000000002</c:v>
                </c:pt>
                <c:pt idx="17">
                  <c:v>2.13</c:v>
                </c:pt>
                <c:pt idx="18">
                  <c:v>1.4912000000000001</c:v>
                </c:pt>
                <c:pt idx="19">
                  <c:v>0.80479999999999996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8B-4304-BDD5-EA2E1AE647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703788053"/>
        <c:axId val="627812007"/>
      </c:barChart>
      <c:catAx>
        <c:axId val="70378805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7812007"/>
        <c:crosses val="autoZero"/>
        <c:auto val="1"/>
        <c:lblAlgn val="ctr"/>
        <c:lblOffset val="100"/>
        <c:noMultiLvlLbl val="0"/>
      </c:catAx>
      <c:valAx>
        <c:axId val="627812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7880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297e43c-62f7-4d12-be64-dcdb052277e6}"/>
      </c:ext>
    </c:extLst>
  </c:chart>
  <c:spPr>
    <a:solidFill>
      <a:schemeClr val="tx1">
        <a:lumMod val="95000"/>
        <a:lumOff val="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[NIDHIRAJ EXCEL PROJECT.xlsx]Sheet7!PivotTable8</c:name>
    <c:fmtId val="2"/>
  </c:pivotSource>
  <c:chart>
    <c:autoTitleDeleted val="1"/>
    <c:pivotFmts>
      <c:pivotFmt>
        <c:idx val="0"/>
        <c:spPr>
          <a:solidFill>
            <a:schemeClr val="tx1"/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1">
              <a:lumMod val="95000"/>
              <a:lumOff val="5000"/>
            </a:schemeClr>
          </a:solidFill>
          <a:ln>
            <a:solidFill>
              <a:schemeClr val="bg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bg2">
                      <a:lumMod val="1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Sheet7!$A$4:$A$28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Sheet7!$B$4:$B$28</c:f>
              <c:numCache>
                <c:formatCode>General</c:formatCode>
                <c:ptCount val="24"/>
                <c:pt idx="0">
                  <c:v>703</c:v>
                </c:pt>
                <c:pt idx="1">
                  <c:v>460</c:v>
                </c:pt>
                <c:pt idx="2">
                  <c:v>294</c:v>
                </c:pt>
                <c:pt idx="3">
                  <c:v>151</c:v>
                </c:pt>
                <c:pt idx="4">
                  <c:v>69</c:v>
                </c:pt>
                <c:pt idx="5">
                  <c:v>164</c:v>
                </c:pt>
                <c:pt idx="6">
                  <c:v>822</c:v>
                </c:pt>
                <c:pt idx="7">
                  <c:v>2339</c:v>
                </c:pt>
                <c:pt idx="8">
                  <c:v>5388</c:v>
                </c:pt>
                <c:pt idx="9">
                  <c:v>3672</c:v>
                </c:pt>
                <c:pt idx="10">
                  <c:v>2253</c:v>
                </c:pt>
                <c:pt idx="11">
                  <c:v>2494</c:v>
                </c:pt>
                <c:pt idx="12">
                  <c:v>3283</c:v>
                </c:pt>
                <c:pt idx="13">
                  <c:v>3376</c:v>
                </c:pt>
                <c:pt idx="14">
                  <c:v>3200</c:v>
                </c:pt>
                <c:pt idx="15">
                  <c:v>3352</c:v>
                </c:pt>
                <c:pt idx="16">
                  <c:v>3928</c:v>
                </c:pt>
                <c:pt idx="17">
                  <c:v>6169</c:v>
                </c:pt>
                <c:pt idx="18">
                  <c:v>5283</c:v>
                </c:pt>
                <c:pt idx="19">
                  <c:v>3661</c:v>
                </c:pt>
                <c:pt idx="20">
                  <c:v>2656</c:v>
                </c:pt>
                <c:pt idx="21">
                  <c:v>1996</c:v>
                </c:pt>
                <c:pt idx="22">
                  <c:v>1508</c:v>
                </c:pt>
                <c:pt idx="23">
                  <c:v>1083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5F-4B64-BCDD-4ABDE87E954A}"/>
            </c:ext>
          </c:extLst>
        </c:ser>
        <c:ser>
          <c:idx val="1"/>
          <c:order val="1"/>
          <c:tx>
            <c:strRef>
              <c:f>Sheet7!$C$3</c:f>
              <c:strCache>
                <c:ptCount val="1"/>
                <c:pt idx="0">
                  <c:v>Sum of REGISTERED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Sheet7!$A$4:$A$28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Sheet7!$C$4:$C$28</c:f>
              <c:numCache>
                <c:formatCode>General</c:formatCode>
                <c:ptCount val="24"/>
                <c:pt idx="0">
                  <c:v>629</c:v>
                </c:pt>
                <c:pt idx="1">
                  <c:v>412</c:v>
                </c:pt>
                <c:pt idx="2">
                  <c:v>261</c:v>
                </c:pt>
                <c:pt idx="3">
                  <c:v>117</c:v>
                </c:pt>
                <c:pt idx="4">
                  <c:v>62</c:v>
                </c:pt>
                <c:pt idx="5">
                  <c:v>161</c:v>
                </c:pt>
                <c:pt idx="6">
                  <c:v>801</c:v>
                </c:pt>
                <c:pt idx="7">
                  <c:v>2275</c:v>
                </c:pt>
                <c:pt idx="8">
                  <c:v>5261</c:v>
                </c:pt>
                <c:pt idx="9">
                  <c:v>3500</c:v>
                </c:pt>
                <c:pt idx="10">
                  <c:v>2037</c:v>
                </c:pt>
                <c:pt idx="11">
                  <c:v>2127</c:v>
                </c:pt>
                <c:pt idx="12">
                  <c:v>2801</c:v>
                </c:pt>
                <c:pt idx="13">
                  <c:v>2863</c:v>
                </c:pt>
                <c:pt idx="14">
                  <c:v>2734</c:v>
                </c:pt>
                <c:pt idx="15">
                  <c:v>2816</c:v>
                </c:pt>
                <c:pt idx="16">
                  <c:v>3435</c:v>
                </c:pt>
                <c:pt idx="17">
                  <c:v>5774</c:v>
                </c:pt>
                <c:pt idx="18">
                  <c:v>5061</c:v>
                </c:pt>
                <c:pt idx="19">
                  <c:v>3474</c:v>
                </c:pt>
                <c:pt idx="20">
                  <c:v>2516</c:v>
                </c:pt>
                <c:pt idx="21">
                  <c:v>1879</c:v>
                </c:pt>
                <c:pt idx="22">
                  <c:v>1405</c:v>
                </c:pt>
                <c:pt idx="23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5F-4B64-BCDD-4ABDE87E9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848402833"/>
        <c:axId val="609379767"/>
      </c:barChart>
      <c:catAx>
        <c:axId val="84840283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379767"/>
        <c:crosses val="autoZero"/>
        <c:auto val="1"/>
        <c:lblAlgn val="ctr"/>
        <c:lblOffset val="100"/>
        <c:noMultiLvlLbl val="0"/>
      </c:catAx>
      <c:valAx>
        <c:axId val="609379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4028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2">
                    <a:lumMod val="1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2">
                  <a:lumMod val="1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23e0c0e-7671-4133-9f32-a0ac531b844e}"/>
      </c:ext>
    </c:extLst>
  </c:chart>
  <c:spPr>
    <a:solidFill>
      <a:schemeClr val="accent6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bg2">
              <a:lumMod val="1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Sum of CASUAL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2"/>
              <c:pt idx="0">
                <c:v>Jan</c:v>
              </c:pt>
              <c:pt idx="1">
                <c:v>Feb</c:v>
              </c:pt>
            </c:strLit>
          </c:cat>
          <c:val>
            <c:numLit>
              <c:formatCode>General</c:formatCode>
              <c:ptCount val="2"/>
              <c:pt idx="0">
                <c:v>1597</c:v>
              </c:pt>
              <c:pt idx="1">
                <c:v>680</c:v>
              </c:pt>
            </c:numLit>
          </c:val>
          <c:extLst>
            <c:ext xmlns:c16="http://schemas.microsoft.com/office/drawing/2014/chart" uri="{C3380CC4-5D6E-409C-BE32-E72D297353CC}">
              <c16:uniqueId val="{00000000-09EF-442E-BE5E-F7EC2C1DCEF5}"/>
            </c:ext>
          </c:extLst>
        </c:ser>
        <c:ser>
          <c:idx val="1"/>
          <c:order val="1"/>
          <c:tx>
            <c:v>Sum of REGISTERED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2"/>
              <c:pt idx="0">
                <c:v>Jan</c:v>
              </c:pt>
              <c:pt idx="1">
                <c:v>Feb</c:v>
              </c:pt>
            </c:strLit>
          </c:cat>
          <c:val>
            <c:numLit>
              <c:formatCode>General</c:formatCode>
              <c:ptCount val="2"/>
              <c:pt idx="0">
                <c:v>972</c:v>
              </c:pt>
              <c:pt idx="1">
                <c:v>414</c:v>
              </c:pt>
            </c:numLit>
          </c:val>
          <c:extLst>
            <c:ext xmlns:c16="http://schemas.microsoft.com/office/drawing/2014/chart" uri="{C3380CC4-5D6E-409C-BE32-E72D297353CC}">
              <c16:uniqueId val="{00000001-09EF-442E-BE5E-F7EC2C1DCEF5}"/>
            </c:ext>
          </c:extLst>
        </c:ser>
        <c:ser>
          <c:idx val="2"/>
          <c:order val="2"/>
          <c:tx>
            <c:v>Sum of CNT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2"/>
              <c:pt idx="0">
                <c:v>Jan</c:v>
              </c:pt>
              <c:pt idx="1">
                <c:v>Feb</c:v>
              </c:pt>
            </c:strLit>
          </c:cat>
          <c:val>
            <c:numLit>
              <c:formatCode>General</c:formatCode>
              <c:ptCount val="2"/>
              <c:pt idx="0">
                <c:v>3926</c:v>
              </c:pt>
              <c:pt idx="1">
                <c:v>1801</c:v>
              </c:pt>
            </c:numLit>
          </c:val>
          <c:extLst>
            <c:ext xmlns:c16="http://schemas.microsoft.com/office/drawing/2014/chart" uri="{C3380CC4-5D6E-409C-BE32-E72D297353CC}">
              <c16:uniqueId val="{00000002-09EF-442E-BE5E-F7EC2C1DC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67341888"/>
        <c:axId val="1067340448"/>
      </c:barChart>
      <c:catAx>
        <c:axId val="106734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340448"/>
        <c:crosses val="autoZero"/>
        <c:auto val="1"/>
        <c:lblAlgn val="ctr"/>
        <c:lblOffset val="100"/>
        <c:noMultiLvlLbl val="0"/>
      </c:catAx>
      <c:valAx>
        <c:axId val="106734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34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429c7da-5793-42a6-80e9-c30341fa5c06}"/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450850</xdr:colOff>
      <xdr:row>3</xdr:row>
      <xdr:rowOff>177800</xdr:rowOff>
    </xdr:from>
    <xdr:to>
      <xdr:col>11</xdr:col>
      <xdr:colOff>400050</xdr:colOff>
      <xdr:row>18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380365</xdr:colOff>
      <xdr:row>1</xdr:row>
      <xdr:rowOff>50165</xdr:rowOff>
    </xdr:from>
    <xdr:to>
      <xdr:col>5</xdr:col>
      <xdr:colOff>1276350</xdr:colOff>
      <xdr:row>12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1</xdr:row>
      <xdr:rowOff>165100</xdr:rowOff>
    </xdr:from>
    <xdr:to>
      <xdr:col>9</xdr:col>
      <xdr:colOff>571500</xdr:colOff>
      <xdr:row>14</xdr:row>
      <xdr:rowOff>38735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2</xdr:row>
      <xdr:rowOff>88900</xdr:rowOff>
    </xdr:from>
    <xdr:to>
      <xdr:col>9</xdr:col>
      <xdr:colOff>520700</xdr:colOff>
      <xdr:row>14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3</xdr:row>
      <xdr:rowOff>0</xdr:rowOff>
    </xdr:from>
    <xdr:to>
      <xdr:col>27</xdr:col>
      <xdr:colOff>616585</xdr:colOff>
      <xdr:row>13</xdr:row>
      <xdr:rowOff>127635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165100</xdr:colOff>
      <xdr:row>1</xdr:row>
      <xdr:rowOff>53975</xdr:rowOff>
    </xdr:from>
    <xdr:to>
      <xdr:col>34</xdr:col>
      <xdr:colOff>692150</xdr:colOff>
      <xdr:row>12</xdr:row>
      <xdr:rowOff>140335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0</xdr:colOff>
      <xdr:row>16</xdr:row>
      <xdr:rowOff>0</xdr:rowOff>
    </xdr:from>
    <xdr:to>
      <xdr:col>28</xdr:col>
      <xdr:colOff>0</xdr:colOff>
      <xdr:row>27</xdr:row>
      <xdr:rowOff>66675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698500</xdr:colOff>
      <xdr:row>16</xdr:row>
      <xdr:rowOff>123825</xdr:rowOff>
    </xdr:from>
    <xdr:to>
      <xdr:col>35</xdr:col>
      <xdr:colOff>398780</xdr:colOff>
      <xdr:row>30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945.807326388902" createdVersion="5" refreshedVersion="5" minRefreshableVersion="3" recordCount="1001" xr:uid="{00000000-000A-0000-FFFF-FFFF00000000}">
  <cacheSource type="worksheet">
    <worksheetSource ref="K1:L1048576" sheet="Sheet1"/>
  </cacheSource>
  <cacheFields count="2">
    <cacheField name="TEMP" numFmtId="0">
      <sharedItems containsString="0" containsBlank="1" containsNumber="1" minValue="0" maxValue="0.46" count="24">
        <n v="0.24"/>
        <n v="0.22"/>
        <n v="0.2"/>
        <n v="0.32"/>
        <n v="0.38"/>
        <n v="0.36"/>
        <n v="0.42"/>
        <n v="0.46"/>
        <n v="0.44"/>
        <n v="0.4"/>
        <n v="0.34"/>
        <n v="0.3"/>
        <n v="0.26"/>
        <n v="0.16"/>
        <n v="0.14000000000000001"/>
        <n v="0.18"/>
        <n v="0.12"/>
        <n v="0.28000000000000003"/>
        <n v="0.1"/>
        <n v="0.08"/>
        <n v="0.06"/>
        <n v="0.04"/>
        <n v="0.02"/>
        <m/>
      </sharedItems>
    </cacheField>
    <cacheField name="HUMIDITY" numFmtId="0">
      <sharedItems containsString="0" containsBlank="1" containsNumber="1" minValue="0" maxValue="1" count="84">
        <n v="0.81"/>
        <n v="0.8"/>
        <n v="0.75"/>
        <n v="0.86"/>
        <n v="0.76"/>
        <n v="0.77"/>
        <n v="0.72"/>
        <n v="0.82"/>
        <n v="0.88"/>
        <n v="0.87"/>
        <n v="0.94"/>
        <n v="1"/>
        <n v="0.71"/>
        <n v="0.66"/>
        <n v="0.56999999999999995"/>
        <n v="0.46"/>
        <n v="0.42"/>
        <n v="0.39"/>
        <n v="0.44"/>
        <n v="0.47"/>
        <n v="0.5"/>
        <n v="0.43"/>
        <n v="0.4"/>
        <n v="0.35"/>
        <n v="0.3"/>
        <n v="0.32"/>
        <n v="0.64"/>
        <n v="0.69"/>
        <n v="0.55000000000000004"/>
        <n v="0.59"/>
        <n v="0.63"/>
        <n v="0.68"/>
        <n v="0.74"/>
        <n v="0.51"/>
        <n v="0.56000000000000005"/>
        <n v="0.52"/>
        <n v="0.49"/>
        <n v="0.48"/>
        <n v="0.37"/>
        <n v="0.33"/>
        <n v="0.28000000000000003"/>
        <n v="0.38"/>
        <n v="0.36"/>
        <n v="0.93"/>
        <n v="0.28999999999999998"/>
        <n v="0.53"/>
        <n v="0.34"/>
        <n v="0.54"/>
        <n v="0.41"/>
        <n v="0.45"/>
        <n v="0.92"/>
        <n v="0.62"/>
        <n v="0.57999999999999996"/>
        <n v="0.61"/>
        <n v="0.6"/>
        <n v="0.65"/>
        <n v="0.7"/>
        <n v="0.27"/>
        <n v="0.21"/>
        <n v="0.25"/>
        <n v="0.26"/>
        <n v="0.2727"/>
        <n v="0.2424"/>
        <n v="0.2273"/>
        <n v="0.21210000000000001"/>
        <n v="0.19700000000000001"/>
        <n v="0.18179999999999999"/>
        <n v="0.28789999999999999"/>
        <n v="0.31819999999999998"/>
        <n v="0.30299999999999999"/>
        <n v="0.33329999999999999"/>
        <n v="0.2576"/>
        <n v="0.16669999999999999"/>
        <n v="0.13639999999999999"/>
        <n v="0.1515"/>
        <n v="0.39389999999999997"/>
        <n v="0.1212"/>
        <n v="0.36359999999999998"/>
        <n v="0.34849999999999998"/>
        <n v="0.1061"/>
        <n v="7.5800000000000006E-2"/>
        <n v="0.40910000000000002"/>
        <n v="0.42420000000000002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945.818564814799" createdVersion="5" refreshedVersion="5" minRefreshableVersion="3" recordCount="1001" xr:uid="{00000000-000A-0000-FFFF-FFFF01000000}">
  <cacheSource type="worksheet">
    <worksheetSource ref="O1:Q1048576" sheet="Sheet1"/>
  </cacheSource>
  <cacheFields count="3">
    <cacheField name="CASUAL" numFmtId="0">
      <sharedItems containsString="0" containsBlank="1" containsNumber="1" containsInteger="1" minValue="0" maxValue="62" count="43">
        <n v="3"/>
        <n v="8"/>
        <n v="5"/>
        <n v="0"/>
        <n v="2"/>
        <n v="1"/>
        <n v="12"/>
        <n v="26"/>
        <n v="29"/>
        <n v="47"/>
        <n v="35"/>
        <n v="40"/>
        <n v="41"/>
        <n v="15"/>
        <n v="9"/>
        <n v="6"/>
        <n v="11"/>
        <n v="4"/>
        <n v="7"/>
        <n v="16"/>
        <n v="20"/>
        <n v="19"/>
        <n v="10"/>
        <n v="13"/>
        <n v="14"/>
        <n v="18"/>
        <n v="17"/>
        <n v="21"/>
        <n v="33"/>
        <n v="23"/>
        <n v="22"/>
        <n v="24"/>
        <n v="28"/>
        <n v="48"/>
        <n v="52"/>
        <n v="42"/>
        <n v="30"/>
        <n v="27"/>
        <n v="32"/>
        <n v="58"/>
        <n v="62"/>
        <n v="51"/>
        <m/>
      </sharedItems>
    </cacheField>
    <cacheField name="REGISTERED" numFmtId="0">
      <sharedItems containsString="0" containsBlank="1" containsNumber="1" containsInteger="1" minValue="0" maxValue="247" count="187">
        <n v="13"/>
        <n v="32"/>
        <n v="27"/>
        <n v="10"/>
        <n v="1"/>
        <n v="0"/>
        <n v="2"/>
        <n v="7"/>
        <n v="6"/>
        <n v="24"/>
        <n v="30"/>
        <n v="55"/>
        <n v="47"/>
        <n v="71"/>
        <n v="70"/>
        <n v="52"/>
        <n v="26"/>
        <n v="31"/>
        <n v="25"/>
        <n v="17"/>
        <n v="16"/>
        <n v="8"/>
        <n v="4"/>
        <n v="19"/>
        <n v="46"/>
        <n v="54"/>
        <n v="73"/>
        <n v="64"/>
        <n v="67"/>
        <n v="58"/>
        <n v="43"/>
        <n v="29"/>
        <n v="20"/>
        <n v="9"/>
        <n v="5"/>
        <n v="3"/>
        <n v="63"/>
        <n v="153"/>
        <n v="81"/>
        <n v="33"/>
        <n v="41"/>
        <n v="48"/>
        <n v="53"/>
        <n v="66"/>
        <n v="146"/>
        <n v="148"/>
        <n v="102"/>
        <n v="49"/>
        <n v="11"/>
        <n v="36"/>
        <n v="92"/>
        <n v="177"/>
        <n v="98"/>
        <n v="37"/>
        <n v="50"/>
        <n v="79"/>
        <n v="68"/>
        <n v="202"/>
        <n v="179"/>
        <n v="110"/>
        <n v="34"/>
        <n v="87"/>
        <n v="192"/>
        <n v="109"/>
        <n v="74"/>
        <n v="65"/>
        <n v="85"/>
        <n v="186"/>
        <n v="166"/>
        <n v="127"/>
        <n v="82"/>
        <n v="40"/>
        <n v="18"/>
        <n v="95"/>
        <n v="216"/>
        <n v="116"/>
        <n v="42"/>
        <n v="57"/>
        <n v="78"/>
        <n v="59"/>
        <n v="163"/>
        <n v="158"/>
        <n v="51"/>
        <n v="76"/>
        <n v="190"/>
        <n v="125"/>
        <n v="178"/>
        <n v="39"/>
        <n v="14"/>
        <n v="15"/>
        <n v="56"/>
        <n v="60"/>
        <n v="90"/>
        <n v="83"/>
        <n v="69"/>
        <n v="28"/>
        <n v="35"/>
        <n v="22"/>
        <n v="12"/>
        <n v="77"/>
        <n v="44"/>
        <n v="38"/>
        <n v="75"/>
        <n v="184"/>
        <n v="174"/>
        <n v="154"/>
        <n v="97"/>
        <n v="214"/>
        <n v="45"/>
        <n v="72"/>
        <n v="130"/>
        <n v="94"/>
        <n v="139"/>
        <n v="135"/>
        <n v="197"/>
        <n v="137"/>
        <n v="141"/>
        <n v="156"/>
        <n v="117"/>
        <n v="155"/>
        <n v="134"/>
        <n v="89"/>
        <n v="80"/>
        <n v="108"/>
        <n v="61"/>
        <n v="124"/>
        <n v="132"/>
        <n v="196"/>
        <n v="107"/>
        <n v="100"/>
        <n v="247"/>
        <n v="140"/>
        <n v="86"/>
        <n v="62"/>
        <n v="207"/>
        <n v="210"/>
        <n v="159"/>
        <n v="151"/>
        <n v="119"/>
        <n v="93"/>
        <n v="23"/>
        <n v="171"/>
        <n v="145"/>
        <n v="101"/>
        <n v="21"/>
        <n v="103"/>
        <n v="233"/>
        <n v="208"/>
        <n v="218"/>
        <n v="133"/>
        <n v="147"/>
        <n v="84"/>
        <n v="88"/>
        <n v="104"/>
        <n v="182"/>
        <n v="112"/>
        <n v="114"/>
        <n v="172"/>
        <n v="165"/>
        <n v="105"/>
        <n v="183"/>
        <n v="175"/>
        <n v="170"/>
        <n v="217"/>
        <n v="91"/>
        <n v="195"/>
        <n v="152"/>
        <n v="126"/>
        <n v="115"/>
        <n v="223"/>
        <n v="123"/>
        <n v="236"/>
        <n v="128"/>
        <n v="198"/>
        <n v="157"/>
        <n v="168"/>
        <n v="99"/>
        <n v="173"/>
        <n v="121"/>
        <n v="212"/>
        <n v="111"/>
        <n v="193"/>
        <n v="113"/>
        <n v="122"/>
        <n v="106"/>
        <n v="96"/>
        <m/>
      </sharedItems>
    </cacheField>
    <cacheField name="COUNT" numFmtId="0">
      <sharedItems containsString="0" containsBlank="1" containsNumber="1" containsInteger="1" minValue="0" maxValue="249" count="192">
        <n v="16"/>
        <n v="40"/>
        <n v="32"/>
        <n v="13"/>
        <n v="1"/>
        <n v="2"/>
        <n v="3"/>
        <n v="8"/>
        <n v="14"/>
        <n v="36"/>
        <n v="56"/>
        <n v="84"/>
        <n v="94"/>
        <n v="106"/>
        <n v="110"/>
        <n v="93"/>
        <n v="67"/>
        <n v="35"/>
        <n v="37"/>
        <n v="34"/>
        <n v="28"/>
        <n v="39"/>
        <n v="17"/>
        <n v="9"/>
        <n v="6"/>
        <n v="20"/>
        <n v="53"/>
        <n v="70"/>
        <n v="75"/>
        <n v="59"/>
        <n v="74"/>
        <n v="76"/>
        <n v="65"/>
        <n v="30"/>
        <n v="22"/>
        <n v="31"/>
        <n v="5"/>
        <n v="64"/>
        <n v="154"/>
        <n v="88"/>
        <n v="44"/>
        <n v="51"/>
        <n v="61"/>
        <n v="77"/>
        <n v="72"/>
        <n v="157"/>
        <n v="52"/>
        <n v="12"/>
        <n v="4"/>
        <n v="179"/>
        <n v="100"/>
        <n v="42"/>
        <n v="57"/>
        <n v="78"/>
        <n v="97"/>
        <n v="63"/>
        <n v="83"/>
        <n v="212"/>
        <n v="182"/>
        <n v="112"/>
        <n v="54"/>
        <n v="48"/>
        <n v="11"/>
        <n v="33"/>
        <n v="195"/>
        <n v="115"/>
        <n v="46"/>
        <n v="79"/>
        <n v="71"/>
        <n v="62"/>
        <n v="89"/>
        <n v="190"/>
        <n v="169"/>
        <n v="132"/>
        <n v="43"/>
        <n v="19"/>
        <n v="95"/>
        <n v="219"/>
        <n v="122"/>
        <n v="45"/>
        <n v="86"/>
        <n v="172"/>
        <n v="163"/>
        <n v="69"/>
        <n v="23"/>
        <n v="7"/>
        <n v="210"/>
        <n v="134"/>
        <n v="73"/>
        <n v="50"/>
        <n v="87"/>
        <n v="187"/>
        <n v="123"/>
        <n v="15"/>
        <n v="25"/>
        <n v="98"/>
        <n v="102"/>
        <n v="55"/>
        <n v="10"/>
        <n v="49"/>
        <n v="82"/>
        <n v="92"/>
        <n v="41"/>
        <n v="38"/>
        <n v="188"/>
        <n v="47"/>
        <n v="178"/>
        <n v="155"/>
        <n v="24"/>
        <n v="18"/>
        <n v="27"/>
        <n v="99"/>
        <n v="217"/>
        <n v="130"/>
        <n v="136"/>
        <n v="29"/>
        <n v="128"/>
        <n v="81"/>
        <n v="68"/>
        <n v="139"/>
        <n v="137"/>
        <n v="202"/>
        <n v="60"/>
        <n v="162"/>
        <n v="144"/>
        <n v="158"/>
        <n v="117"/>
        <n v="90"/>
        <n v="159"/>
        <n v="101"/>
        <n v="118"/>
        <n v="129"/>
        <n v="26"/>
        <n v="104"/>
        <n v="91"/>
        <n v="113"/>
        <n v="105"/>
        <n v="21"/>
        <n v="80"/>
        <n v="125"/>
        <n v="133"/>
        <n v="197"/>
        <n v="109"/>
        <n v="161"/>
        <n v="249"/>
        <n v="143"/>
        <n v="215"/>
        <n v="185"/>
        <n v="152"/>
        <n v="126"/>
        <n v="166"/>
        <n v="120"/>
        <n v="96"/>
        <n v="103"/>
        <n v="58"/>
        <n v="116"/>
        <n v="177"/>
        <n v="184"/>
        <n v="153"/>
        <n v="108"/>
        <n v="238"/>
        <n v="222"/>
        <n v="225"/>
        <n v="146"/>
        <n v="119"/>
        <n v="149"/>
        <n v="107"/>
        <n v="156"/>
        <n v="111"/>
        <n v="135"/>
        <n v="176"/>
        <n v="168"/>
        <n v="175"/>
        <n v="147"/>
        <n v="220"/>
        <n v="127"/>
        <n v="205"/>
        <n v="174"/>
        <n v="121"/>
        <n v="230"/>
        <n v="66"/>
        <n v="114"/>
        <n v="216"/>
        <n v="243"/>
        <n v="199"/>
        <n v="170"/>
        <n v="165"/>
        <n v="160"/>
        <n v="140"/>
        <n v="211"/>
        <n v="14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945.925023148098" createdVersion="5" refreshedVersion="5" minRefreshableVersion="3" recordCount="1001" xr:uid="{00000000-000A-0000-FFFF-FFFF02000000}">
  <cacheSource type="worksheet">
    <worksheetSource ref="N1:N1048576" sheet="Sheet1"/>
  </cacheSource>
  <cacheFields count="1">
    <cacheField name="WINDSPEED" numFmtId="0">
      <sharedItems containsString="0" containsBlank="1" containsNumber="1" minValue="0" maxValue="0.58209999999999995" count="21">
        <n v="0"/>
        <n v="8.9599999999999999E-2"/>
        <n v="0.25369999999999998"/>
        <n v="0.28360000000000002"/>
        <n v="0.29849999999999999"/>
        <n v="0.19400000000000001"/>
        <n v="0.22389999999999999"/>
        <n v="0.1343"/>
        <n v="0.16420000000000001"/>
        <n v="0.32840000000000003"/>
        <n v="0.44779999999999998"/>
        <n v="0.35820000000000002"/>
        <n v="0.41789999999999999"/>
        <n v="0.3881"/>
        <n v="0.1045"/>
        <n v="0.49249999999999999"/>
        <n v="0.55220000000000002"/>
        <n v="0.4627"/>
        <n v="0.52239999999999998"/>
        <n v="0.5820999999999999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945.929768518501" createdVersion="5" refreshedVersion="5" minRefreshableVersion="3" recordCount="1000" xr:uid="{00000000-000A-0000-FFFF-FFFF03000000}">
  <cacheSource type="worksheet">
    <worksheetSource ref="M1:N1001" sheet="Sheet1"/>
  </cacheSource>
  <cacheFields count="2">
    <cacheField name="ATEMP" numFmtId="0">
      <sharedItems containsString="0" containsBlank="1" containsNumber="1" minValue="0" maxValue="1" count="88">
        <n v="0.28789999999999999"/>
        <n v="0.2727"/>
        <n v="0.2576"/>
        <m/>
        <n v="0.34849999999999998"/>
        <n v="0.39389999999999997"/>
        <n v="0.33329999999999999"/>
        <n v="0.42420000000000002"/>
        <n v="0.45450000000000002"/>
        <n v="0.43940000000000001"/>
        <n v="0.40910000000000002"/>
        <n v="0.2273"/>
        <n v="0.21210000000000001"/>
        <n v="0.19700000000000001"/>
        <n v="0.13639999999999999"/>
        <n v="0.1061"/>
        <n v="0.1212"/>
        <n v="0.16669999999999999"/>
        <n v="0.18179999999999999"/>
        <n v="0.2424"/>
        <n v="0.1515"/>
        <n v="0.31819999999999998"/>
        <n v="6.0600000000000001E-2"/>
        <n v="7.5800000000000006E-2"/>
        <n v="9.0899999999999995E-2"/>
        <n v="0.30299999999999999"/>
        <n v="3.0300000000000001E-2"/>
        <n v="4.5499999999999999E-2"/>
        <n v="0"/>
        <n v="1.52E-2"/>
        <n v="0.8"/>
        <n v="0.75"/>
        <n v="0.7"/>
        <n v="0.65"/>
        <n v="0.6"/>
        <n v="0.64"/>
        <n v="0.69"/>
        <n v="0.59"/>
        <n v="0.55000000000000004"/>
        <n v="0.74"/>
        <n v="0.93"/>
        <n v="0.86"/>
        <n v="0.52"/>
        <n v="0.61"/>
        <n v="0.56000000000000005"/>
        <n v="0.81"/>
        <n v="0.87"/>
        <n v="1"/>
        <n v="0.82"/>
        <n v="0.76"/>
        <n v="0.71"/>
        <n v="0.53"/>
        <n v="0.42"/>
        <n v="0.45"/>
        <n v="0.48"/>
        <n v="0.47"/>
        <n v="0.44"/>
        <n v="0.4"/>
        <n v="0.43"/>
        <n v="0.5"/>
        <n v="0.37"/>
        <n v="0.51"/>
        <n v="0.63"/>
        <n v="0.49"/>
        <n v="0.46"/>
        <n v="0.62"/>
        <n v="0.56999999999999995"/>
        <n v="0.54"/>
        <n v="0.66"/>
        <n v="0.38"/>
        <n v="0.32"/>
        <n v="0.35"/>
        <n v="0.33"/>
        <n v="0.36"/>
        <n v="0.39"/>
        <n v="0.34"/>
        <n v="0.28999999999999998"/>
        <n v="0.27"/>
        <n v="0.25"/>
        <n v="0.26"/>
        <n v="0.28000000000000003"/>
        <n v="0.31"/>
        <n v="0.68"/>
        <n v="0.73"/>
        <n v="0.21"/>
        <n v="0.24"/>
        <n v="0.41"/>
        <n v="0.3"/>
      </sharedItems>
    </cacheField>
    <cacheField name="WINDSPEED" numFmtId="0">
      <sharedItems containsSemiMixedTypes="0" containsString="0" containsNumber="1" minValue="0" maxValue="0.58209999999999995" count="20">
        <n v="0"/>
        <n v="8.9599999999999999E-2"/>
        <n v="0.25369999999999998"/>
        <n v="0.28360000000000002"/>
        <n v="0.29849999999999999"/>
        <n v="0.19400000000000001"/>
        <n v="0.22389999999999999"/>
        <n v="0.1343"/>
        <n v="0.16420000000000001"/>
        <n v="0.32840000000000003"/>
        <n v="0.44779999999999998"/>
        <n v="0.35820000000000002"/>
        <n v="0.41789999999999999"/>
        <n v="0.3881"/>
        <n v="0.1045"/>
        <n v="0.49249999999999999"/>
        <n v="0.55220000000000002"/>
        <n v="0.4627"/>
        <n v="0.52239999999999998"/>
        <n v="0.5820999999999999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945.933912036999" createdVersion="5" refreshedVersion="5" minRefreshableVersion="3" recordCount="1000" xr:uid="{00000000-000A-0000-FFFF-FFFF04000000}">
  <cacheSource type="worksheet">
    <worksheetSource ref="F1:Q1001" sheet="Sheet1"/>
  </cacheSource>
  <cacheFields count="12">
    <cacheField name="HOU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HOLIDAY" numFmtId="0">
      <sharedItems count="1">
        <b v="0"/>
      </sharedItems>
    </cacheField>
    <cacheField name="WEEKDAY" numFmtId="0">
      <sharedItems count="7">
        <s v="Saturday"/>
        <s v="Sunday"/>
        <s v="Monday"/>
        <s v="Tuesday"/>
        <s v="Wednesday"/>
        <s v="Thursday"/>
        <s v="Friday"/>
      </sharedItems>
    </cacheField>
    <cacheField name="WEEKDAY2" numFmtId="0">
      <sharedItems containsSemiMixedTypes="0" containsString="0" containsNumber="1" containsInteger="1" minValue="0" maxValue="6" count="7">
        <n v="6"/>
        <n v="0"/>
        <n v="1"/>
        <n v="2"/>
        <n v="3"/>
        <n v="4"/>
        <n v="5"/>
      </sharedItems>
    </cacheField>
    <cacheField name="WEATHERSHIT" numFmtId="0">
      <sharedItems count="2">
        <s v="Foggy"/>
        <s v="Clear"/>
      </sharedItems>
    </cacheField>
    <cacheField name="TEMP" numFmtId="0">
      <sharedItems containsSemiMixedTypes="0" containsString="0" containsNumber="1" minValue="0" maxValue="0.46" count="23">
        <n v="0.24"/>
        <n v="0.22"/>
        <n v="0.2"/>
        <n v="0.32"/>
        <n v="0.38"/>
        <n v="0.36"/>
        <n v="0.42"/>
        <n v="0.46"/>
        <n v="0.44"/>
        <n v="0.4"/>
        <n v="0.34"/>
        <n v="0.3"/>
        <n v="0.26"/>
        <n v="0.16"/>
        <n v="0.14000000000000001"/>
        <n v="0.18"/>
        <n v="0.12"/>
        <n v="0.28000000000000003"/>
        <n v="0.1"/>
        <n v="0.08"/>
        <n v="0.06"/>
        <n v="0.04"/>
        <n v="0.02"/>
      </sharedItems>
    </cacheField>
    <cacheField name="HUMIDITY" numFmtId="0">
      <sharedItems containsSemiMixedTypes="0" containsString="0" containsNumber="1" minValue="0" maxValue="1" count="83">
        <n v="0.81"/>
        <n v="0.8"/>
        <n v="0.75"/>
        <n v="0.86"/>
        <n v="0.76"/>
        <n v="0.77"/>
        <n v="0.72"/>
        <n v="0.82"/>
        <n v="0.88"/>
        <n v="0.87"/>
        <n v="0.94"/>
        <n v="1"/>
        <n v="0.71"/>
        <n v="0.66"/>
        <n v="0.56999999999999995"/>
        <n v="0.46"/>
        <n v="0.42"/>
        <n v="0.39"/>
        <n v="0.44"/>
        <n v="0.47"/>
        <n v="0.5"/>
        <n v="0.43"/>
        <n v="0.4"/>
        <n v="0.35"/>
        <n v="0.3"/>
        <n v="0.32"/>
        <n v="0.64"/>
        <n v="0.69"/>
        <n v="0.55000000000000004"/>
        <n v="0.59"/>
        <n v="0.63"/>
        <n v="0.68"/>
        <n v="0.74"/>
        <n v="0.51"/>
        <n v="0.56000000000000005"/>
        <n v="0.52"/>
        <n v="0.49"/>
        <n v="0.48"/>
        <n v="0.37"/>
        <n v="0.33"/>
        <n v="0.28000000000000003"/>
        <n v="0.38"/>
        <n v="0.36"/>
        <n v="0.93"/>
        <n v="0.28999999999999998"/>
        <n v="0.53"/>
        <n v="0.34"/>
        <n v="0.54"/>
        <n v="0.41"/>
        <n v="0.45"/>
        <n v="0.92"/>
        <n v="0.62"/>
        <n v="0.57999999999999996"/>
        <n v="0.61"/>
        <n v="0.6"/>
        <n v="0.65"/>
        <n v="0.7"/>
        <n v="0.27"/>
        <n v="0.21"/>
        <n v="0.25"/>
        <n v="0.26"/>
        <n v="0.2727"/>
        <n v="0.2424"/>
        <n v="0.2273"/>
        <n v="0.21210000000000001"/>
        <n v="0.19700000000000001"/>
        <n v="0.18179999999999999"/>
        <n v="0.28789999999999999"/>
        <n v="0.31819999999999998"/>
        <n v="0.30299999999999999"/>
        <n v="0.33329999999999999"/>
        <n v="0.2576"/>
        <n v="0.16669999999999999"/>
        <n v="0.13639999999999999"/>
        <n v="0.1515"/>
        <n v="0.39389999999999997"/>
        <n v="0.1212"/>
        <n v="0.36359999999999998"/>
        <n v="0.34849999999999998"/>
        <n v="0.1061"/>
        <n v="7.5800000000000006E-2"/>
        <n v="0.40910000000000002"/>
        <n v="0.42420000000000002"/>
      </sharedItems>
    </cacheField>
    <cacheField name="ATEMP" numFmtId="0">
      <sharedItems containsString="0" containsBlank="1" containsNumber="1" minValue="0" maxValue="1" count="88">
        <n v="0.28789999999999999"/>
        <n v="0.2727"/>
        <n v="0.2576"/>
        <m/>
        <n v="0.34849999999999998"/>
        <n v="0.39389999999999997"/>
        <n v="0.33329999999999999"/>
        <n v="0.42420000000000002"/>
        <n v="0.45450000000000002"/>
        <n v="0.43940000000000001"/>
        <n v="0.40910000000000002"/>
        <n v="0.2273"/>
        <n v="0.21210000000000001"/>
        <n v="0.19700000000000001"/>
        <n v="0.13639999999999999"/>
        <n v="0.1061"/>
        <n v="0.1212"/>
        <n v="0.16669999999999999"/>
        <n v="0.18179999999999999"/>
        <n v="0.2424"/>
        <n v="0.1515"/>
        <n v="0.31819999999999998"/>
        <n v="6.0600000000000001E-2"/>
        <n v="7.5800000000000006E-2"/>
        <n v="9.0899999999999995E-2"/>
        <n v="0.30299999999999999"/>
        <n v="3.0300000000000001E-2"/>
        <n v="4.5499999999999999E-2"/>
        <n v="0"/>
        <n v="1.52E-2"/>
        <n v="0.8"/>
        <n v="0.75"/>
        <n v="0.7"/>
        <n v="0.65"/>
        <n v="0.6"/>
        <n v="0.64"/>
        <n v="0.69"/>
        <n v="0.59"/>
        <n v="0.55000000000000004"/>
        <n v="0.74"/>
        <n v="0.93"/>
        <n v="0.86"/>
        <n v="0.52"/>
        <n v="0.61"/>
        <n v="0.56000000000000005"/>
        <n v="0.81"/>
        <n v="0.87"/>
        <n v="1"/>
        <n v="0.82"/>
        <n v="0.76"/>
        <n v="0.71"/>
        <n v="0.53"/>
        <n v="0.42"/>
        <n v="0.45"/>
        <n v="0.48"/>
        <n v="0.47"/>
        <n v="0.44"/>
        <n v="0.4"/>
        <n v="0.43"/>
        <n v="0.5"/>
        <n v="0.37"/>
        <n v="0.51"/>
        <n v="0.63"/>
        <n v="0.49"/>
        <n v="0.46"/>
        <n v="0.62"/>
        <n v="0.56999999999999995"/>
        <n v="0.54"/>
        <n v="0.66"/>
        <n v="0.38"/>
        <n v="0.32"/>
        <n v="0.35"/>
        <n v="0.33"/>
        <n v="0.36"/>
        <n v="0.39"/>
        <n v="0.34"/>
        <n v="0.28999999999999998"/>
        <n v="0.27"/>
        <n v="0.25"/>
        <n v="0.26"/>
        <n v="0.28000000000000003"/>
        <n v="0.31"/>
        <n v="0.68"/>
        <n v="0.73"/>
        <n v="0.21"/>
        <n v="0.24"/>
        <n v="0.41"/>
        <n v="0.3"/>
      </sharedItems>
    </cacheField>
    <cacheField name="WINDSPEED" numFmtId="0">
      <sharedItems containsSemiMixedTypes="0" containsString="0" containsNumber="1" minValue="0" maxValue="0.58209999999999995" count="20">
        <n v="0"/>
        <n v="8.9599999999999999E-2"/>
        <n v="0.25369999999999998"/>
        <n v="0.28360000000000002"/>
        <n v="0.29849999999999999"/>
        <n v="0.19400000000000001"/>
        <n v="0.22389999999999999"/>
        <n v="0.1343"/>
        <n v="0.16420000000000001"/>
        <n v="0.32840000000000003"/>
        <n v="0.44779999999999998"/>
        <n v="0.35820000000000002"/>
        <n v="0.41789999999999999"/>
        <n v="0.3881"/>
        <n v="0.1045"/>
        <n v="0.49249999999999999"/>
        <n v="0.55220000000000002"/>
        <n v="0.4627"/>
        <n v="0.52239999999999998"/>
        <n v="0.58209999999999995"/>
      </sharedItems>
    </cacheField>
    <cacheField name="CASUAL" numFmtId="0">
      <sharedItems containsSemiMixedTypes="0" containsString="0" containsNumber="1" containsInteger="1" minValue="0" maxValue="62" count="42">
        <n v="3"/>
        <n v="8"/>
        <n v="5"/>
        <n v="0"/>
        <n v="2"/>
        <n v="1"/>
        <n v="12"/>
        <n v="26"/>
        <n v="29"/>
        <n v="47"/>
        <n v="35"/>
        <n v="40"/>
        <n v="41"/>
        <n v="15"/>
        <n v="9"/>
        <n v="6"/>
        <n v="11"/>
        <n v="4"/>
        <n v="7"/>
        <n v="16"/>
        <n v="20"/>
        <n v="19"/>
        <n v="10"/>
        <n v="13"/>
        <n v="14"/>
        <n v="18"/>
        <n v="17"/>
        <n v="21"/>
        <n v="33"/>
        <n v="23"/>
        <n v="22"/>
        <n v="24"/>
        <n v="28"/>
        <n v="48"/>
        <n v="52"/>
        <n v="42"/>
        <n v="30"/>
        <n v="27"/>
        <n v="32"/>
        <n v="58"/>
        <n v="62"/>
        <n v="51"/>
      </sharedItems>
    </cacheField>
    <cacheField name="REGISTERED" numFmtId="0">
      <sharedItems containsSemiMixedTypes="0" containsString="0" containsNumber="1" containsInteger="1" minValue="0" maxValue="247" count="186">
        <n v="13"/>
        <n v="32"/>
        <n v="27"/>
        <n v="10"/>
        <n v="1"/>
        <n v="0"/>
        <n v="2"/>
        <n v="7"/>
        <n v="6"/>
        <n v="24"/>
        <n v="30"/>
        <n v="55"/>
        <n v="47"/>
        <n v="71"/>
        <n v="70"/>
        <n v="52"/>
        <n v="26"/>
        <n v="31"/>
        <n v="25"/>
        <n v="17"/>
        <n v="16"/>
        <n v="8"/>
        <n v="4"/>
        <n v="19"/>
        <n v="46"/>
        <n v="54"/>
        <n v="73"/>
        <n v="64"/>
        <n v="67"/>
        <n v="58"/>
        <n v="43"/>
        <n v="29"/>
        <n v="20"/>
        <n v="9"/>
        <n v="5"/>
        <n v="3"/>
        <n v="63"/>
        <n v="153"/>
        <n v="81"/>
        <n v="33"/>
        <n v="41"/>
        <n v="48"/>
        <n v="53"/>
        <n v="66"/>
        <n v="146"/>
        <n v="148"/>
        <n v="102"/>
        <n v="49"/>
        <n v="11"/>
        <n v="36"/>
        <n v="92"/>
        <n v="177"/>
        <n v="98"/>
        <n v="37"/>
        <n v="50"/>
        <n v="79"/>
        <n v="68"/>
        <n v="202"/>
        <n v="179"/>
        <n v="110"/>
        <n v="34"/>
        <n v="87"/>
        <n v="192"/>
        <n v="109"/>
        <n v="74"/>
        <n v="65"/>
        <n v="85"/>
        <n v="186"/>
        <n v="166"/>
        <n v="127"/>
        <n v="82"/>
        <n v="40"/>
        <n v="18"/>
        <n v="95"/>
        <n v="216"/>
        <n v="116"/>
        <n v="42"/>
        <n v="57"/>
        <n v="78"/>
        <n v="59"/>
        <n v="163"/>
        <n v="158"/>
        <n v="51"/>
        <n v="76"/>
        <n v="190"/>
        <n v="125"/>
        <n v="178"/>
        <n v="39"/>
        <n v="14"/>
        <n v="15"/>
        <n v="56"/>
        <n v="60"/>
        <n v="90"/>
        <n v="83"/>
        <n v="69"/>
        <n v="28"/>
        <n v="35"/>
        <n v="22"/>
        <n v="12"/>
        <n v="77"/>
        <n v="44"/>
        <n v="38"/>
        <n v="75"/>
        <n v="184"/>
        <n v="174"/>
        <n v="154"/>
        <n v="97"/>
        <n v="214"/>
        <n v="45"/>
        <n v="72"/>
        <n v="130"/>
        <n v="94"/>
        <n v="139"/>
        <n v="135"/>
        <n v="197"/>
        <n v="137"/>
        <n v="141"/>
        <n v="156"/>
        <n v="117"/>
        <n v="155"/>
        <n v="134"/>
        <n v="89"/>
        <n v="80"/>
        <n v="108"/>
        <n v="61"/>
        <n v="124"/>
        <n v="132"/>
        <n v="196"/>
        <n v="107"/>
        <n v="100"/>
        <n v="247"/>
        <n v="140"/>
        <n v="86"/>
        <n v="62"/>
        <n v="207"/>
        <n v="210"/>
        <n v="159"/>
        <n v="151"/>
        <n v="119"/>
        <n v="93"/>
        <n v="23"/>
        <n v="171"/>
        <n v="145"/>
        <n v="101"/>
        <n v="21"/>
        <n v="103"/>
        <n v="233"/>
        <n v="208"/>
        <n v="218"/>
        <n v="133"/>
        <n v="147"/>
        <n v="84"/>
        <n v="88"/>
        <n v="104"/>
        <n v="182"/>
        <n v="112"/>
        <n v="114"/>
        <n v="172"/>
        <n v="165"/>
        <n v="105"/>
        <n v="183"/>
        <n v="175"/>
        <n v="170"/>
        <n v="217"/>
        <n v="91"/>
        <n v="195"/>
        <n v="152"/>
        <n v="126"/>
        <n v="115"/>
        <n v="223"/>
        <n v="123"/>
        <n v="236"/>
        <n v="128"/>
        <n v="198"/>
        <n v="157"/>
        <n v="168"/>
        <n v="99"/>
        <n v="173"/>
        <n v="121"/>
        <n v="212"/>
        <n v="111"/>
        <n v="193"/>
        <n v="113"/>
        <n v="122"/>
        <n v="106"/>
        <n v="96"/>
      </sharedItems>
    </cacheField>
    <cacheField name="COUNT" numFmtId="0">
      <sharedItems containsSemiMixedTypes="0" containsString="0" containsNumber="1" containsInteger="1" minValue="0" maxValue="249" count="191">
        <n v="16"/>
        <n v="40"/>
        <n v="32"/>
        <n v="13"/>
        <n v="1"/>
        <n v="2"/>
        <n v="3"/>
        <n v="8"/>
        <n v="14"/>
        <n v="36"/>
        <n v="56"/>
        <n v="84"/>
        <n v="94"/>
        <n v="106"/>
        <n v="110"/>
        <n v="93"/>
        <n v="67"/>
        <n v="35"/>
        <n v="37"/>
        <n v="34"/>
        <n v="28"/>
        <n v="39"/>
        <n v="17"/>
        <n v="9"/>
        <n v="6"/>
        <n v="20"/>
        <n v="53"/>
        <n v="70"/>
        <n v="75"/>
        <n v="59"/>
        <n v="74"/>
        <n v="76"/>
        <n v="65"/>
        <n v="30"/>
        <n v="22"/>
        <n v="31"/>
        <n v="5"/>
        <n v="64"/>
        <n v="154"/>
        <n v="88"/>
        <n v="44"/>
        <n v="51"/>
        <n v="61"/>
        <n v="77"/>
        <n v="72"/>
        <n v="157"/>
        <n v="52"/>
        <n v="12"/>
        <n v="4"/>
        <n v="179"/>
        <n v="100"/>
        <n v="42"/>
        <n v="57"/>
        <n v="78"/>
        <n v="97"/>
        <n v="63"/>
        <n v="83"/>
        <n v="212"/>
        <n v="182"/>
        <n v="112"/>
        <n v="54"/>
        <n v="48"/>
        <n v="11"/>
        <n v="33"/>
        <n v="195"/>
        <n v="115"/>
        <n v="46"/>
        <n v="79"/>
        <n v="71"/>
        <n v="62"/>
        <n v="89"/>
        <n v="190"/>
        <n v="169"/>
        <n v="132"/>
        <n v="43"/>
        <n v="19"/>
        <n v="95"/>
        <n v="219"/>
        <n v="122"/>
        <n v="45"/>
        <n v="86"/>
        <n v="172"/>
        <n v="163"/>
        <n v="69"/>
        <n v="23"/>
        <n v="7"/>
        <n v="210"/>
        <n v="134"/>
        <n v="73"/>
        <n v="50"/>
        <n v="87"/>
        <n v="187"/>
        <n v="123"/>
        <n v="15"/>
        <n v="25"/>
        <n v="98"/>
        <n v="102"/>
        <n v="55"/>
        <n v="10"/>
        <n v="49"/>
        <n v="82"/>
        <n v="92"/>
        <n v="41"/>
        <n v="38"/>
        <n v="188"/>
        <n v="47"/>
        <n v="178"/>
        <n v="155"/>
        <n v="24"/>
        <n v="18"/>
        <n v="27"/>
        <n v="99"/>
        <n v="217"/>
        <n v="130"/>
        <n v="136"/>
        <n v="29"/>
        <n v="128"/>
        <n v="81"/>
        <n v="68"/>
        <n v="139"/>
        <n v="137"/>
        <n v="202"/>
        <n v="60"/>
        <n v="162"/>
        <n v="144"/>
        <n v="158"/>
        <n v="117"/>
        <n v="90"/>
        <n v="159"/>
        <n v="101"/>
        <n v="118"/>
        <n v="129"/>
        <n v="26"/>
        <n v="104"/>
        <n v="91"/>
        <n v="113"/>
        <n v="105"/>
        <n v="21"/>
        <n v="80"/>
        <n v="125"/>
        <n v="133"/>
        <n v="197"/>
        <n v="109"/>
        <n v="161"/>
        <n v="249"/>
        <n v="143"/>
        <n v="215"/>
        <n v="185"/>
        <n v="152"/>
        <n v="126"/>
        <n v="166"/>
        <n v="120"/>
        <n v="96"/>
        <n v="103"/>
        <n v="58"/>
        <n v="116"/>
        <n v="177"/>
        <n v="184"/>
        <n v="153"/>
        <n v="108"/>
        <n v="238"/>
        <n v="222"/>
        <n v="225"/>
        <n v="146"/>
        <n v="119"/>
        <n v="149"/>
        <n v="107"/>
        <n v="156"/>
        <n v="111"/>
        <n v="135"/>
        <n v="176"/>
        <n v="168"/>
        <n v="175"/>
        <n v="147"/>
        <n v="220"/>
        <n v="127"/>
        <n v="205"/>
        <n v="174"/>
        <n v="121"/>
        <n v="230"/>
        <n v="66"/>
        <n v="114"/>
        <n v="216"/>
        <n v="243"/>
        <n v="199"/>
        <n v="170"/>
        <n v="165"/>
        <n v="160"/>
        <n v="140"/>
        <n v="211"/>
        <n v="14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1">
  <r>
    <x v="0"/>
    <x v="0"/>
  </r>
  <r>
    <x v="1"/>
    <x v="1"/>
  </r>
  <r>
    <x v="1"/>
    <x v="1"/>
  </r>
  <r>
    <x v="0"/>
    <x v="2"/>
  </r>
  <r>
    <x v="0"/>
    <x v="2"/>
  </r>
  <r>
    <x v="0"/>
    <x v="2"/>
  </r>
  <r>
    <x v="1"/>
    <x v="1"/>
  </r>
  <r>
    <x v="2"/>
    <x v="3"/>
  </r>
  <r>
    <x v="0"/>
    <x v="2"/>
  </r>
  <r>
    <x v="3"/>
    <x v="4"/>
  </r>
  <r>
    <x v="4"/>
    <x v="4"/>
  </r>
  <r>
    <x v="5"/>
    <x v="0"/>
  </r>
  <r>
    <x v="6"/>
    <x v="5"/>
  </r>
  <r>
    <x v="7"/>
    <x v="6"/>
  </r>
  <r>
    <x v="7"/>
    <x v="6"/>
  </r>
  <r>
    <x v="8"/>
    <x v="5"/>
  </r>
  <r>
    <x v="6"/>
    <x v="7"/>
  </r>
  <r>
    <x v="8"/>
    <x v="7"/>
  </r>
  <r>
    <x v="6"/>
    <x v="8"/>
  </r>
  <r>
    <x v="6"/>
    <x v="8"/>
  </r>
  <r>
    <x v="9"/>
    <x v="9"/>
  </r>
  <r>
    <x v="9"/>
    <x v="9"/>
  </r>
  <r>
    <x v="9"/>
    <x v="10"/>
  </r>
  <r>
    <x v="7"/>
    <x v="8"/>
  </r>
  <r>
    <x v="7"/>
    <x v="8"/>
  </r>
  <r>
    <x v="8"/>
    <x v="10"/>
  </r>
  <r>
    <x v="6"/>
    <x v="11"/>
  </r>
  <r>
    <x v="7"/>
    <x v="10"/>
  </r>
  <r>
    <x v="7"/>
    <x v="10"/>
  </r>
  <r>
    <x v="6"/>
    <x v="5"/>
  </r>
  <r>
    <x v="9"/>
    <x v="4"/>
  </r>
  <r>
    <x v="9"/>
    <x v="12"/>
  </r>
  <r>
    <x v="4"/>
    <x v="4"/>
  </r>
  <r>
    <x v="5"/>
    <x v="0"/>
  </r>
  <r>
    <x v="5"/>
    <x v="12"/>
  </r>
  <r>
    <x v="5"/>
    <x v="13"/>
  </r>
  <r>
    <x v="5"/>
    <x v="13"/>
  </r>
  <r>
    <x v="5"/>
    <x v="4"/>
  </r>
  <r>
    <x v="10"/>
    <x v="0"/>
  </r>
  <r>
    <x v="10"/>
    <x v="12"/>
  </r>
  <r>
    <x v="10"/>
    <x v="14"/>
  </r>
  <r>
    <x v="5"/>
    <x v="15"/>
  </r>
  <r>
    <x v="3"/>
    <x v="16"/>
  </r>
  <r>
    <x v="11"/>
    <x v="17"/>
  </r>
  <r>
    <x v="12"/>
    <x v="18"/>
  </r>
  <r>
    <x v="0"/>
    <x v="18"/>
  </r>
  <r>
    <x v="1"/>
    <x v="19"/>
  </r>
  <r>
    <x v="1"/>
    <x v="18"/>
  </r>
  <r>
    <x v="2"/>
    <x v="18"/>
  </r>
  <r>
    <x v="13"/>
    <x v="19"/>
  </r>
  <r>
    <x v="13"/>
    <x v="19"/>
  </r>
  <r>
    <x v="14"/>
    <x v="20"/>
  </r>
  <r>
    <x v="14"/>
    <x v="20"/>
  </r>
  <r>
    <x v="14"/>
    <x v="20"/>
  </r>
  <r>
    <x v="13"/>
    <x v="21"/>
  </r>
  <r>
    <x v="15"/>
    <x v="21"/>
  </r>
  <r>
    <x v="2"/>
    <x v="22"/>
  </r>
  <r>
    <x v="1"/>
    <x v="23"/>
  </r>
  <r>
    <x v="0"/>
    <x v="23"/>
  </r>
  <r>
    <x v="12"/>
    <x v="24"/>
  </r>
  <r>
    <x v="12"/>
    <x v="24"/>
  </r>
  <r>
    <x v="12"/>
    <x v="24"/>
  </r>
  <r>
    <x v="0"/>
    <x v="24"/>
  </r>
  <r>
    <x v="0"/>
    <x v="25"/>
  </r>
  <r>
    <x v="2"/>
    <x v="19"/>
  </r>
  <r>
    <x v="2"/>
    <x v="19"/>
  </r>
  <r>
    <x v="15"/>
    <x v="26"/>
  </r>
  <r>
    <x v="14"/>
    <x v="27"/>
  </r>
  <r>
    <x v="15"/>
    <x v="28"/>
  </r>
  <r>
    <x v="13"/>
    <x v="28"/>
  </r>
  <r>
    <x v="13"/>
    <x v="29"/>
  </r>
  <r>
    <x v="14"/>
    <x v="30"/>
  </r>
  <r>
    <x v="14"/>
    <x v="30"/>
  </r>
  <r>
    <x v="16"/>
    <x v="31"/>
  </r>
  <r>
    <x v="16"/>
    <x v="32"/>
  </r>
  <r>
    <x v="16"/>
    <x v="32"/>
  </r>
  <r>
    <x v="14"/>
    <x v="27"/>
  </r>
  <r>
    <x v="13"/>
    <x v="26"/>
  </r>
  <r>
    <x v="13"/>
    <x v="27"/>
  </r>
  <r>
    <x v="1"/>
    <x v="33"/>
  </r>
  <r>
    <x v="1"/>
    <x v="33"/>
  </r>
  <r>
    <x v="0"/>
    <x v="34"/>
  </r>
  <r>
    <x v="12"/>
    <x v="35"/>
  </r>
  <r>
    <x v="17"/>
    <x v="35"/>
  </r>
  <r>
    <x v="11"/>
    <x v="36"/>
  </r>
  <r>
    <x v="17"/>
    <x v="37"/>
  </r>
  <r>
    <x v="12"/>
    <x v="37"/>
  </r>
  <r>
    <x v="0"/>
    <x v="37"/>
  </r>
  <r>
    <x v="0"/>
    <x v="37"/>
  </r>
  <r>
    <x v="1"/>
    <x v="26"/>
  </r>
  <r>
    <x v="1"/>
    <x v="26"/>
  </r>
  <r>
    <x v="2"/>
    <x v="27"/>
  </r>
  <r>
    <x v="2"/>
    <x v="26"/>
  </r>
  <r>
    <x v="13"/>
    <x v="32"/>
  </r>
  <r>
    <x v="13"/>
    <x v="32"/>
  </r>
  <r>
    <x v="0"/>
    <x v="37"/>
  </r>
  <r>
    <x v="1"/>
    <x v="19"/>
  </r>
  <r>
    <x v="2"/>
    <x v="19"/>
  </r>
  <r>
    <x v="15"/>
    <x v="21"/>
  </r>
  <r>
    <x v="2"/>
    <x v="22"/>
  </r>
  <r>
    <x v="1"/>
    <x v="38"/>
  </r>
  <r>
    <x v="1"/>
    <x v="38"/>
  </r>
  <r>
    <x v="12"/>
    <x v="39"/>
  </r>
  <r>
    <x v="12"/>
    <x v="39"/>
  </r>
  <r>
    <x v="17"/>
    <x v="24"/>
  </r>
  <r>
    <x v="11"/>
    <x v="40"/>
  </r>
  <r>
    <x v="11"/>
    <x v="40"/>
  </r>
  <r>
    <x v="11"/>
    <x v="40"/>
  </r>
  <r>
    <x v="0"/>
    <x v="41"/>
  </r>
  <r>
    <x v="0"/>
    <x v="41"/>
  </r>
  <r>
    <x v="0"/>
    <x v="41"/>
  </r>
  <r>
    <x v="1"/>
    <x v="19"/>
  </r>
  <r>
    <x v="2"/>
    <x v="33"/>
  </r>
  <r>
    <x v="15"/>
    <x v="28"/>
  </r>
  <r>
    <x v="2"/>
    <x v="19"/>
  </r>
  <r>
    <x v="15"/>
    <x v="28"/>
  </r>
  <r>
    <x v="13"/>
    <x v="26"/>
  </r>
  <r>
    <x v="13"/>
    <x v="26"/>
  </r>
  <r>
    <x v="13"/>
    <x v="26"/>
  </r>
  <r>
    <x v="14"/>
    <x v="27"/>
  </r>
  <r>
    <x v="14"/>
    <x v="30"/>
  </r>
  <r>
    <x v="13"/>
    <x v="29"/>
  </r>
  <r>
    <x v="13"/>
    <x v="29"/>
  </r>
  <r>
    <x v="15"/>
    <x v="33"/>
  </r>
  <r>
    <x v="2"/>
    <x v="19"/>
  </r>
  <r>
    <x v="1"/>
    <x v="18"/>
  </r>
  <r>
    <x v="12"/>
    <x v="23"/>
  </r>
  <r>
    <x v="12"/>
    <x v="23"/>
  </r>
  <r>
    <x v="17"/>
    <x v="42"/>
  </r>
  <r>
    <x v="17"/>
    <x v="42"/>
  </r>
  <r>
    <x v="12"/>
    <x v="41"/>
  </r>
  <r>
    <x v="1"/>
    <x v="33"/>
  </r>
  <r>
    <x v="1"/>
    <x v="33"/>
  </r>
  <r>
    <x v="1"/>
    <x v="28"/>
  </r>
  <r>
    <x v="2"/>
    <x v="33"/>
  </r>
  <r>
    <x v="1"/>
    <x v="28"/>
  </r>
  <r>
    <x v="1"/>
    <x v="33"/>
  </r>
  <r>
    <x v="2"/>
    <x v="29"/>
  </r>
  <r>
    <x v="2"/>
    <x v="26"/>
  </r>
  <r>
    <x v="2"/>
    <x v="27"/>
  </r>
  <r>
    <x v="2"/>
    <x v="27"/>
  </r>
  <r>
    <x v="2"/>
    <x v="27"/>
  </r>
  <r>
    <x v="1"/>
    <x v="28"/>
  </r>
  <r>
    <x v="2"/>
    <x v="27"/>
  </r>
  <r>
    <x v="2"/>
    <x v="27"/>
  </r>
  <r>
    <x v="2"/>
    <x v="33"/>
  </r>
  <r>
    <x v="2"/>
    <x v="19"/>
  </r>
  <r>
    <x v="1"/>
    <x v="38"/>
  </r>
  <r>
    <x v="2"/>
    <x v="22"/>
  </r>
  <r>
    <x v="2"/>
    <x v="38"/>
  </r>
  <r>
    <x v="2"/>
    <x v="38"/>
  </r>
  <r>
    <x v="2"/>
    <x v="22"/>
  </r>
  <r>
    <x v="2"/>
    <x v="38"/>
  </r>
  <r>
    <x v="2"/>
    <x v="38"/>
  </r>
  <r>
    <x v="2"/>
    <x v="38"/>
  </r>
  <r>
    <x v="2"/>
    <x v="22"/>
  </r>
  <r>
    <x v="13"/>
    <x v="28"/>
  </r>
  <r>
    <x v="15"/>
    <x v="19"/>
  </r>
  <r>
    <x v="15"/>
    <x v="19"/>
  </r>
  <r>
    <x v="15"/>
    <x v="21"/>
  </r>
  <r>
    <x v="15"/>
    <x v="33"/>
  </r>
  <r>
    <x v="15"/>
    <x v="33"/>
  </r>
  <r>
    <x v="15"/>
    <x v="28"/>
  </r>
  <r>
    <x v="15"/>
    <x v="28"/>
  </r>
  <r>
    <x v="15"/>
    <x v="28"/>
  </r>
  <r>
    <x v="15"/>
    <x v="28"/>
  </r>
  <r>
    <x v="13"/>
    <x v="32"/>
  </r>
  <r>
    <x v="13"/>
    <x v="32"/>
  </r>
  <r>
    <x v="13"/>
    <x v="32"/>
  </r>
  <r>
    <x v="13"/>
    <x v="43"/>
  </r>
  <r>
    <x v="13"/>
    <x v="43"/>
  </r>
  <r>
    <x v="15"/>
    <x v="1"/>
  </r>
  <r>
    <x v="2"/>
    <x v="27"/>
  </r>
  <r>
    <x v="2"/>
    <x v="29"/>
  </r>
  <r>
    <x v="2"/>
    <x v="18"/>
  </r>
  <r>
    <x v="2"/>
    <x v="25"/>
  </r>
  <r>
    <x v="2"/>
    <x v="25"/>
  </r>
  <r>
    <x v="15"/>
    <x v="44"/>
  </r>
  <r>
    <x v="13"/>
    <x v="38"/>
  </r>
  <r>
    <x v="14"/>
    <x v="17"/>
  </r>
  <r>
    <x v="14"/>
    <x v="42"/>
  </r>
  <r>
    <x v="16"/>
    <x v="42"/>
  </r>
  <r>
    <x v="16"/>
    <x v="17"/>
  </r>
  <r>
    <x v="16"/>
    <x v="42"/>
  </r>
  <r>
    <x v="18"/>
    <x v="17"/>
  </r>
  <r>
    <x v="18"/>
    <x v="16"/>
  </r>
  <r>
    <x v="18"/>
    <x v="16"/>
  </r>
  <r>
    <x v="18"/>
    <x v="15"/>
  </r>
  <r>
    <x v="18"/>
    <x v="15"/>
  </r>
  <r>
    <x v="19"/>
    <x v="45"/>
  </r>
  <r>
    <x v="19"/>
    <x v="45"/>
  </r>
  <r>
    <x v="18"/>
    <x v="36"/>
  </r>
  <r>
    <x v="19"/>
    <x v="45"/>
  </r>
  <r>
    <x v="18"/>
    <x v="36"/>
  </r>
  <r>
    <x v="16"/>
    <x v="15"/>
  </r>
  <r>
    <x v="14"/>
    <x v="21"/>
  </r>
  <r>
    <x v="13"/>
    <x v="22"/>
  </r>
  <r>
    <x v="15"/>
    <x v="38"/>
  </r>
  <r>
    <x v="2"/>
    <x v="46"/>
  </r>
  <r>
    <x v="1"/>
    <x v="25"/>
  </r>
  <r>
    <x v="1"/>
    <x v="23"/>
  </r>
  <r>
    <x v="2"/>
    <x v="46"/>
  </r>
  <r>
    <x v="15"/>
    <x v="38"/>
  </r>
  <r>
    <x v="13"/>
    <x v="22"/>
  </r>
  <r>
    <x v="13"/>
    <x v="21"/>
  </r>
  <r>
    <x v="14"/>
    <x v="15"/>
  </r>
  <r>
    <x v="14"/>
    <x v="15"/>
  </r>
  <r>
    <x v="14"/>
    <x v="15"/>
  </r>
  <r>
    <x v="16"/>
    <x v="20"/>
  </r>
  <r>
    <x v="16"/>
    <x v="20"/>
  </r>
  <r>
    <x v="16"/>
    <x v="20"/>
  </r>
  <r>
    <x v="16"/>
    <x v="20"/>
  </r>
  <r>
    <x v="16"/>
    <x v="20"/>
  </r>
  <r>
    <x v="18"/>
    <x v="47"/>
  </r>
  <r>
    <x v="18"/>
    <x v="47"/>
  </r>
  <r>
    <x v="16"/>
    <x v="20"/>
  </r>
  <r>
    <x v="16"/>
    <x v="20"/>
  </r>
  <r>
    <x v="16"/>
    <x v="20"/>
  </r>
  <r>
    <x v="14"/>
    <x v="20"/>
  </r>
  <r>
    <x v="14"/>
    <x v="20"/>
  </r>
  <r>
    <x v="13"/>
    <x v="19"/>
  </r>
  <r>
    <x v="2"/>
    <x v="22"/>
  </r>
  <r>
    <x v="2"/>
    <x v="22"/>
  </r>
  <r>
    <x v="2"/>
    <x v="22"/>
  </r>
  <r>
    <x v="2"/>
    <x v="22"/>
  </r>
  <r>
    <x v="2"/>
    <x v="22"/>
  </r>
  <r>
    <x v="2"/>
    <x v="22"/>
  </r>
  <r>
    <x v="2"/>
    <x v="22"/>
  </r>
  <r>
    <x v="13"/>
    <x v="19"/>
  </r>
  <r>
    <x v="13"/>
    <x v="20"/>
  </r>
  <r>
    <x v="14"/>
    <x v="29"/>
  </r>
  <r>
    <x v="14"/>
    <x v="29"/>
  </r>
  <r>
    <x v="14"/>
    <x v="29"/>
  </r>
  <r>
    <x v="14"/>
    <x v="29"/>
  </r>
  <r>
    <x v="14"/>
    <x v="29"/>
  </r>
  <r>
    <x v="13"/>
    <x v="28"/>
  </r>
  <r>
    <x v="13"/>
    <x v="28"/>
  </r>
  <r>
    <x v="13"/>
    <x v="28"/>
  </r>
  <r>
    <x v="13"/>
    <x v="28"/>
  </r>
  <r>
    <x v="15"/>
    <x v="33"/>
  </r>
  <r>
    <x v="15"/>
    <x v="33"/>
  </r>
  <r>
    <x v="2"/>
    <x v="33"/>
  </r>
  <r>
    <x v="2"/>
    <x v="19"/>
  </r>
  <r>
    <x v="2"/>
    <x v="33"/>
  </r>
  <r>
    <x v="2"/>
    <x v="29"/>
  </r>
  <r>
    <x v="2"/>
    <x v="29"/>
  </r>
  <r>
    <x v="13"/>
    <x v="1"/>
  </r>
  <r>
    <x v="13"/>
    <x v="3"/>
  </r>
  <r>
    <x v="13"/>
    <x v="3"/>
  </r>
  <r>
    <x v="13"/>
    <x v="43"/>
  </r>
  <r>
    <x v="13"/>
    <x v="43"/>
  </r>
  <r>
    <x v="13"/>
    <x v="43"/>
  </r>
  <r>
    <x v="13"/>
    <x v="3"/>
  </r>
  <r>
    <x v="13"/>
    <x v="43"/>
  </r>
  <r>
    <x v="13"/>
    <x v="43"/>
  </r>
  <r>
    <x v="13"/>
    <x v="3"/>
  </r>
  <r>
    <x v="13"/>
    <x v="3"/>
  </r>
  <r>
    <x v="14"/>
    <x v="3"/>
  </r>
  <r>
    <x v="14"/>
    <x v="3"/>
  </r>
  <r>
    <x v="16"/>
    <x v="43"/>
  </r>
  <r>
    <x v="14"/>
    <x v="27"/>
  </r>
  <r>
    <x v="13"/>
    <x v="29"/>
  </r>
  <r>
    <x v="13"/>
    <x v="29"/>
  </r>
  <r>
    <x v="15"/>
    <x v="28"/>
  </r>
  <r>
    <x v="2"/>
    <x v="33"/>
  </r>
  <r>
    <x v="2"/>
    <x v="19"/>
  </r>
  <r>
    <x v="1"/>
    <x v="18"/>
  </r>
  <r>
    <x v="2"/>
    <x v="19"/>
  </r>
  <r>
    <x v="2"/>
    <x v="19"/>
  </r>
  <r>
    <x v="1"/>
    <x v="18"/>
  </r>
  <r>
    <x v="2"/>
    <x v="19"/>
  </r>
  <r>
    <x v="2"/>
    <x v="19"/>
  </r>
  <r>
    <x v="15"/>
    <x v="19"/>
  </r>
  <r>
    <x v="13"/>
    <x v="20"/>
  </r>
  <r>
    <x v="13"/>
    <x v="28"/>
  </r>
  <r>
    <x v="13"/>
    <x v="28"/>
  </r>
  <r>
    <x v="14"/>
    <x v="29"/>
  </r>
  <r>
    <x v="14"/>
    <x v="29"/>
  </r>
  <r>
    <x v="14"/>
    <x v="20"/>
  </r>
  <r>
    <x v="14"/>
    <x v="20"/>
  </r>
  <r>
    <x v="14"/>
    <x v="20"/>
  </r>
  <r>
    <x v="14"/>
    <x v="20"/>
  </r>
  <r>
    <x v="14"/>
    <x v="20"/>
  </r>
  <r>
    <x v="16"/>
    <x v="47"/>
  </r>
  <r>
    <x v="16"/>
    <x v="47"/>
  </r>
  <r>
    <x v="14"/>
    <x v="20"/>
  </r>
  <r>
    <x v="14"/>
    <x v="20"/>
  </r>
  <r>
    <x v="13"/>
    <x v="20"/>
  </r>
  <r>
    <x v="2"/>
    <x v="18"/>
  </r>
  <r>
    <x v="2"/>
    <x v="18"/>
  </r>
  <r>
    <x v="1"/>
    <x v="48"/>
  </r>
  <r>
    <x v="1"/>
    <x v="48"/>
  </r>
  <r>
    <x v="0"/>
    <x v="41"/>
  </r>
  <r>
    <x v="0"/>
    <x v="41"/>
  </r>
  <r>
    <x v="2"/>
    <x v="22"/>
  </r>
  <r>
    <x v="2"/>
    <x v="22"/>
  </r>
  <r>
    <x v="13"/>
    <x v="19"/>
  </r>
  <r>
    <x v="13"/>
    <x v="19"/>
  </r>
  <r>
    <x v="14"/>
    <x v="15"/>
  </r>
  <r>
    <x v="14"/>
    <x v="15"/>
  </r>
  <r>
    <x v="16"/>
    <x v="20"/>
  </r>
  <r>
    <x v="16"/>
    <x v="20"/>
  </r>
  <r>
    <x v="18"/>
    <x v="47"/>
  </r>
  <r>
    <x v="18"/>
    <x v="47"/>
  </r>
  <r>
    <x v="18"/>
    <x v="47"/>
  </r>
  <r>
    <x v="18"/>
    <x v="47"/>
  </r>
  <r>
    <x v="18"/>
    <x v="47"/>
  </r>
  <r>
    <x v="18"/>
    <x v="32"/>
  </r>
  <r>
    <x v="16"/>
    <x v="31"/>
  </r>
  <r>
    <x v="14"/>
    <x v="27"/>
  </r>
  <r>
    <x v="15"/>
    <x v="28"/>
  </r>
  <r>
    <x v="15"/>
    <x v="33"/>
  </r>
  <r>
    <x v="2"/>
    <x v="18"/>
  </r>
  <r>
    <x v="1"/>
    <x v="38"/>
  </r>
  <r>
    <x v="1"/>
    <x v="48"/>
  </r>
  <r>
    <x v="0"/>
    <x v="41"/>
  </r>
  <r>
    <x v="1"/>
    <x v="48"/>
  </r>
  <r>
    <x v="1"/>
    <x v="48"/>
  </r>
  <r>
    <x v="2"/>
    <x v="19"/>
  </r>
  <r>
    <x v="13"/>
    <x v="29"/>
  </r>
  <r>
    <x v="15"/>
    <x v="29"/>
  </r>
  <r>
    <x v="13"/>
    <x v="27"/>
  </r>
  <r>
    <x v="13"/>
    <x v="27"/>
  </r>
  <r>
    <x v="15"/>
    <x v="28"/>
  </r>
  <r>
    <x v="15"/>
    <x v="28"/>
  </r>
  <r>
    <x v="13"/>
    <x v="29"/>
  </r>
  <r>
    <x v="13"/>
    <x v="29"/>
  </r>
  <r>
    <x v="13"/>
    <x v="29"/>
  </r>
  <r>
    <x v="13"/>
    <x v="29"/>
  </r>
  <r>
    <x v="13"/>
    <x v="29"/>
  </r>
  <r>
    <x v="14"/>
    <x v="30"/>
  </r>
  <r>
    <x v="14"/>
    <x v="30"/>
  </r>
  <r>
    <x v="14"/>
    <x v="30"/>
  </r>
  <r>
    <x v="13"/>
    <x v="26"/>
  </r>
  <r>
    <x v="15"/>
    <x v="29"/>
  </r>
  <r>
    <x v="2"/>
    <x v="28"/>
  </r>
  <r>
    <x v="0"/>
    <x v="37"/>
  </r>
  <r>
    <x v="17"/>
    <x v="41"/>
  </r>
  <r>
    <x v="11"/>
    <x v="17"/>
  </r>
  <r>
    <x v="3"/>
    <x v="42"/>
  </r>
  <r>
    <x v="10"/>
    <x v="46"/>
  </r>
  <r>
    <x v="3"/>
    <x v="42"/>
  </r>
  <r>
    <x v="11"/>
    <x v="49"/>
  </r>
  <r>
    <x v="3"/>
    <x v="17"/>
  </r>
  <r>
    <x v="3"/>
    <x v="17"/>
  </r>
  <r>
    <x v="3"/>
    <x v="17"/>
  </r>
  <r>
    <x v="11"/>
    <x v="16"/>
  </r>
  <r>
    <x v="11"/>
    <x v="49"/>
  </r>
  <r>
    <x v="12"/>
    <x v="34"/>
  </r>
  <r>
    <x v="12"/>
    <x v="34"/>
  </r>
  <r>
    <x v="12"/>
    <x v="34"/>
  </r>
  <r>
    <x v="1"/>
    <x v="27"/>
  </r>
  <r>
    <x v="12"/>
    <x v="34"/>
  </r>
  <r>
    <x v="12"/>
    <x v="34"/>
  </r>
  <r>
    <x v="12"/>
    <x v="34"/>
  </r>
  <r>
    <x v="0"/>
    <x v="34"/>
  </r>
  <r>
    <x v="1"/>
    <x v="28"/>
  </r>
  <r>
    <x v="1"/>
    <x v="33"/>
  </r>
  <r>
    <x v="1"/>
    <x v="33"/>
  </r>
  <r>
    <x v="0"/>
    <x v="18"/>
  </r>
  <r>
    <x v="0"/>
    <x v="48"/>
  </r>
  <r>
    <x v="12"/>
    <x v="23"/>
  </r>
  <r>
    <x v="17"/>
    <x v="42"/>
  </r>
  <r>
    <x v="12"/>
    <x v="41"/>
  </r>
  <r>
    <x v="0"/>
    <x v="41"/>
  </r>
  <r>
    <x v="1"/>
    <x v="38"/>
  </r>
  <r>
    <x v="2"/>
    <x v="22"/>
  </r>
  <r>
    <x v="15"/>
    <x v="19"/>
  </r>
  <r>
    <x v="15"/>
    <x v="19"/>
  </r>
  <r>
    <x v="15"/>
    <x v="33"/>
  </r>
  <r>
    <x v="2"/>
    <x v="36"/>
  </r>
  <r>
    <x v="2"/>
    <x v="22"/>
  </r>
  <r>
    <x v="2"/>
    <x v="19"/>
  </r>
  <r>
    <x v="2"/>
    <x v="18"/>
  </r>
  <r>
    <x v="15"/>
    <x v="21"/>
  </r>
  <r>
    <x v="15"/>
    <x v="21"/>
  </r>
  <r>
    <x v="15"/>
    <x v="21"/>
  </r>
  <r>
    <x v="15"/>
    <x v="21"/>
  </r>
  <r>
    <x v="15"/>
    <x v="21"/>
  </r>
  <r>
    <x v="13"/>
    <x v="20"/>
  </r>
  <r>
    <x v="13"/>
    <x v="19"/>
  </r>
  <r>
    <x v="13"/>
    <x v="19"/>
  </r>
  <r>
    <x v="13"/>
    <x v="20"/>
  </r>
  <r>
    <x v="13"/>
    <x v="28"/>
  </r>
  <r>
    <x v="15"/>
    <x v="19"/>
  </r>
  <r>
    <x v="15"/>
    <x v="19"/>
  </r>
  <r>
    <x v="15"/>
    <x v="21"/>
  </r>
  <r>
    <x v="2"/>
    <x v="19"/>
  </r>
  <r>
    <x v="2"/>
    <x v="19"/>
  </r>
  <r>
    <x v="2"/>
    <x v="33"/>
  </r>
  <r>
    <x v="15"/>
    <x v="28"/>
  </r>
  <r>
    <x v="15"/>
    <x v="29"/>
  </r>
  <r>
    <x v="13"/>
    <x v="1"/>
  </r>
  <r>
    <x v="13"/>
    <x v="1"/>
  </r>
  <r>
    <x v="14"/>
    <x v="43"/>
  </r>
  <r>
    <x v="13"/>
    <x v="3"/>
  </r>
  <r>
    <x v="2"/>
    <x v="3"/>
  </r>
  <r>
    <x v="2"/>
    <x v="3"/>
  </r>
  <r>
    <x v="1"/>
    <x v="1"/>
  </r>
  <r>
    <x v="1"/>
    <x v="9"/>
  </r>
  <r>
    <x v="1"/>
    <x v="9"/>
  </r>
  <r>
    <x v="1"/>
    <x v="7"/>
  </r>
  <r>
    <x v="1"/>
    <x v="1"/>
  </r>
  <r>
    <x v="1"/>
    <x v="1"/>
  </r>
  <r>
    <x v="1"/>
    <x v="9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0"/>
    <x v="50"/>
  </r>
  <r>
    <x v="0"/>
    <x v="43"/>
  </r>
  <r>
    <x v="0"/>
    <x v="43"/>
  </r>
  <r>
    <x v="12"/>
    <x v="43"/>
  </r>
  <r>
    <x v="17"/>
    <x v="9"/>
  </r>
  <r>
    <x v="11"/>
    <x v="0"/>
  </r>
  <r>
    <x v="9"/>
    <x v="51"/>
  </r>
  <r>
    <x v="9"/>
    <x v="52"/>
  </r>
  <r>
    <x v="9"/>
    <x v="47"/>
  </r>
  <r>
    <x v="4"/>
    <x v="52"/>
  </r>
  <r>
    <x v="5"/>
    <x v="14"/>
  </r>
  <r>
    <x v="10"/>
    <x v="53"/>
  </r>
  <r>
    <x v="3"/>
    <x v="14"/>
  </r>
  <r>
    <x v="3"/>
    <x v="36"/>
  </r>
  <r>
    <x v="3"/>
    <x v="36"/>
  </r>
  <r>
    <x v="11"/>
    <x v="35"/>
  </r>
  <r>
    <x v="11"/>
    <x v="35"/>
  </r>
  <r>
    <x v="12"/>
    <x v="34"/>
  </r>
  <r>
    <x v="12"/>
    <x v="34"/>
  </r>
  <r>
    <x v="12"/>
    <x v="34"/>
  </r>
  <r>
    <x v="12"/>
    <x v="34"/>
  </r>
  <r>
    <x v="12"/>
    <x v="34"/>
  </r>
  <r>
    <x v="0"/>
    <x v="54"/>
  </r>
  <r>
    <x v="1"/>
    <x v="54"/>
  </r>
  <r>
    <x v="1"/>
    <x v="28"/>
  </r>
  <r>
    <x v="1"/>
    <x v="28"/>
  </r>
  <r>
    <x v="0"/>
    <x v="35"/>
  </r>
  <r>
    <x v="12"/>
    <x v="37"/>
  </r>
  <r>
    <x v="17"/>
    <x v="49"/>
  </r>
  <r>
    <x v="11"/>
    <x v="16"/>
  </r>
  <r>
    <x v="17"/>
    <x v="49"/>
  </r>
  <r>
    <x v="11"/>
    <x v="49"/>
  </r>
  <r>
    <x v="3"/>
    <x v="49"/>
  </r>
  <r>
    <x v="11"/>
    <x v="36"/>
  </r>
  <r>
    <x v="11"/>
    <x v="36"/>
  </r>
  <r>
    <x v="12"/>
    <x v="34"/>
  </r>
  <r>
    <x v="12"/>
    <x v="34"/>
  </r>
  <r>
    <x v="12"/>
    <x v="54"/>
  </r>
  <r>
    <x v="0"/>
    <x v="54"/>
  </r>
  <r>
    <x v="0"/>
    <x v="55"/>
  </r>
  <r>
    <x v="0"/>
    <x v="55"/>
  </r>
  <r>
    <x v="0"/>
    <x v="56"/>
  </r>
  <r>
    <x v="0"/>
    <x v="56"/>
  </r>
  <r>
    <x v="0"/>
    <x v="2"/>
  </r>
  <r>
    <x v="1"/>
    <x v="1"/>
  </r>
  <r>
    <x v="1"/>
    <x v="9"/>
  </r>
  <r>
    <x v="0"/>
    <x v="54"/>
  </r>
  <r>
    <x v="1"/>
    <x v="28"/>
  </r>
  <r>
    <x v="2"/>
    <x v="33"/>
  </r>
  <r>
    <x v="2"/>
    <x v="19"/>
  </r>
  <r>
    <x v="2"/>
    <x v="33"/>
  </r>
  <r>
    <x v="2"/>
    <x v="19"/>
  </r>
  <r>
    <x v="1"/>
    <x v="48"/>
  </r>
  <r>
    <x v="1"/>
    <x v="57"/>
  </r>
  <r>
    <x v="2"/>
    <x v="58"/>
  </r>
  <r>
    <x v="2"/>
    <x v="59"/>
  </r>
  <r>
    <x v="13"/>
    <x v="60"/>
  </r>
  <r>
    <x v="13"/>
    <x v="60"/>
  </r>
  <r>
    <x v="14"/>
    <x v="40"/>
  </r>
  <r>
    <x v="16"/>
    <x v="24"/>
  </r>
  <r>
    <x v="16"/>
    <x v="24"/>
  </r>
  <r>
    <x v="18"/>
    <x v="39"/>
  </r>
  <r>
    <x v="19"/>
    <x v="41"/>
  </r>
  <r>
    <x v="20"/>
    <x v="48"/>
  </r>
  <r>
    <x v="20"/>
    <x v="41"/>
  </r>
  <r>
    <x v="21"/>
    <x v="49"/>
  </r>
  <r>
    <x v="21"/>
    <x v="48"/>
  </r>
  <r>
    <x v="21"/>
    <x v="48"/>
  </r>
  <r>
    <x v="21"/>
    <x v="48"/>
  </r>
  <r>
    <x v="22"/>
    <x v="37"/>
  </r>
  <r>
    <x v="22"/>
    <x v="18"/>
  </r>
  <r>
    <x v="22"/>
    <x v="18"/>
  </r>
  <r>
    <x v="22"/>
    <x v="18"/>
  </r>
  <r>
    <x v="21"/>
    <x v="48"/>
  </r>
  <r>
    <x v="21"/>
    <x v="48"/>
  </r>
  <r>
    <x v="20"/>
    <x v="41"/>
  </r>
  <r>
    <x v="20"/>
    <x v="41"/>
  </r>
  <r>
    <x v="19"/>
    <x v="23"/>
  </r>
  <r>
    <x v="18"/>
    <x v="39"/>
  </r>
  <r>
    <x v="16"/>
    <x v="40"/>
  </r>
  <r>
    <x v="16"/>
    <x v="40"/>
  </r>
  <r>
    <x v="16"/>
    <x v="40"/>
  </r>
  <r>
    <x v="19"/>
    <x v="23"/>
  </r>
  <r>
    <x v="19"/>
    <x v="23"/>
  </r>
  <r>
    <x v="20"/>
    <x v="49"/>
  </r>
  <r>
    <x v="20"/>
    <x v="48"/>
  </r>
  <r>
    <x v="20"/>
    <x v="36"/>
  </r>
  <r>
    <x v="21"/>
    <x v="14"/>
  </r>
  <r>
    <x v="21"/>
    <x v="14"/>
  </r>
  <r>
    <x v="21"/>
    <x v="14"/>
  </r>
  <r>
    <x v="22"/>
    <x v="51"/>
  </r>
  <r>
    <x v="22"/>
    <x v="51"/>
  </r>
  <r>
    <x v="21"/>
    <x v="14"/>
  </r>
  <r>
    <x v="21"/>
    <x v="14"/>
  </r>
  <r>
    <x v="19"/>
    <x v="52"/>
  </r>
  <r>
    <x v="20"/>
    <x v="51"/>
  </r>
  <r>
    <x v="18"/>
    <x v="47"/>
  </r>
  <r>
    <x v="14"/>
    <x v="15"/>
  </r>
  <r>
    <x v="14"/>
    <x v="21"/>
  </r>
  <r>
    <x v="13"/>
    <x v="38"/>
  </r>
  <r>
    <x v="14"/>
    <x v="39"/>
  </r>
  <r>
    <x v="13"/>
    <x v="40"/>
  </r>
  <r>
    <x v="13"/>
    <x v="40"/>
  </r>
  <r>
    <x v="13"/>
    <x v="60"/>
  </r>
  <r>
    <x v="14"/>
    <x v="60"/>
  </r>
  <r>
    <x v="16"/>
    <x v="24"/>
  </r>
  <r>
    <x v="16"/>
    <x v="24"/>
  </r>
  <r>
    <x v="18"/>
    <x v="42"/>
  </r>
  <r>
    <x v="18"/>
    <x v="42"/>
  </r>
  <r>
    <x v="19"/>
    <x v="41"/>
  </r>
  <r>
    <x v="20"/>
    <x v="48"/>
  </r>
  <r>
    <x v="20"/>
    <x v="48"/>
  </r>
  <r>
    <x v="21"/>
    <x v="49"/>
  </r>
  <r>
    <x v="21"/>
    <x v="49"/>
  </r>
  <r>
    <x v="22"/>
    <x v="37"/>
  </r>
  <r>
    <x v="22"/>
    <x v="37"/>
  </r>
  <r>
    <x v="22"/>
    <x v="37"/>
  </r>
  <r>
    <x v="22"/>
    <x v="37"/>
  </r>
  <r>
    <x v="21"/>
    <x v="36"/>
  </r>
  <r>
    <x v="20"/>
    <x v="48"/>
  </r>
  <r>
    <x v="18"/>
    <x v="16"/>
  </r>
  <r>
    <x v="18"/>
    <x v="15"/>
  </r>
  <r>
    <x v="16"/>
    <x v="16"/>
  </r>
  <r>
    <x v="14"/>
    <x v="21"/>
  </r>
  <r>
    <x v="14"/>
    <x v="15"/>
  </r>
  <r>
    <x v="13"/>
    <x v="22"/>
  </r>
  <r>
    <x v="13"/>
    <x v="19"/>
  </r>
  <r>
    <x v="14"/>
    <x v="20"/>
  </r>
  <r>
    <x v="14"/>
    <x v="29"/>
  </r>
  <r>
    <x v="14"/>
    <x v="47"/>
  </r>
  <r>
    <x v="14"/>
    <x v="29"/>
  </r>
  <r>
    <x v="14"/>
    <x v="30"/>
  </r>
  <r>
    <x v="14"/>
    <x v="30"/>
  </r>
  <r>
    <x v="13"/>
    <x v="26"/>
  </r>
  <r>
    <x v="13"/>
    <x v="27"/>
  </r>
  <r>
    <x v="13"/>
    <x v="27"/>
  </r>
  <r>
    <x v="13"/>
    <x v="27"/>
  </r>
  <r>
    <x v="14"/>
    <x v="32"/>
  </r>
  <r>
    <x v="14"/>
    <x v="32"/>
  </r>
  <r>
    <x v="13"/>
    <x v="32"/>
  </r>
  <r>
    <x v="13"/>
    <x v="32"/>
  </r>
  <r>
    <x v="13"/>
    <x v="32"/>
  </r>
  <r>
    <x v="2"/>
    <x v="26"/>
  </r>
  <r>
    <x v="1"/>
    <x v="54"/>
  </r>
  <r>
    <x v="0"/>
    <x v="54"/>
  </r>
  <r>
    <x v="12"/>
    <x v="34"/>
  </r>
  <r>
    <x v="12"/>
    <x v="34"/>
  </r>
  <r>
    <x v="11"/>
    <x v="49"/>
  </r>
  <r>
    <x v="3"/>
    <x v="16"/>
  </r>
  <r>
    <x v="3"/>
    <x v="16"/>
  </r>
  <r>
    <x v="11"/>
    <x v="49"/>
  </r>
  <r>
    <x v="11"/>
    <x v="36"/>
  </r>
  <r>
    <x v="12"/>
    <x v="55"/>
  </r>
  <r>
    <x v="0"/>
    <x v="55"/>
  </r>
  <r>
    <x v="0"/>
    <x v="55"/>
  </r>
  <r>
    <x v="1"/>
    <x v="26"/>
  </r>
  <r>
    <x v="1"/>
    <x v="26"/>
  </r>
  <r>
    <x v="1"/>
    <x v="27"/>
  </r>
  <r>
    <x v="0"/>
    <x v="55"/>
  </r>
  <r>
    <x v="1"/>
    <x v="27"/>
  </r>
  <r>
    <x v="2"/>
    <x v="3"/>
  </r>
  <r>
    <x v="2"/>
    <x v="3"/>
  </r>
  <r>
    <x v="1"/>
    <x v="9"/>
  </r>
  <r>
    <x v="1"/>
    <x v="9"/>
  </r>
  <r>
    <x v="1"/>
    <x v="9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1"/>
    <x v="43"/>
  </r>
  <r>
    <x v="2"/>
    <x v="43"/>
  </r>
  <r>
    <x v="1"/>
    <x v="28"/>
  </r>
  <r>
    <x v="1"/>
    <x v="28"/>
  </r>
  <r>
    <x v="2"/>
    <x v="27"/>
  </r>
  <r>
    <x v="2"/>
    <x v="27"/>
  </r>
  <r>
    <x v="15"/>
    <x v="32"/>
  </r>
  <r>
    <x v="15"/>
    <x v="32"/>
  </r>
  <r>
    <x v="15"/>
    <x v="32"/>
  </r>
  <r>
    <x v="15"/>
    <x v="1"/>
  </r>
  <r>
    <x v="2"/>
    <x v="2"/>
  </r>
  <r>
    <x v="2"/>
    <x v="2"/>
  </r>
  <r>
    <x v="2"/>
    <x v="2"/>
  </r>
  <r>
    <x v="2"/>
    <x v="2"/>
  </r>
  <r>
    <x v="15"/>
    <x v="1"/>
  </r>
  <r>
    <x v="15"/>
    <x v="1"/>
  </r>
  <r>
    <x v="13"/>
    <x v="3"/>
  </r>
  <r>
    <x v="13"/>
    <x v="3"/>
  </r>
  <r>
    <x v="15"/>
    <x v="3"/>
  </r>
  <r>
    <x v="15"/>
    <x v="3"/>
  </r>
  <r>
    <x v="15"/>
    <x v="43"/>
  </r>
  <r>
    <x v="15"/>
    <x v="43"/>
  </r>
  <r>
    <x v="15"/>
    <x v="43"/>
  </r>
  <r>
    <x v="1"/>
    <x v="1"/>
  </r>
  <r>
    <x v="2"/>
    <x v="3"/>
  </r>
  <r>
    <x v="1"/>
    <x v="61"/>
  </r>
  <r>
    <x v="0"/>
    <x v="62"/>
  </r>
  <r>
    <x v="0"/>
    <x v="63"/>
  </r>
  <r>
    <x v="0"/>
    <x v="62"/>
  </r>
  <r>
    <x v="0"/>
    <x v="63"/>
  </r>
  <r>
    <x v="1"/>
    <x v="63"/>
  </r>
  <r>
    <x v="0"/>
    <x v="64"/>
  </r>
  <r>
    <x v="0"/>
    <x v="63"/>
  </r>
  <r>
    <x v="1"/>
    <x v="65"/>
  </r>
  <r>
    <x v="1"/>
    <x v="63"/>
  </r>
  <r>
    <x v="1"/>
    <x v="63"/>
  </r>
  <r>
    <x v="2"/>
    <x v="64"/>
  </r>
  <r>
    <x v="13"/>
    <x v="66"/>
  </r>
  <r>
    <x v="13"/>
    <x v="66"/>
  </r>
  <r>
    <x v="13"/>
    <x v="66"/>
  </r>
  <r>
    <x v="15"/>
    <x v="65"/>
  </r>
  <r>
    <x v="15"/>
    <x v="64"/>
  </r>
  <r>
    <x v="15"/>
    <x v="64"/>
  </r>
  <r>
    <x v="15"/>
    <x v="65"/>
  </r>
  <r>
    <x v="2"/>
    <x v="65"/>
  </r>
  <r>
    <x v="1"/>
    <x v="63"/>
  </r>
  <r>
    <x v="1"/>
    <x v="63"/>
  </r>
  <r>
    <x v="1"/>
    <x v="64"/>
  </r>
  <r>
    <x v="0"/>
    <x v="62"/>
  </r>
  <r>
    <x v="0"/>
    <x v="67"/>
  </r>
  <r>
    <x v="1"/>
    <x v="63"/>
  </r>
  <r>
    <x v="1"/>
    <x v="64"/>
  </r>
  <r>
    <x v="15"/>
    <x v="64"/>
  </r>
  <r>
    <x v="15"/>
    <x v="64"/>
  </r>
  <r>
    <x v="13"/>
    <x v="65"/>
  </r>
  <r>
    <x v="13"/>
    <x v="65"/>
  </r>
  <r>
    <x v="13"/>
    <x v="66"/>
  </r>
  <r>
    <x v="14"/>
    <x v="64"/>
  </r>
  <r>
    <x v="13"/>
    <x v="63"/>
  </r>
  <r>
    <x v="14"/>
    <x v="64"/>
  </r>
  <r>
    <x v="14"/>
    <x v="64"/>
  </r>
  <r>
    <x v="14"/>
    <x v="64"/>
  </r>
  <r>
    <x v="14"/>
    <x v="64"/>
  </r>
  <r>
    <x v="14"/>
    <x v="64"/>
  </r>
  <r>
    <x v="13"/>
    <x v="63"/>
  </r>
  <r>
    <x v="15"/>
    <x v="62"/>
  </r>
  <r>
    <x v="1"/>
    <x v="61"/>
  </r>
  <r>
    <x v="11"/>
    <x v="68"/>
  </r>
  <r>
    <x v="17"/>
    <x v="67"/>
  </r>
  <r>
    <x v="17"/>
    <x v="69"/>
  </r>
  <r>
    <x v="11"/>
    <x v="70"/>
  </r>
  <r>
    <x v="11"/>
    <x v="70"/>
  </r>
  <r>
    <x v="11"/>
    <x v="67"/>
  </r>
  <r>
    <x v="12"/>
    <x v="71"/>
  </r>
  <r>
    <x v="12"/>
    <x v="71"/>
  </r>
  <r>
    <x v="12"/>
    <x v="61"/>
  </r>
  <r>
    <x v="0"/>
    <x v="62"/>
  </r>
  <r>
    <x v="0"/>
    <x v="63"/>
  </r>
  <r>
    <x v="0"/>
    <x v="64"/>
  </r>
  <r>
    <x v="0"/>
    <x v="63"/>
  </r>
  <r>
    <x v="1"/>
    <x v="64"/>
  </r>
  <r>
    <x v="1"/>
    <x v="63"/>
  </r>
  <r>
    <x v="1"/>
    <x v="63"/>
  </r>
  <r>
    <x v="2"/>
    <x v="65"/>
  </r>
  <r>
    <x v="15"/>
    <x v="72"/>
  </r>
  <r>
    <x v="13"/>
    <x v="73"/>
  </r>
  <r>
    <x v="13"/>
    <x v="73"/>
  </r>
  <r>
    <x v="13"/>
    <x v="73"/>
  </r>
  <r>
    <x v="13"/>
    <x v="73"/>
  </r>
  <r>
    <x v="13"/>
    <x v="74"/>
  </r>
  <r>
    <x v="13"/>
    <x v="74"/>
  </r>
  <r>
    <x v="15"/>
    <x v="64"/>
  </r>
  <r>
    <x v="13"/>
    <x v="63"/>
  </r>
  <r>
    <x v="15"/>
    <x v="65"/>
  </r>
  <r>
    <x v="13"/>
    <x v="66"/>
  </r>
  <r>
    <x v="13"/>
    <x v="66"/>
  </r>
  <r>
    <x v="13"/>
    <x v="74"/>
  </r>
  <r>
    <x v="13"/>
    <x v="74"/>
  </r>
  <r>
    <x v="11"/>
    <x v="68"/>
  </r>
  <r>
    <x v="13"/>
    <x v="72"/>
  </r>
  <r>
    <x v="13"/>
    <x v="65"/>
  </r>
  <r>
    <x v="13"/>
    <x v="66"/>
  </r>
  <r>
    <x v="13"/>
    <x v="65"/>
  </r>
  <r>
    <x v="13"/>
    <x v="66"/>
  </r>
  <r>
    <x v="13"/>
    <x v="66"/>
  </r>
  <r>
    <x v="13"/>
    <x v="63"/>
  </r>
  <r>
    <x v="13"/>
    <x v="63"/>
  </r>
  <r>
    <x v="14"/>
    <x v="64"/>
  </r>
  <r>
    <x v="14"/>
    <x v="64"/>
  </r>
  <r>
    <x v="13"/>
    <x v="63"/>
  </r>
  <r>
    <x v="13"/>
    <x v="63"/>
  </r>
  <r>
    <x v="13"/>
    <x v="63"/>
  </r>
  <r>
    <x v="13"/>
    <x v="63"/>
  </r>
  <r>
    <x v="15"/>
    <x v="62"/>
  </r>
  <r>
    <x v="2"/>
    <x v="71"/>
  </r>
  <r>
    <x v="2"/>
    <x v="71"/>
  </r>
  <r>
    <x v="1"/>
    <x v="71"/>
  </r>
  <r>
    <x v="0"/>
    <x v="67"/>
  </r>
  <r>
    <x v="0"/>
    <x v="62"/>
  </r>
  <r>
    <x v="0"/>
    <x v="67"/>
  </r>
  <r>
    <x v="0"/>
    <x v="71"/>
  </r>
  <r>
    <x v="0"/>
    <x v="62"/>
  </r>
  <r>
    <x v="1"/>
    <x v="63"/>
  </r>
  <r>
    <x v="1"/>
    <x v="63"/>
  </r>
  <r>
    <x v="1"/>
    <x v="71"/>
  </r>
  <r>
    <x v="2"/>
    <x v="65"/>
  </r>
  <r>
    <x v="1"/>
    <x v="62"/>
  </r>
  <r>
    <x v="1"/>
    <x v="63"/>
  </r>
  <r>
    <x v="1"/>
    <x v="63"/>
  </r>
  <r>
    <x v="1"/>
    <x v="63"/>
  </r>
  <r>
    <x v="1"/>
    <x v="64"/>
  </r>
  <r>
    <x v="1"/>
    <x v="62"/>
  </r>
  <r>
    <x v="1"/>
    <x v="62"/>
  </r>
  <r>
    <x v="1"/>
    <x v="64"/>
  </r>
  <r>
    <x v="1"/>
    <x v="64"/>
  </r>
  <r>
    <x v="0"/>
    <x v="71"/>
  </r>
  <r>
    <x v="1"/>
    <x v="61"/>
  </r>
  <r>
    <x v="0"/>
    <x v="63"/>
  </r>
  <r>
    <x v="0"/>
    <x v="63"/>
  </r>
  <r>
    <x v="10"/>
    <x v="70"/>
  </r>
  <r>
    <x v="4"/>
    <x v="75"/>
  </r>
  <r>
    <x v="4"/>
    <x v="75"/>
  </r>
  <r>
    <x v="5"/>
    <x v="70"/>
  </r>
  <r>
    <x v="5"/>
    <x v="68"/>
  </r>
  <r>
    <x v="10"/>
    <x v="67"/>
  </r>
  <r>
    <x v="17"/>
    <x v="62"/>
  </r>
  <r>
    <x v="0"/>
    <x v="65"/>
  </r>
  <r>
    <x v="1"/>
    <x v="65"/>
  </r>
  <r>
    <x v="1"/>
    <x v="64"/>
  </r>
  <r>
    <x v="2"/>
    <x v="72"/>
  </r>
  <r>
    <x v="2"/>
    <x v="72"/>
  </r>
  <r>
    <x v="2"/>
    <x v="74"/>
  </r>
  <r>
    <x v="15"/>
    <x v="72"/>
  </r>
  <r>
    <x v="15"/>
    <x v="72"/>
  </r>
  <r>
    <x v="13"/>
    <x v="73"/>
  </r>
  <r>
    <x v="13"/>
    <x v="73"/>
  </r>
  <r>
    <x v="14"/>
    <x v="76"/>
  </r>
  <r>
    <x v="14"/>
    <x v="76"/>
  </r>
  <r>
    <x v="13"/>
    <x v="73"/>
  </r>
  <r>
    <x v="15"/>
    <x v="74"/>
  </r>
  <r>
    <x v="15"/>
    <x v="73"/>
  </r>
  <r>
    <x v="2"/>
    <x v="66"/>
  </r>
  <r>
    <x v="2"/>
    <x v="72"/>
  </r>
  <r>
    <x v="1"/>
    <x v="65"/>
  </r>
  <r>
    <x v="1"/>
    <x v="65"/>
  </r>
  <r>
    <x v="1"/>
    <x v="64"/>
  </r>
  <r>
    <x v="2"/>
    <x v="65"/>
  </r>
  <r>
    <x v="2"/>
    <x v="64"/>
  </r>
  <r>
    <x v="2"/>
    <x v="71"/>
  </r>
  <r>
    <x v="2"/>
    <x v="63"/>
  </r>
  <r>
    <x v="15"/>
    <x v="64"/>
  </r>
  <r>
    <x v="15"/>
    <x v="64"/>
  </r>
  <r>
    <x v="2"/>
    <x v="63"/>
  </r>
  <r>
    <x v="2"/>
    <x v="71"/>
  </r>
  <r>
    <x v="13"/>
    <x v="63"/>
  </r>
  <r>
    <x v="14"/>
    <x v="72"/>
  </r>
  <r>
    <x v="14"/>
    <x v="72"/>
  </r>
  <r>
    <x v="14"/>
    <x v="74"/>
  </r>
  <r>
    <x v="13"/>
    <x v="63"/>
  </r>
  <r>
    <x v="14"/>
    <x v="64"/>
  </r>
  <r>
    <x v="14"/>
    <x v="74"/>
  </r>
  <r>
    <x v="13"/>
    <x v="66"/>
  </r>
  <r>
    <x v="2"/>
    <x v="64"/>
  </r>
  <r>
    <x v="1"/>
    <x v="63"/>
  </r>
  <r>
    <x v="0"/>
    <x v="62"/>
  </r>
  <r>
    <x v="12"/>
    <x v="71"/>
  </r>
  <r>
    <x v="17"/>
    <x v="61"/>
  </r>
  <r>
    <x v="17"/>
    <x v="61"/>
  </r>
  <r>
    <x v="11"/>
    <x v="67"/>
  </r>
  <r>
    <x v="12"/>
    <x v="61"/>
  </r>
  <r>
    <x v="0"/>
    <x v="71"/>
  </r>
  <r>
    <x v="0"/>
    <x v="62"/>
  </r>
  <r>
    <x v="0"/>
    <x v="62"/>
  </r>
  <r>
    <x v="0"/>
    <x v="62"/>
  </r>
  <r>
    <x v="0"/>
    <x v="62"/>
  </r>
  <r>
    <x v="0"/>
    <x v="62"/>
  </r>
  <r>
    <x v="0"/>
    <x v="62"/>
  </r>
  <r>
    <x v="0"/>
    <x v="62"/>
  </r>
  <r>
    <x v="0"/>
    <x v="62"/>
  </r>
  <r>
    <x v="0"/>
    <x v="62"/>
  </r>
  <r>
    <x v="1"/>
    <x v="63"/>
  </r>
  <r>
    <x v="2"/>
    <x v="63"/>
  </r>
  <r>
    <x v="2"/>
    <x v="71"/>
  </r>
  <r>
    <x v="1"/>
    <x v="71"/>
  </r>
  <r>
    <x v="2"/>
    <x v="63"/>
  </r>
  <r>
    <x v="2"/>
    <x v="63"/>
  </r>
  <r>
    <x v="2"/>
    <x v="64"/>
  </r>
  <r>
    <x v="1"/>
    <x v="63"/>
  </r>
  <r>
    <x v="1"/>
    <x v="63"/>
  </r>
  <r>
    <x v="1"/>
    <x v="63"/>
  </r>
  <r>
    <x v="1"/>
    <x v="61"/>
  </r>
  <r>
    <x v="1"/>
    <x v="61"/>
  </r>
  <r>
    <x v="1"/>
    <x v="63"/>
  </r>
  <r>
    <x v="0"/>
    <x v="64"/>
  </r>
  <r>
    <x v="17"/>
    <x v="62"/>
  </r>
  <r>
    <x v="17"/>
    <x v="62"/>
  </r>
  <r>
    <x v="11"/>
    <x v="67"/>
  </r>
  <r>
    <x v="12"/>
    <x v="71"/>
  </r>
  <r>
    <x v="12"/>
    <x v="61"/>
  </r>
  <r>
    <x v="12"/>
    <x v="71"/>
  </r>
  <r>
    <x v="12"/>
    <x v="71"/>
  </r>
  <r>
    <x v="12"/>
    <x v="63"/>
  </r>
  <r>
    <x v="12"/>
    <x v="63"/>
  </r>
  <r>
    <x v="12"/>
    <x v="67"/>
  </r>
  <r>
    <x v="12"/>
    <x v="63"/>
  </r>
  <r>
    <x v="12"/>
    <x v="71"/>
  </r>
  <r>
    <x v="12"/>
    <x v="71"/>
  </r>
  <r>
    <x v="0"/>
    <x v="62"/>
  </r>
  <r>
    <x v="0"/>
    <x v="71"/>
  </r>
  <r>
    <x v="17"/>
    <x v="67"/>
  </r>
  <r>
    <x v="11"/>
    <x v="67"/>
  </r>
  <r>
    <x v="3"/>
    <x v="69"/>
  </r>
  <r>
    <x v="10"/>
    <x v="70"/>
  </r>
  <r>
    <x v="10"/>
    <x v="77"/>
  </r>
  <r>
    <x v="10"/>
    <x v="78"/>
  </r>
  <r>
    <x v="10"/>
    <x v="78"/>
  </r>
  <r>
    <x v="10"/>
    <x v="78"/>
  </r>
  <r>
    <x v="10"/>
    <x v="77"/>
  </r>
  <r>
    <x v="11"/>
    <x v="69"/>
  </r>
  <r>
    <x v="17"/>
    <x v="67"/>
  </r>
  <r>
    <x v="17"/>
    <x v="67"/>
  </r>
  <r>
    <x v="12"/>
    <x v="69"/>
  </r>
  <r>
    <x v="12"/>
    <x v="69"/>
  </r>
  <r>
    <x v="0"/>
    <x v="67"/>
  </r>
  <r>
    <x v="0"/>
    <x v="67"/>
  </r>
  <r>
    <x v="1"/>
    <x v="61"/>
  </r>
  <r>
    <x v="2"/>
    <x v="71"/>
  </r>
  <r>
    <x v="2"/>
    <x v="71"/>
  </r>
  <r>
    <x v="2"/>
    <x v="71"/>
  </r>
  <r>
    <x v="2"/>
    <x v="71"/>
  </r>
  <r>
    <x v="15"/>
    <x v="62"/>
  </r>
  <r>
    <x v="15"/>
    <x v="62"/>
  </r>
  <r>
    <x v="13"/>
    <x v="63"/>
  </r>
  <r>
    <x v="1"/>
    <x v="61"/>
  </r>
  <r>
    <x v="0"/>
    <x v="71"/>
  </r>
  <r>
    <x v="11"/>
    <x v="68"/>
  </r>
  <r>
    <x v="3"/>
    <x v="78"/>
  </r>
  <r>
    <x v="5"/>
    <x v="77"/>
  </r>
  <r>
    <x v="5"/>
    <x v="77"/>
  </r>
  <r>
    <x v="4"/>
    <x v="75"/>
  </r>
  <r>
    <x v="5"/>
    <x v="78"/>
  </r>
  <r>
    <x v="3"/>
    <x v="68"/>
  </r>
  <r>
    <x v="10"/>
    <x v="70"/>
  </r>
  <r>
    <x v="3"/>
    <x v="78"/>
  </r>
  <r>
    <x v="3"/>
    <x v="70"/>
  </r>
  <r>
    <x v="3"/>
    <x v="78"/>
  </r>
  <r>
    <x v="17"/>
    <x v="69"/>
  </r>
  <r>
    <x v="11"/>
    <x v="70"/>
  </r>
  <r>
    <x v="17"/>
    <x v="68"/>
  </r>
  <r>
    <x v="17"/>
    <x v="68"/>
  </r>
  <r>
    <x v="12"/>
    <x v="61"/>
  </r>
  <r>
    <x v="17"/>
    <x v="61"/>
  </r>
  <r>
    <x v="12"/>
    <x v="71"/>
  </r>
  <r>
    <x v="12"/>
    <x v="63"/>
  </r>
  <r>
    <x v="12"/>
    <x v="63"/>
  </r>
  <r>
    <x v="0"/>
    <x v="65"/>
  </r>
  <r>
    <x v="0"/>
    <x v="65"/>
  </r>
  <r>
    <x v="0"/>
    <x v="65"/>
  </r>
  <r>
    <x v="1"/>
    <x v="66"/>
  </r>
  <r>
    <x v="1"/>
    <x v="66"/>
  </r>
  <r>
    <x v="0"/>
    <x v="65"/>
  </r>
  <r>
    <x v="0"/>
    <x v="65"/>
  </r>
  <r>
    <x v="1"/>
    <x v="65"/>
  </r>
  <r>
    <x v="1"/>
    <x v="65"/>
  </r>
  <r>
    <x v="1"/>
    <x v="66"/>
  </r>
  <r>
    <x v="1"/>
    <x v="66"/>
  </r>
  <r>
    <x v="2"/>
    <x v="66"/>
  </r>
  <r>
    <x v="13"/>
    <x v="76"/>
  </r>
  <r>
    <x v="13"/>
    <x v="73"/>
  </r>
  <r>
    <x v="14"/>
    <x v="79"/>
  </r>
  <r>
    <x v="16"/>
    <x v="79"/>
  </r>
  <r>
    <x v="16"/>
    <x v="79"/>
  </r>
  <r>
    <x v="18"/>
    <x v="80"/>
  </r>
  <r>
    <x v="18"/>
    <x v="79"/>
  </r>
  <r>
    <x v="19"/>
    <x v="80"/>
  </r>
  <r>
    <x v="20"/>
    <x v="80"/>
  </r>
  <r>
    <x v="20"/>
    <x v="79"/>
  </r>
  <r>
    <x v="20"/>
    <x v="74"/>
  </r>
  <r>
    <x v="20"/>
    <x v="79"/>
  </r>
  <r>
    <x v="18"/>
    <x v="73"/>
  </r>
  <r>
    <x v="16"/>
    <x v="73"/>
  </r>
  <r>
    <x v="14"/>
    <x v="66"/>
  </r>
  <r>
    <x v="14"/>
    <x v="74"/>
  </r>
  <r>
    <x v="15"/>
    <x v="66"/>
  </r>
  <r>
    <x v="15"/>
    <x v="72"/>
  </r>
  <r>
    <x v="2"/>
    <x v="66"/>
  </r>
  <r>
    <x v="2"/>
    <x v="66"/>
  </r>
  <r>
    <x v="2"/>
    <x v="65"/>
  </r>
  <r>
    <x v="2"/>
    <x v="65"/>
  </r>
  <r>
    <x v="15"/>
    <x v="72"/>
  </r>
  <r>
    <x v="14"/>
    <x v="76"/>
  </r>
  <r>
    <x v="14"/>
    <x v="74"/>
  </r>
  <r>
    <x v="14"/>
    <x v="74"/>
  </r>
  <r>
    <x v="13"/>
    <x v="72"/>
  </r>
  <r>
    <x v="13"/>
    <x v="74"/>
  </r>
  <r>
    <x v="14"/>
    <x v="73"/>
  </r>
  <r>
    <x v="14"/>
    <x v="74"/>
  </r>
  <r>
    <x v="14"/>
    <x v="74"/>
  </r>
  <r>
    <x v="14"/>
    <x v="73"/>
  </r>
  <r>
    <x v="16"/>
    <x v="76"/>
  </r>
  <r>
    <x v="16"/>
    <x v="76"/>
  </r>
  <r>
    <x v="18"/>
    <x v="80"/>
  </r>
  <r>
    <x v="18"/>
    <x v="80"/>
  </r>
  <r>
    <x v="16"/>
    <x v="79"/>
  </r>
  <r>
    <x v="16"/>
    <x v="79"/>
  </r>
  <r>
    <x v="14"/>
    <x v="76"/>
  </r>
  <r>
    <x v="13"/>
    <x v="73"/>
  </r>
  <r>
    <x v="15"/>
    <x v="72"/>
  </r>
  <r>
    <x v="2"/>
    <x v="66"/>
  </r>
  <r>
    <x v="2"/>
    <x v="65"/>
  </r>
  <r>
    <x v="2"/>
    <x v="66"/>
  </r>
  <r>
    <x v="15"/>
    <x v="66"/>
  </r>
  <r>
    <x v="13"/>
    <x v="66"/>
  </r>
  <r>
    <x v="14"/>
    <x v="72"/>
  </r>
  <r>
    <x v="14"/>
    <x v="66"/>
  </r>
  <r>
    <x v="14"/>
    <x v="64"/>
  </r>
  <r>
    <x v="16"/>
    <x v="65"/>
  </r>
  <r>
    <x v="16"/>
    <x v="74"/>
  </r>
  <r>
    <x v="18"/>
    <x v="73"/>
  </r>
  <r>
    <x v="18"/>
    <x v="73"/>
  </r>
  <r>
    <x v="18"/>
    <x v="73"/>
  </r>
  <r>
    <x v="19"/>
    <x v="76"/>
  </r>
  <r>
    <x v="18"/>
    <x v="66"/>
  </r>
  <r>
    <x v="19"/>
    <x v="72"/>
  </r>
  <r>
    <x v="18"/>
    <x v="76"/>
  </r>
  <r>
    <x v="16"/>
    <x v="76"/>
  </r>
  <r>
    <x v="14"/>
    <x v="73"/>
  </r>
  <r>
    <x v="1"/>
    <x v="63"/>
  </r>
  <r>
    <x v="1"/>
    <x v="63"/>
  </r>
  <r>
    <x v="0"/>
    <x v="63"/>
  </r>
  <r>
    <x v="11"/>
    <x v="67"/>
  </r>
  <r>
    <x v="3"/>
    <x v="68"/>
  </r>
  <r>
    <x v="11"/>
    <x v="67"/>
  </r>
  <r>
    <x v="11"/>
    <x v="70"/>
  </r>
  <r>
    <x v="17"/>
    <x v="68"/>
  </r>
  <r>
    <x v="12"/>
    <x v="69"/>
  </r>
  <r>
    <x v="1"/>
    <x v="63"/>
  </r>
  <r>
    <x v="2"/>
    <x v="64"/>
  </r>
  <r>
    <x v="2"/>
    <x v="63"/>
  </r>
  <r>
    <x v="15"/>
    <x v="62"/>
  </r>
  <r>
    <x v="13"/>
    <x v="65"/>
  </r>
  <r>
    <x v="14"/>
    <x v="64"/>
  </r>
  <r>
    <x v="14"/>
    <x v="64"/>
  </r>
  <r>
    <x v="16"/>
    <x v="65"/>
  </r>
  <r>
    <x v="16"/>
    <x v="72"/>
  </r>
  <r>
    <x v="16"/>
    <x v="72"/>
  </r>
  <r>
    <x v="16"/>
    <x v="73"/>
  </r>
  <r>
    <x v="16"/>
    <x v="74"/>
  </r>
  <r>
    <x v="14"/>
    <x v="74"/>
  </r>
  <r>
    <x v="13"/>
    <x v="66"/>
  </r>
  <r>
    <x v="1"/>
    <x v="64"/>
  </r>
  <r>
    <x v="11"/>
    <x v="61"/>
  </r>
  <r>
    <x v="11"/>
    <x v="61"/>
  </r>
  <r>
    <x v="11"/>
    <x v="61"/>
  </r>
  <r>
    <x v="10"/>
    <x v="68"/>
  </r>
  <r>
    <x v="10"/>
    <x v="69"/>
  </r>
  <r>
    <x v="10"/>
    <x v="69"/>
  </r>
  <r>
    <x v="3"/>
    <x v="67"/>
  </r>
  <r>
    <x v="17"/>
    <x v="71"/>
  </r>
  <r>
    <x v="17"/>
    <x v="61"/>
  </r>
  <r>
    <x v="12"/>
    <x v="71"/>
  </r>
  <r>
    <x v="12"/>
    <x v="69"/>
  </r>
  <r>
    <x v="0"/>
    <x v="71"/>
  </r>
  <r>
    <x v="1"/>
    <x v="63"/>
  </r>
  <r>
    <x v="2"/>
    <x v="63"/>
  </r>
  <r>
    <x v="2"/>
    <x v="63"/>
  </r>
  <r>
    <x v="2"/>
    <x v="63"/>
  </r>
  <r>
    <x v="2"/>
    <x v="63"/>
  </r>
  <r>
    <x v="2"/>
    <x v="64"/>
  </r>
  <r>
    <x v="2"/>
    <x v="64"/>
  </r>
  <r>
    <x v="1"/>
    <x v="61"/>
  </r>
  <r>
    <x v="1"/>
    <x v="63"/>
  </r>
  <r>
    <x v="0"/>
    <x v="63"/>
  </r>
  <r>
    <x v="11"/>
    <x v="61"/>
  </r>
  <r>
    <x v="3"/>
    <x v="67"/>
  </r>
  <r>
    <x v="5"/>
    <x v="68"/>
  </r>
  <r>
    <x v="4"/>
    <x v="75"/>
  </r>
  <r>
    <x v="9"/>
    <x v="81"/>
  </r>
  <r>
    <x v="9"/>
    <x v="81"/>
  </r>
  <r>
    <x v="6"/>
    <x v="82"/>
  </r>
  <r>
    <x v="6"/>
    <x v="82"/>
  </r>
  <r>
    <x v="9"/>
    <x v="81"/>
  </r>
  <r>
    <x v="9"/>
    <x v="81"/>
  </r>
  <r>
    <x v="9"/>
    <x v="81"/>
  </r>
  <r>
    <x v="9"/>
    <x v="81"/>
  </r>
  <r>
    <x v="9"/>
    <x v="81"/>
  </r>
  <r>
    <x v="9"/>
    <x v="81"/>
  </r>
  <r>
    <x v="4"/>
    <x v="75"/>
  </r>
  <r>
    <x v="4"/>
    <x v="75"/>
  </r>
  <r>
    <x v="5"/>
    <x v="70"/>
  </r>
  <r>
    <x v="10"/>
    <x v="68"/>
  </r>
  <r>
    <x v="3"/>
    <x v="69"/>
  </r>
  <r>
    <x v="3"/>
    <x v="69"/>
  </r>
  <r>
    <x v="10"/>
    <x v="69"/>
  </r>
  <r>
    <x v="10"/>
    <x v="69"/>
  </r>
  <r>
    <x v="23"/>
    <x v="8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1">
  <r>
    <x v="0"/>
    <x v="0"/>
    <x v="0"/>
  </r>
  <r>
    <x v="1"/>
    <x v="1"/>
    <x v="1"/>
  </r>
  <r>
    <x v="2"/>
    <x v="2"/>
    <x v="2"/>
  </r>
  <r>
    <x v="0"/>
    <x v="3"/>
    <x v="3"/>
  </r>
  <r>
    <x v="3"/>
    <x v="4"/>
    <x v="4"/>
  </r>
  <r>
    <x v="3"/>
    <x v="4"/>
    <x v="4"/>
  </r>
  <r>
    <x v="4"/>
    <x v="5"/>
    <x v="5"/>
  </r>
  <r>
    <x v="5"/>
    <x v="6"/>
    <x v="6"/>
  </r>
  <r>
    <x v="5"/>
    <x v="7"/>
    <x v="7"/>
  </r>
  <r>
    <x v="1"/>
    <x v="8"/>
    <x v="8"/>
  </r>
  <r>
    <x v="6"/>
    <x v="9"/>
    <x v="9"/>
  </r>
  <r>
    <x v="7"/>
    <x v="10"/>
    <x v="10"/>
  </r>
  <r>
    <x v="8"/>
    <x v="11"/>
    <x v="11"/>
  </r>
  <r>
    <x v="9"/>
    <x v="12"/>
    <x v="12"/>
  </r>
  <r>
    <x v="10"/>
    <x v="13"/>
    <x v="13"/>
  </r>
  <r>
    <x v="11"/>
    <x v="14"/>
    <x v="14"/>
  </r>
  <r>
    <x v="12"/>
    <x v="15"/>
    <x v="15"/>
  </r>
  <r>
    <x v="13"/>
    <x v="15"/>
    <x v="16"/>
  </r>
  <r>
    <x v="14"/>
    <x v="16"/>
    <x v="17"/>
  </r>
  <r>
    <x v="15"/>
    <x v="17"/>
    <x v="18"/>
  </r>
  <r>
    <x v="16"/>
    <x v="18"/>
    <x v="9"/>
  </r>
  <r>
    <x v="0"/>
    <x v="17"/>
    <x v="19"/>
  </r>
  <r>
    <x v="16"/>
    <x v="19"/>
    <x v="20"/>
  </r>
  <r>
    <x v="13"/>
    <x v="9"/>
    <x v="21"/>
  </r>
  <r>
    <x v="17"/>
    <x v="0"/>
    <x v="22"/>
  </r>
  <r>
    <x v="5"/>
    <x v="20"/>
    <x v="22"/>
  </r>
  <r>
    <x v="5"/>
    <x v="21"/>
    <x v="23"/>
  </r>
  <r>
    <x v="4"/>
    <x v="22"/>
    <x v="24"/>
  </r>
  <r>
    <x v="4"/>
    <x v="4"/>
    <x v="6"/>
  </r>
  <r>
    <x v="3"/>
    <x v="6"/>
    <x v="5"/>
  </r>
  <r>
    <x v="3"/>
    <x v="4"/>
    <x v="4"/>
  </r>
  <r>
    <x v="3"/>
    <x v="21"/>
    <x v="7"/>
  </r>
  <r>
    <x v="5"/>
    <x v="23"/>
    <x v="25"/>
  </r>
  <r>
    <x v="18"/>
    <x v="24"/>
    <x v="26"/>
  </r>
  <r>
    <x v="19"/>
    <x v="25"/>
    <x v="27"/>
  </r>
  <r>
    <x v="20"/>
    <x v="26"/>
    <x v="15"/>
  </r>
  <r>
    <x v="16"/>
    <x v="27"/>
    <x v="28"/>
  </r>
  <r>
    <x v="17"/>
    <x v="11"/>
    <x v="29"/>
  </r>
  <r>
    <x v="21"/>
    <x v="11"/>
    <x v="30"/>
  </r>
  <r>
    <x v="14"/>
    <x v="28"/>
    <x v="31"/>
  </r>
  <r>
    <x v="18"/>
    <x v="29"/>
    <x v="32"/>
  </r>
  <r>
    <x v="22"/>
    <x v="30"/>
    <x v="26"/>
  </r>
  <r>
    <x v="5"/>
    <x v="31"/>
    <x v="33"/>
  </r>
  <r>
    <x v="2"/>
    <x v="19"/>
    <x v="34"/>
  </r>
  <r>
    <x v="16"/>
    <x v="32"/>
    <x v="35"/>
  </r>
  <r>
    <x v="3"/>
    <x v="33"/>
    <x v="23"/>
  </r>
  <r>
    <x v="3"/>
    <x v="21"/>
    <x v="7"/>
  </r>
  <r>
    <x v="3"/>
    <x v="34"/>
    <x v="36"/>
  </r>
  <r>
    <x v="3"/>
    <x v="6"/>
    <x v="5"/>
  </r>
  <r>
    <x v="3"/>
    <x v="4"/>
    <x v="4"/>
  </r>
  <r>
    <x v="3"/>
    <x v="35"/>
    <x v="6"/>
  </r>
  <r>
    <x v="3"/>
    <x v="10"/>
    <x v="33"/>
  </r>
  <r>
    <x v="5"/>
    <x v="36"/>
    <x v="37"/>
  </r>
  <r>
    <x v="5"/>
    <x v="37"/>
    <x v="38"/>
  </r>
  <r>
    <x v="18"/>
    <x v="38"/>
    <x v="39"/>
  </r>
  <r>
    <x v="16"/>
    <x v="39"/>
    <x v="40"/>
  </r>
  <r>
    <x v="22"/>
    <x v="40"/>
    <x v="41"/>
  </r>
  <r>
    <x v="23"/>
    <x v="41"/>
    <x v="42"/>
  </r>
  <r>
    <x v="1"/>
    <x v="42"/>
    <x v="42"/>
  </r>
  <r>
    <x v="16"/>
    <x v="43"/>
    <x v="43"/>
  </r>
  <r>
    <x v="24"/>
    <x v="29"/>
    <x v="44"/>
  </r>
  <r>
    <x v="14"/>
    <x v="28"/>
    <x v="31"/>
  </r>
  <r>
    <x v="16"/>
    <x v="44"/>
    <x v="45"/>
  </r>
  <r>
    <x v="14"/>
    <x v="45"/>
    <x v="45"/>
  </r>
  <r>
    <x v="1"/>
    <x v="46"/>
    <x v="14"/>
  </r>
  <r>
    <x v="0"/>
    <x v="47"/>
    <x v="46"/>
  </r>
  <r>
    <x v="0"/>
    <x v="47"/>
    <x v="46"/>
  </r>
  <r>
    <x v="3"/>
    <x v="32"/>
    <x v="25"/>
  </r>
  <r>
    <x v="5"/>
    <x v="48"/>
    <x v="47"/>
  </r>
  <r>
    <x v="3"/>
    <x v="34"/>
    <x v="36"/>
  </r>
  <r>
    <x v="3"/>
    <x v="6"/>
    <x v="5"/>
  </r>
  <r>
    <x v="3"/>
    <x v="4"/>
    <x v="4"/>
  </r>
  <r>
    <x v="3"/>
    <x v="6"/>
    <x v="5"/>
  </r>
  <r>
    <x v="3"/>
    <x v="22"/>
    <x v="48"/>
  </r>
  <r>
    <x v="3"/>
    <x v="49"/>
    <x v="9"/>
  </r>
  <r>
    <x v="4"/>
    <x v="50"/>
    <x v="12"/>
  </r>
  <r>
    <x v="4"/>
    <x v="51"/>
    <x v="49"/>
  </r>
  <r>
    <x v="4"/>
    <x v="52"/>
    <x v="50"/>
  </r>
  <r>
    <x v="2"/>
    <x v="53"/>
    <x v="51"/>
  </r>
  <r>
    <x v="18"/>
    <x v="54"/>
    <x v="52"/>
  </r>
  <r>
    <x v="6"/>
    <x v="43"/>
    <x v="53"/>
  </r>
  <r>
    <x v="25"/>
    <x v="55"/>
    <x v="54"/>
  </r>
  <r>
    <x v="14"/>
    <x v="25"/>
    <x v="55"/>
  </r>
  <r>
    <x v="26"/>
    <x v="41"/>
    <x v="32"/>
  </r>
  <r>
    <x v="13"/>
    <x v="56"/>
    <x v="56"/>
  </r>
  <r>
    <x v="22"/>
    <x v="57"/>
    <x v="57"/>
  </r>
  <r>
    <x v="0"/>
    <x v="58"/>
    <x v="58"/>
  </r>
  <r>
    <x v="4"/>
    <x v="59"/>
    <x v="59"/>
  </r>
  <r>
    <x v="5"/>
    <x v="42"/>
    <x v="60"/>
  </r>
  <r>
    <x v="3"/>
    <x v="41"/>
    <x v="61"/>
  </r>
  <r>
    <x v="5"/>
    <x v="60"/>
    <x v="17"/>
  </r>
  <r>
    <x v="4"/>
    <x v="33"/>
    <x v="62"/>
  </r>
  <r>
    <x v="3"/>
    <x v="8"/>
    <x v="24"/>
  </r>
  <r>
    <x v="3"/>
    <x v="8"/>
    <x v="24"/>
  </r>
  <r>
    <x v="3"/>
    <x v="6"/>
    <x v="5"/>
  </r>
  <r>
    <x v="3"/>
    <x v="6"/>
    <x v="5"/>
  </r>
  <r>
    <x v="3"/>
    <x v="35"/>
    <x v="6"/>
  </r>
  <r>
    <x v="3"/>
    <x v="39"/>
    <x v="63"/>
  </r>
  <r>
    <x v="5"/>
    <x v="61"/>
    <x v="39"/>
  </r>
  <r>
    <x v="0"/>
    <x v="62"/>
    <x v="64"/>
  </r>
  <r>
    <x v="15"/>
    <x v="63"/>
    <x v="65"/>
  </r>
  <r>
    <x v="17"/>
    <x v="42"/>
    <x v="52"/>
  </r>
  <r>
    <x v="6"/>
    <x v="60"/>
    <x v="66"/>
  </r>
  <r>
    <x v="2"/>
    <x v="64"/>
    <x v="67"/>
  </r>
  <r>
    <x v="15"/>
    <x v="65"/>
    <x v="68"/>
  </r>
  <r>
    <x v="22"/>
    <x v="15"/>
    <x v="69"/>
  </r>
  <r>
    <x v="18"/>
    <x v="11"/>
    <x v="69"/>
  </r>
  <r>
    <x v="17"/>
    <x v="66"/>
    <x v="70"/>
  </r>
  <r>
    <x v="17"/>
    <x v="67"/>
    <x v="71"/>
  </r>
  <r>
    <x v="0"/>
    <x v="68"/>
    <x v="72"/>
  </r>
  <r>
    <x v="2"/>
    <x v="69"/>
    <x v="73"/>
  </r>
  <r>
    <x v="18"/>
    <x v="70"/>
    <x v="70"/>
  </r>
  <r>
    <x v="0"/>
    <x v="71"/>
    <x v="74"/>
  </r>
  <r>
    <x v="5"/>
    <x v="40"/>
    <x v="51"/>
  </r>
  <r>
    <x v="5"/>
    <x v="72"/>
    <x v="75"/>
  </r>
  <r>
    <x v="3"/>
    <x v="48"/>
    <x v="62"/>
  </r>
  <r>
    <x v="3"/>
    <x v="22"/>
    <x v="48"/>
  </r>
  <r>
    <x v="3"/>
    <x v="6"/>
    <x v="5"/>
  </r>
  <r>
    <x v="3"/>
    <x v="4"/>
    <x v="4"/>
  </r>
  <r>
    <x v="3"/>
    <x v="22"/>
    <x v="48"/>
  </r>
  <r>
    <x v="3"/>
    <x v="49"/>
    <x v="9"/>
  </r>
  <r>
    <x v="3"/>
    <x v="73"/>
    <x v="76"/>
  </r>
  <r>
    <x v="0"/>
    <x v="74"/>
    <x v="77"/>
  </r>
  <r>
    <x v="15"/>
    <x v="75"/>
    <x v="78"/>
  </r>
  <r>
    <x v="0"/>
    <x v="76"/>
    <x v="79"/>
  </r>
  <r>
    <x v="4"/>
    <x v="77"/>
    <x v="29"/>
  </r>
  <r>
    <x v="15"/>
    <x v="78"/>
    <x v="11"/>
  </r>
  <r>
    <x v="6"/>
    <x v="11"/>
    <x v="16"/>
  </r>
  <r>
    <x v="16"/>
    <x v="79"/>
    <x v="27"/>
  </r>
  <r>
    <x v="1"/>
    <x v="25"/>
    <x v="69"/>
  </r>
  <r>
    <x v="6"/>
    <x v="64"/>
    <x v="80"/>
  </r>
  <r>
    <x v="14"/>
    <x v="80"/>
    <x v="81"/>
  </r>
  <r>
    <x v="2"/>
    <x v="81"/>
    <x v="82"/>
  </r>
  <r>
    <x v="0"/>
    <x v="63"/>
    <x v="59"/>
  </r>
  <r>
    <x v="0"/>
    <x v="43"/>
    <x v="83"/>
  </r>
  <r>
    <x v="3"/>
    <x v="41"/>
    <x v="61"/>
  </r>
  <r>
    <x v="5"/>
    <x v="82"/>
    <x v="46"/>
  </r>
  <r>
    <x v="17"/>
    <x v="23"/>
    <x v="84"/>
  </r>
  <r>
    <x v="17"/>
    <x v="0"/>
    <x v="22"/>
  </r>
  <r>
    <x v="4"/>
    <x v="34"/>
    <x v="85"/>
  </r>
  <r>
    <x v="3"/>
    <x v="4"/>
    <x v="4"/>
  </r>
  <r>
    <x v="3"/>
    <x v="4"/>
    <x v="4"/>
  </r>
  <r>
    <x v="3"/>
    <x v="34"/>
    <x v="36"/>
  </r>
  <r>
    <x v="1"/>
    <x v="16"/>
    <x v="19"/>
  </r>
  <r>
    <x v="1"/>
    <x v="83"/>
    <x v="11"/>
  </r>
  <r>
    <x v="20"/>
    <x v="84"/>
    <x v="86"/>
  </r>
  <r>
    <x v="14"/>
    <x v="85"/>
    <x v="87"/>
  </r>
  <r>
    <x v="19"/>
    <x v="12"/>
    <x v="55"/>
  </r>
  <r>
    <x v="21"/>
    <x v="41"/>
    <x v="16"/>
  </r>
  <r>
    <x v="14"/>
    <x v="54"/>
    <x v="29"/>
  </r>
  <r>
    <x v="14"/>
    <x v="27"/>
    <x v="88"/>
  </r>
  <r>
    <x v="18"/>
    <x v="30"/>
    <x v="89"/>
  </r>
  <r>
    <x v="14"/>
    <x v="36"/>
    <x v="44"/>
  </r>
  <r>
    <x v="2"/>
    <x v="70"/>
    <x v="90"/>
  </r>
  <r>
    <x v="14"/>
    <x v="86"/>
    <x v="91"/>
  </r>
  <r>
    <x v="18"/>
    <x v="75"/>
    <x v="92"/>
  </r>
  <r>
    <x v="0"/>
    <x v="50"/>
    <x v="76"/>
  </r>
  <r>
    <x v="5"/>
    <x v="54"/>
    <x v="41"/>
  </r>
  <r>
    <x v="3"/>
    <x v="87"/>
    <x v="21"/>
  </r>
  <r>
    <x v="4"/>
    <x v="60"/>
    <x v="9"/>
  </r>
  <r>
    <x v="5"/>
    <x v="88"/>
    <x v="93"/>
  </r>
  <r>
    <x v="5"/>
    <x v="9"/>
    <x v="94"/>
  </r>
  <r>
    <x v="5"/>
    <x v="89"/>
    <x v="0"/>
  </r>
  <r>
    <x v="0"/>
    <x v="0"/>
    <x v="0"/>
  </r>
  <r>
    <x v="3"/>
    <x v="7"/>
    <x v="85"/>
  </r>
  <r>
    <x v="3"/>
    <x v="4"/>
    <x v="4"/>
  </r>
  <r>
    <x v="3"/>
    <x v="34"/>
    <x v="36"/>
  </r>
  <r>
    <x v="3"/>
    <x v="6"/>
    <x v="5"/>
  </r>
  <r>
    <x v="5"/>
    <x v="21"/>
    <x v="23"/>
  </r>
  <r>
    <x v="3"/>
    <x v="89"/>
    <x v="93"/>
  </r>
  <r>
    <x v="3"/>
    <x v="32"/>
    <x v="25"/>
  </r>
  <r>
    <x v="2"/>
    <x v="90"/>
    <x v="42"/>
  </r>
  <r>
    <x v="4"/>
    <x v="91"/>
    <x v="69"/>
  </r>
  <r>
    <x v="1"/>
    <x v="92"/>
    <x v="95"/>
  </r>
  <r>
    <x v="18"/>
    <x v="73"/>
    <x v="96"/>
  </r>
  <r>
    <x v="6"/>
    <x v="93"/>
    <x v="76"/>
  </r>
  <r>
    <x v="2"/>
    <x v="94"/>
    <x v="30"/>
  </r>
  <r>
    <x v="1"/>
    <x v="56"/>
    <x v="31"/>
  </r>
  <r>
    <x v="2"/>
    <x v="27"/>
    <x v="83"/>
  </r>
  <r>
    <x v="0"/>
    <x v="15"/>
    <x v="97"/>
  </r>
  <r>
    <x v="17"/>
    <x v="16"/>
    <x v="33"/>
  </r>
  <r>
    <x v="3"/>
    <x v="95"/>
    <x v="20"/>
  </r>
  <r>
    <x v="4"/>
    <x v="96"/>
    <x v="18"/>
  </r>
  <r>
    <x v="5"/>
    <x v="39"/>
    <x v="19"/>
  </r>
  <r>
    <x v="3"/>
    <x v="97"/>
    <x v="34"/>
  </r>
  <r>
    <x v="5"/>
    <x v="9"/>
    <x v="94"/>
  </r>
  <r>
    <x v="3"/>
    <x v="98"/>
    <x v="47"/>
  </r>
  <r>
    <x v="3"/>
    <x v="48"/>
    <x v="62"/>
  </r>
  <r>
    <x v="3"/>
    <x v="22"/>
    <x v="48"/>
  </r>
  <r>
    <x v="3"/>
    <x v="4"/>
    <x v="4"/>
  </r>
  <r>
    <x v="3"/>
    <x v="4"/>
    <x v="4"/>
  </r>
  <r>
    <x v="3"/>
    <x v="4"/>
    <x v="4"/>
  </r>
  <r>
    <x v="5"/>
    <x v="34"/>
    <x v="24"/>
  </r>
  <r>
    <x v="3"/>
    <x v="3"/>
    <x v="98"/>
  </r>
  <r>
    <x v="3"/>
    <x v="23"/>
    <x v="75"/>
  </r>
  <r>
    <x v="3"/>
    <x v="47"/>
    <x v="99"/>
  </r>
  <r>
    <x v="4"/>
    <x v="12"/>
    <x v="99"/>
  </r>
  <r>
    <x v="17"/>
    <x v="55"/>
    <x v="56"/>
  </r>
  <r>
    <x v="15"/>
    <x v="94"/>
    <x v="28"/>
  </r>
  <r>
    <x v="1"/>
    <x v="27"/>
    <x v="44"/>
  </r>
  <r>
    <x v="2"/>
    <x v="99"/>
    <x v="100"/>
  </r>
  <r>
    <x v="23"/>
    <x v="55"/>
    <x v="101"/>
  </r>
  <r>
    <x v="0"/>
    <x v="79"/>
    <x v="69"/>
  </r>
  <r>
    <x v="17"/>
    <x v="100"/>
    <x v="61"/>
  </r>
  <r>
    <x v="5"/>
    <x v="71"/>
    <x v="102"/>
  </r>
  <r>
    <x v="3"/>
    <x v="101"/>
    <x v="103"/>
  </r>
  <r>
    <x v="5"/>
    <x v="23"/>
    <x v="25"/>
  </r>
  <r>
    <x v="2"/>
    <x v="3"/>
    <x v="93"/>
  </r>
  <r>
    <x v="3"/>
    <x v="8"/>
    <x v="24"/>
  </r>
  <r>
    <x v="4"/>
    <x v="35"/>
    <x v="36"/>
  </r>
  <r>
    <x v="5"/>
    <x v="5"/>
    <x v="4"/>
  </r>
  <r>
    <x v="3"/>
    <x v="35"/>
    <x v="6"/>
  </r>
  <r>
    <x v="3"/>
    <x v="4"/>
    <x v="4"/>
  </r>
  <r>
    <x v="5"/>
    <x v="6"/>
    <x v="6"/>
  </r>
  <r>
    <x v="3"/>
    <x v="35"/>
    <x v="6"/>
  </r>
  <r>
    <x v="3"/>
    <x v="17"/>
    <x v="35"/>
  </r>
  <r>
    <x v="4"/>
    <x v="102"/>
    <x v="43"/>
  </r>
  <r>
    <x v="17"/>
    <x v="103"/>
    <x v="104"/>
  </r>
  <r>
    <x v="4"/>
    <x v="50"/>
    <x v="12"/>
  </r>
  <r>
    <x v="3"/>
    <x v="17"/>
    <x v="35"/>
  </r>
  <r>
    <x v="4"/>
    <x v="95"/>
    <x v="33"/>
  </r>
  <r>
    <x v="2"/>
    <x v="12"/>
    <x v="46"/>
  </r>
  <r>
    <x v="17"/>
    <x v="54"/>
    <x v="60"/>
  </r>
  <r>
    <x v="3"/>
    <x v="12"/>
    <x v="105"/>
  </r>
  <r>
    <x v="4"/>
    <x v="30"/>
    <x v="79"/>
  </r>
  <r>
    <x v="17"/>
    <x v="14"/>
    <x v="30"/>
  </r>
  <r>
    <x v="17"/>
    <x v="104"/>
    <x v="106"/>
  </r>
  <r>
    <x v="5"/>
    <x v="105"/>
    <x v="107"/>
  </r>
  <r>
    <x v="0"/>
    <x v="50"/>
    <x v="76"/>
  </r>
  <r>
    <x v="5"/>
    <x v="26"/>
    <x v="30"/>
  </r>
  <r>
    <x v="5"/>
    <x v="53"/>
    <x v="103"/>
  </r>
  <r>
    <x v="4"/>
    <x v="97"/>
    <x v="108"/>
  </r>
  <r>
    <x v="3"/>
    <x v="72"/>
    <x v="109"/>
  </r>
  <r>
    <x v="4"/>
    <x v="3"/>
    <x v="47"/>
  </r>
  <r>
    <x v="3"/>
    <x v="35"/>
    <x v="6"/>
  </r>
  <r>
    <x v="3"/>
    <x v="35"/>
    <x v="6"/>
  </r>
  <r>
    <x v="3"/>
    <x v="8"/>
    <x v="24"/>
  </r>
  <r>
    <x v="3"/>
    <x v="2"/>
    <x v="110"/>
  </r>
  <r>
    <x v="4"/>
    <x v="106"/>
    <x v="111"/>
  </r>
  <r>
    <x v="0"/>
    <x v="107"/>
    <x v="112"/>
  </r>
  <r>
    <x v="0"/>
    <x v="69"/>
    <x v="113"/>
  </r>
  <r>
    <x v="0"/>
    <x v="82"/>
    <x v="60"/>
  </r>
  <r>
    <x v="17"/>
    <x v="17"/>
    <x v="17"/>
  </r>
  <r>
    <x v="4"/>
    <x v="11"/>
    <x v="52"/>
  </r>
  <r>
    <x v="15"/>
    <x v="24"/>
    <x v="46"/>
  </r>
  <r>
    <x v="0"/>
    <x v="91"/>
    <x v="55"/>
  </r>
  <r>
    <x v="4"/>
    <x v="108"/>
    <x v="105"/>
  </r>
  <r>
    <x v="17"/>
    <x v="109"/>
    <x v="31"/>
  </r>
  <r>
    <x v="15"/>
    <x v="110"/>
    <x v="114"/>
  </r>
  <r>
    <x v="5"/>
    <x v="111"/>
    <x v="76"/>
  </r>
  <r>
    <x v="3"/>
    <x v="82"/>
    <x v="41"/>
  </r>
  <r>
    <x v="3"/>
    <x v="1"/>
    <x v="2"/>
  </r>
  <r>
    <x v="3"/>
    <x v="32"/>
    <x v="25"/>
  </r>
  <r>
    <x v="5"/>
    <x v="95"/>
    <x v="115"/>
  </r>
  <r>
    <x v="5"/>
    <x v="72"/>
    <x v="75"/>
  </r>
  <r>
    <x v="3"/>
    <x v="7"/>
    <x v="85"/>
  </r>
  <r>
    <x v="3"/>
    <x v="8"/>
    <x v="24"/>
  </r>
  <r>
    <x v="3"/>
    <x v="4"/>
    <x v="4"/>
  </r>
  <r>
    <x v="3"/>
    <x v="34"/>
    <x v="36"/>
  </r>
  <r>
    <x v="3"/>
    <x v="20"/>
    <x v="0"/>
  </r>
  <r>
    <x v="3"/>
    <x v="25"/>
    <x v="60"/>
  </r>
  <r>
    <x v="0"/>
    <x v="85"/>
    <x v="116"/>
  </r>
  <r>
    <x v="0"/>
    <x v="78"/>
    <x v="117"/>
  </r>
  <r>
    <x v="3"/>
    <x v="87"/>
    <x v="21"/>
  </r>
  <r>
    <x v="0"/>
    <x v="1"/>
    <x v="17"/>
  </r>
  <r>
    <x v="0"/>
    <x v="15"/>
    <x v="97"/>
  </r>
  <r>
    <x v="3"/>
    <x v="47"/>
    <x v="99"/>
  </r>
  <r>
    <x v="3"/>
    <x v="100"/>
    <x v="40"/>
  </r>
  <r>
    <x v="5"/>
    <x v="41"/>
    <x v="99"/>
  </r>
  <r>
    <x v="2"/>
    <x v="36"/>
    <x v="118"/>
  </r>
  <r>
    <x v="3"/>
    <x v="112"/>
    <x v="119"/>
  </r>
  <r>
    <x v="4"/>
    <x v="113"/>
    <x v="120"/>
  </r>
  <r>
    <x v="5"/>
    <x v="70"/>
    <x v="56"/>
  </r>
  <r>
    <x v="4"/>
    <x v="25"/>
    <x v="10"/>
  </r>
  <r>
    <x v="3"/>
    <x v="77"/>
    <x v="52"/>
  </r>
  <r>
    <x v="5"/>
    <x v="1"/>
    <x v="63"/>
  </r>
  <r>
    <x v="5"/>
    <x v="23"/>
    <x v="25"/>
  </r>
  <r>
    <x v="5"/>
    <x v="8"/>
    <x v="85"/>
  </r>
  <r>
    <x v="3"/>
    <x v="6"/>
    <x v="5"/>
  </r>
  <r>
    <x v="3"/>
    <x v="6"/>
    <x v="5"/>
  </r>
  <r>
    <x v="3"/>
    <x v="35"/>
    <x v="6"/>
  </r>
  <r>
    <x v="3"/>
    <x v="22"/>
    <x v="48"/>
  </r>
  <r>
    <x v="3"/>
    <x v="35"/>
    <x v="6"/>
  </r>
  <r>
    <x v="3"/>
    <x v="95"/>
    <x v="20"/>
  </r>
  <r>
    <x v="3"/>
    <x v="109"/>
    <x v="44"/>
  </r>
  <r>
    <x v="2"/>
    <x v="114"/>
    <x v="121"/>
  </r>
  <r>
    <x v="4"/>
    <x v="115"/>
    <x v="119"/>
  </r>
  <r>
    <x v="4"/>
    <x v="49"/>
    <x v="103"/>
  </r>
  <r>
    <x v="17"/>
    <x v="39"/>
    <x v="18"/>
  </r>
  <r>
    <x v="0"/>
    <x v="47"/>
    <x v="46"/>
  </r>
  <r>
    <x v="4"/>
    <x v="38"/>
    <x v="56"/>
  </r>
  <r>
    <x v="0"/>
    <x v="87"/>
    <x v="51"/>
  </r>
  <r>
    <x v="2"/>
    <x v="11"/>
    <x v="122"/>
  </r>
  <r>
    <x v="4"/>
    <x v="83"/>
    <x v="53"/>
  </r>
  <r>
    <x v="17"/>
    <x v="81"/>
    <x v="123"/>
  </r>
  <r>
    <x v="0"/>
    <x v="116"/>
    <x v="124"/>
  </r>
  <r>
    <x v="5"/>
    <x v="52"/>
    <x v="111"/>
  </r>
  <r>
    <x v="3"/>
    <x v="27"/>
    <x v="37"/>
  </r>
  <r>
    <x v="3"/>
    <x v="71"/>
    <x v="1"/>
  </r>
  <r>
    <x v="3"/>
    <x v="10"/>
    <x v="33"/>
  </r>
  <r>
    <x v="5"/>
    <x v="88"/>
    <x v="93"/>
  </r>
  <r>
    <x v="3"/>
    <x v="88"/>
    <x v="8"/>
  </r>
  <r>
    <x v="3"/>
    <x v="34"/>
    <x v="36"/>
  </r>
  <r>
    <x v="3"/>
    <x v="4"/>
    <x v="4"/>
  </r>
  <r>
    <x v="3"/>
    <x v="4"/>
    <x v="4"/>
  </r>
  <r>
    <x v="3"/>
    <x v="21"/>
    <x v="7"/>
  </r>
  <r>
    <x v="3"/>
    <x v="19"/>
    <x v="22"/>
  </r>
  <r>
    <x v="3"/>
    <x v="14"/>
    <x v="27"/>
  </r>
  <r>
    <x v="4"/>
    <x v="117"/>
    <x v="125"/>
  </r>
  <r>
    <x v="3"/>
    <x v="118"/>
    <x v="126"/>
  </r>
  <r>
    <x v="17"/>
    <x v="71"/>
    <x v="40"/>
  </r>
  <r>
    <x v="15"/>
    <x v="12"/>
    <x v="26"/>
  </r>
  <r>
    <x v="4"/>
    <x v="79"/>
    <x v="42"/>
  </r>
  <r>
    <x v="17"/>
    <x v="26"/>
    <x v="43"/>
  </r>
  <r>
    <x v="2"/>
    <x v="79"/>
    <x v="37"/>
  </r>
  <r>
    <x v="14"/>
    <x v="79"/>
    <x v="118"/>
  </r>
  <r>
    <x v="0"/>
    <x v="61"/>
    <x v="127"/>
  </r>
  <r>
    <x v="17"/>
    <x v="119"/>
    <x v="128"/>
  </r>
  <r>
    <x v="2"/>
    <x v="120"/>
    <x v="119"/>
  </r>
  <r>
    <x v="0"/>
    <x v="121"/>
    <x v="101"/>
  </r>
  <r>
    <x v="3"/>
    <x v="56"/>
    <x v="118"/>
  </r>
  <r>
    <x v="17"/>
    <x v="41"/>
    <x v="46"/>
  </r>
  <r>
    <x v="4"/>
    <x v="60"/>
    <x v="9"/>
  </r>
  <r>
    <x v="5"/>
    <x v="16"/>
    <x v="110"/>
  </r>
  <r>
    <x v="0"/>
    <x v="18"/>
    <x v="20"/>
  </r>
  <r>
    <x v="4"/>
    <x v="72"/>
    <x v="25"/>
  </r>
  <r>
    <x v="3"/>
    <x v="98"/>
    <x v="47"/>
  </r>
  <r>
    <x v="5"/>
    <x v="7"/>
    <x v="7"/>
  </r>
  <r>
    <x v="3"/>
    <x v="34"/>
    <x v="36"/>
  </r>
  <r>
    <x v="3"/>
    <x v="4"/>
    <x v="4"/>
  </r>
  <r>
    <x v="5"/>
    <x v="6"/>
    <x v="6"/>
  </r>
  <r>
    <x v="5"/>
    <x v="33"/>
    <x v="98"/>
  </r>
  <r>
    <x v="5"/>
    <x v="97"/>
    <x v="84"/>
  </r>
  <r>
    <x v="4"/>
    <x v="17"/>
    <x v="63"/>
  </r>
  <r>
    <x v="4"/>
    <x v="77"/>
    <x v="29"/>
  </r>
  <r>
    <x v="25"/>
    <x v="25"/>
    <x v="44"/>
  </r>
  <r>
    <x v="13"/>
    <x v="64"/>
    <x v="70"/>
  </r>
  <r>
    <x v="27"/>
    <x v="122"/>
    <x v="129"/>
  </r>
  <r>
    <x v="7"/>
    <x v="50"/>
    <x v="130"/>
  </r>
  <r>
    <x v="27"/>
    <x v="123"/>
    <x v="131"/>
  </r>
  <r>
    <x v="28"/>
    <x v="73"/>
    <x v="116"/>
  </r>
  <r>
    <x v="8"/>
    <x v="25"/>
    <x v="56"/>
  </r>
  <r>
    <x v="13"/>
    <x v="94"/>
    <x v="11"/>
  </r>
  <r>
    <x v="24"/>
    <x v="91"/>
    <x v="30"/>
  </r>
  <r>
    <x v="15"/>
    <x v="96"/>
    <x v="102"/>
  </r>
  <r>
    <x v="15"/>
    <x v="82"/>
    <x v="52"/>
  </r>
  <r>
    <x v="3"/>
    <x v="16"/>
    <x v="132"/>
  </r>
  <r>
    <x v="2"/>
    <x v="87"/>
    <x v="40"/>
  </r>
  <r>
    <x v="15"/>
    <x v="39"/>
    <x v="21"/>
  </r>
  <r>
    <x v="17"/>
    <x v="23"/>
    <x v="84"/>
  </r>
  <r>
    <x v="0"/>
    <x v="0"/>
    <x v="0"/>
  </r>
  <r>
    <x v="14"/>
    <x v="8"/>
    <x v="93"/>
  </r>
  <r>
    <x v="3"/>
    <x v="4"/>
    <x v="4"/>
  </r>
  <r>
    <x v="5"/>
    <x v="4"/>
    <x v="5"/>
  </r>
  <r>
    <x v="3"/>
    <x v="4"/>
    <x v="4"/>
  </r>
  <r>
    <x v="3"/>
    <x v="35"/>
    <x v="6"/>
  </r>
  <r>
    <x v="3"/>
    <x v="72"/>
    <x v="109"/>
  </r>
  <r>
    <x v="0"/>
    <x v="31"/>
    <x v="2"/>
  </r>
  <r>
    <x v="1"/>
    <x v="13"/>
    <x v="67"/>
  </r>
  <r>
    <x v="29"/>
    <x v="14"/>
    <x v="15"/>
  </r>
  <r>
    <x v="8"/>
    <x v="102"/>
    <x v="133"/>
  </r>
  <r>
    <x v="29"/>
    <x v="73"/>
    <x v="130"/>
  </r>
  <r>
    <x v="30"/>
    <x v="94"/>
    <x v="134"/>
  </r>
  <r>
    <x v="10"/>
    <x v="78"/>
    <x v="135"/>
  </r>
  <r>
    <x v="30"/>
    <x v="99"/>
    <x v="111"/>
  </r>
  <r>
    <x v="29"/>
    <x v="70"/>
    <x v="136"/>
  </r>
  <r>
    <x v="16"/>
    <x v="90"/>
    <x v="16"/>
  </r>
  <r>
    <x v="24"/>
    <x v="12"/>
    <x v="42"/>
  </r>
  <r>
    <x v="18"/>
    <x v="54"/>
    <x v="52"/>
  </r>
  <r>
    <x v="15"/>
    <x v="97"/>
    <x v="20"/>
  </r>
  <r>
    <x v="4"/>
    <x v="23"/>
    <x v="137"/>
  </r>
  <r>
    <x v="3"/>
    <x v="72"/>
    <x v="109"/>
  </r>
  <r>
    <x v="5"/>
    <x v="20"/>
    <x v="22"/>
  </r>
  <r>
    <x v="5"/>
    <x v="89"/>
    <x v="0"/>
  </r>
  <r>
    <x v="3"/>
    <x v="21"/>
    <x v="7"/>
  </r>
  <r>
    <x v="3"/>
    <x v="6"/>
    <x v="5"/>
  </r>
  <r>
    <x v="5"/>
    <x v="6"/>
    <x v="6"/>
  </r>
  <r>
    <x v="3"/>
    <x v="4"/>
    <x v="4"/>
  </r>
  <r>
    <x v="3"/>
    <x v="34"/>
    <x v="36"/>
  </r>
  <r>
    <x v="17"/>
    <x v="33"/>
    <x v="3"/>
  </r>
  <r>
    <x v="0"/>
    <x v="10"/>
    <x v="63"/>
  </r>
  <r>
    <x v="1"/>
    <x v="87"/>
    <x v="105"/>
  </r>
  <r>
    <x v="18"/>
    <x v="54"/>
    <x v="52"/>
  </r>
  <r>
    <x v="14"/>
    <x v="11"/>
    <x v="37"/>
  </r>
  <r>
    <x v="22"/>
    <x v="14"/>
    <x v="138"/>
  </r>
  <r>
    <x v="23"/>
    <x v="122"/>
    <x v="15"/>
  </r>
  <r>
    <x v="6"/>
    <x v="64"/>
    <x v="80"/>
  </r>
  <r>
    <x v="27"/>
    <x v="109"/>
    <x v="15"/>
  </r>
  <r>
    <x v="15"/>
    <x v="83"/>
    <x v="100"/>
  </r>
  <r>
    <x v="17"/>
    <x v="28"/>
    <x v="68"/>
  </r>
  <r>
    <x v="18"/>
    <x v="66"/>
    <x v="101"/>
  </r>
  <r>
    <x v="4"/>
    <x v="29"/>
    <x v="122"/>
  </r>
  <r>
    <x v="17"/>
    <x v="31"/>
    <x v="63"/>
  </r>
  <r>
    <x v="0"/>
    <x v="9"/>
    <x v="110"/>
  </r>
  <r>
    <x v="3"/>
    <x v="0"/>
    <x v="3"/>
  </r>
  <r>
    <x v="5"/>
    <x v="35"/>
    <x v="48"/>
  </r>
  <r>
    <x v="3"/>
    <x v="35"/>
    <x v="6"/>
  </r>
  <r>
    <x v="3"/>
    <x v="97"/>
    <x v="34"/>
  </r>
  <r>
    <x v="4"/>
    <x v="16"/>
    <x v="20"/>
  </r>
  <r>
    <x v="0"/>
    <x v="1"/>
    <x v="17"/>
  </r>
  <r>
    <x v="3"/>
    <x v="124"/>
    <x v="42"/>
  </r>
  <r>
    <x v="5"/>
    <x v="125"/>
    <x v="139"/>
  </r>
  <r>
    <x v="5"/>
    <x v="126"/>
    <x v="140"/>
  </r>
  <r>
    <x v="5"/>
    <x v="52"/>
    <x v="111"/>
  </r>
  <r>
    <x v="3"/>
    <x v="93"/>
    <x v="56"/>
  </r>
  <r>
    <x v="3"/>
    <x v="40"/>
    <x v="102"/>
  </r>
  <r>
    <x v="3"/>
    <x v="39"/>
    <x v="63"/>
  </r>
  <r>
    <x v="5"/>
    <x v="23"/>
    <x v="25"/>
  </r>
  <r>
    <x v="3"/>
    <x v="35"/>
    <x v="6"/>
  </r>
  <r>
    <x v="5"/>
    <x v="8"/>
    <x v="85"/>
  </r>
  <r>
    <x v="3"/>
    <x v="35"/>
    <x v="6"/>
  </r>
  <r>
    <x v="5"/>
    <x v="4"/>
    <x v="5"/>
  </r>
  <r>
    <x v="3"/>
    <x v="7"/>
    <x v="85"/>
  </r>
  <r>
    <x v="3"/>
    <x v="1"/>
    <x v="2"/>
  </r>
  <r>
    <x v="5"/>
    <x v="121"/>
    <x v="127"/>
  </r>
  <r>
    <x v="5"/>
    <x v="127"/>
    <x v="141"/>
  </r>
  <r>
    <x v="4"/>
    <x v="128"/>
    <x v="142"/>
  </r>
  <r>
    <x v="5"/>
    <x v="24"/>
    <x v="105"/>
  </r>
  <r>
    <x v="2"/>
    <x v="12"/>
    <x v="46"/>
  </r>
  <r>
    <x v="2"/>
    <x v="65"/>
    <x v="27"/>
  </r>
  <r>
    <x v="16"/>
    <x v="28"/>
    <x v="53"/>
  </r>
  <r>
    <x v="18"/>
    <x v="56"/>
    <x v="28"/>
  </r>
  <r>
    <x v="17"/>
    <x v="78"/>
    <x v="100"/>
  </r>
  <r>
    <x v="22"/>
    <x v="111"/>
    <x v="133"/>
  </r>
  <r>
    <x v="18"/>
    <x v="84"/>
    <x v="141"/>
  </r>
  <r>
    <x v="2"/>
    <x v="117"/>
    <x v="143"/>
  </r>
  <r>
    <x v="17"/>
    <x v="123"/>
    <x v="59"/>
  </r>
  <r>
    <x v="4"/>
    <x v="64"/>
    <x v="31"/>
  </r>
  <r>
    <x v="17"/>
    <x v="11"/>
    <x v="29"/>
  </r>
  <r>
    <x v="15"/>
    <x v="42"/>
    <x v="29"/>
  </r>
  <r>
    <x v="5"/>
    <x v="2"/>
    <x v="20"/>
  </r>
  <r>
    <x v="2"/>
    <x v="21"/>
    <x v="3"/>
  </r>
  <r>
    <x v="4"/>
    <x v="35"/>
    <x v="36"/>
  </r>
  <r>
    <x v="3"/>
    <x v="6"/>
    <x v="5"/>
  </r>
  <r>
    <x v="3"/>
    <x v="4"/>
    <x v="4"/>
  </r>
  <r>
    <x v="3"/>
    <x v="4"/>
    <x v="4"/>
  </r>
  <r>
    <x v="3"/>
    <x v="8"/>
    <x v="24"/>
  </r>
  <r>
    <x v="3"/>
    <x v="96"/>
    <x v="17"/>
  </r>
  <r>
    <x v="5"/>
    <x v="129"/>
    <x v="129"/>
  </r>
  <r>
    <x v="4"/>
    <x v="130"/>
    <x v="144"/>
  </r>
  <r>
    <x v="0"/>
    <x v="131"/>
    <x v="145"/>
  </r>
  <r>
    <x v="5"/>
    <x v="90"/>
    <x v="52"/>
  </r>
  <r>
    <x v="2"/>
    <x v="36"/>
    <x v="118"/>
  </r>
  <r>
    <x v="18"/>
    <x v="99"/>
    <x v="11"/>
  </r>
  <r>
    <x v="6"/>
    <x v="132"/>
    <x v="95"/>
  </r>
  <r>
    <x v="15"/>
    <x v="102"/>
    <x v="117"/>
  </r>
  <r>
    <x v="1"/>
    <x v="133"/>
    <x v="27"/>
  </r>
  <r>
    <x v="1"/>
    <x v="93"/>
    <x v="134"/>
  </r>
  <r>
    <x v="1"/>
    <x v="134"/>
    <x v="146"/>
  </r>
  <r>
    <x v="5"/>
    <x v="103"/>
    <x v="147"/>
  </r>
  <r>
    <x v="15"/>
    <x v="44"/>
    <x v="148"/>
  </r>
  <r>
    <x v="4"/>
    <x v="125"/>
    <x v="149"/>
  </r>
  <r>
    <x v="0"/>
    <x v="25"/>
    <x v="52"/>
  </r>
  <r>
    <x v="3"/>
    <x v="90"/>
    <x v="10"/>
  </r>
  <r>
    <x v="0"/>
    <x v="95"/>
    <x v="35"/>
  </r>
  <r>
    <x v="5"/>
    <x v="32"/>
    <x v="137"/>
  </r>
  <r>
    <x v="3"/>
    <x v="8"/>
    <x v="24"/>
  </r>
  <r>
    <x v="3"/>
    <x v="6"/>
    <x v="5"/>
  </r>
  <r>
    <x v="3"/>
    <x v="4"/>
    <x v="4"/>
  </r>
  <r>
    <x v="3"/>
    <x v="4"/>
    <x v="4"/>
  </r>
  <r>
    <x v="5"/>
    <x v="22"/>
    <x v="36"/>
  </r>
  <r>
    <x v="3"/>
    <x v="2"/>
    <x v="110"/>
  </r>
  <r>
    <x v="4"/>
    <x v="43"/>
    <x v="118"/>
  </r>
  <r>
    <x v="18"/>
    <x v="135"/>
    <x v="112"/>
  </r>
  <r>
    <x v="18"/>
    <x v="136"/>
    <x v="150"/>
  </r>
  <r>
    <x v="15"/>
    <x v="77"/>
    <x v="55"/>
  </r>
  <r>
    <x v="15"/>
    <x v="42"/>
    <x v="29"/>
  </r>
  <r>
    <x v="16"/>
    <x v="28"/>
    <x v="53"/>
  </r>
  <r>
    <x v="1"/>
    <x v="65"/>
    <x v="88"/>
  </r>
  <r>
    <x v="15"/>
    <x v="90"/>
    <x v="69"/>
  </r>
  <r>
    <x v="17"/>
    <x v="124"/>
    <x v="32"/>
  </r>
  <r>
    <x v="3"/>
    <x v="106"/>
    <x v="54"/>
  </r>
  <r>
    <x v="22"/>
    <x v="137"/>
    <x v="143"/>
  </r>
  <r>
    <x v="5"/>
    <x v="138"/>
    <x v="151"/>
  </r>
  <r>
    <x v="0"/>
    <x v="139"/>
    <x v="152"/>
  </r>
  <r>
    <x v="5"/>
    <x v="15"/>
    <x v="26"/>
  </r>
  <r>
    <x v="3"/>
    <x v="40"/>
    <x v="102"/>
  </r>
  <r>
    <x v="5"/>
    <x v="39"/>
    <x v="19"/>
  </r>
  <r>
    <x v="3"/>
    <x v="2"/>
    <x v="110"/>
  </r>
  <r>
    <x v="3"/>
    <x v="0"/>
    <x v="3"/>
  </r>
  <r>
    <x v="0"/>
    <x v="33"/>
    <x v="47"/>
  </r>
  <r>
    <x v="3"/>
    <x v="48"/>
    <x v="62"/>
  </r>
  <r>
    <x v="5"/>
    <x v="8"/>
    <x v="85"/>
  </r>
  <r>
    <x v="3"/>
    <x v="35"/>
    <x v="6"/>
  </r>
  <r>
    <x v="3"/>
    <x v="6"/>
    <x v="5"/>
  </r>
  <r>
    <x v="3"/>
    <x v="21"/>
    <x v="7"/>
  </r>
  <r>
    <x v="5"/>
    <x v="16"/>
    <x v="110"/>
  </r>
  <r>
    <x v="0"/>
    <x v="53"/>
    <x v="1"/>
  </r>
  <r>
    <x v="0"/>
    <x v="54"/>
    <x v="26"/>
  </r>
  <r>
    <x v="17"/>
    <x v="79"/>
    <x v="55"/>
  </r>
  <r>
    <x v="22"/>
    <x v="91"/>
    <x v="27"/>
  </r>
  <r>
    <x v="6"/>
    <x v="109"/>
    <x v="11"/>
  </r>
  <r>
    <x v="16"/>
    <x v="27"/>
    <x v="28"/>
  </r>
  <r>
    <x v="22"/>
    <x v="139"/>
    <x v="153"/>
  </r>
  <r>
    <x v="16"/>
    <x v="109"/>
    <x v="56"/>
  </r>
  <r>
    <x v="1"/>
    <x v="79"/>
    <x v="16"/>
  </r>
  <r>
    <x v="3"/>
    <x v="25"/>
    <x v="60"/>
  </r>
  <r>
    <x v="15"/>
    <x v="42"/>
    <x v="29"/>
  </r>
  <r>
    <x v="5"/>
    <x v="100"/>
    <x v="79"/>
  </r>
  <r>
    <x v="3"/>
    <x v="87"/>
    <x v="21"/>
  </r>
  <r>
    <x v="18"/>
    <x v="140"/>
    <x v="33"/>
  </r>
  <r>
    <x v="4"/>
    <x v="17"/>
    <x v="63"/>
  </r>
  <r>
    <x v="4"/>
    <x v="32"/>
    <x v="34"/>
  </r>
  <r>
    <x v="5"/>
    <x v="98"/>
    <x v="3"/>
  </r>
  <r>
    <x v="0"/>
    <x v="89"/>
    <x v="109"/>
  </r>
  <r>
    <x v="5"/>
    <x v="22"/>
    <x v="36"/>
  </r>
  <r>
    <x v="3"/>
    <x v="35"/>
    <x v="6"/>
  </r>
  <r>
    <x v="3"/>
    <x v="4"/>
    <x v="4"/>
  </r>
  <r>
    <x v="5"/>
    <x v="4"/>
    <x v="5"/>
  </r>
  <r>
    <x v="4"/>
    <x v="19"/>
    <x v="75"/>
  </r>
  <r>
    <x v="0"/>
    <x v="18"/>
    <x v="20"/>
  </r>
  <r>
    <x v="18"/>
    <x v="82"/>
    <x v="154"/>
  </r>
  <r>
    <x v="30"/>
    <x v="99"/>
    <x v="111"/>
  </r>
  <r>
    <x v="31"/>
    <x v="50"/>
    <x v="155"/>
  </r>
  <r>
    <x v="6"/>
    <x v="102"/>
    <x v="90"/>
  </r>
  <r>
    <x v="26"/>
    <x v="139"/>
    <x v="14"/>
  </r>
  <r>
    <x v="23"/>
    <x v="27"/>
    <x v="43"/>
  </r>
  <r>
    <x v="14"/>
    <x v="90"/>
    <x v="32"/>
  </r>
  <r>
    <x v="2"/>
    <x v="54"/>
    <x v="97"/>
  </r>
  <r>
    <x v="2"/>
    <x v="100"/>
    <x v="99"/>
  </r>
  <r>
    <x v="2"/>
    <x v="108"/>
    <x v="89"/>
  </r>
  <r>
    <x v="17"/>
    <x v="17"/>
    <x v="17"/>
  </r>
  <r>
    <x v="2"/>
    <x v="32"/>
    <x v="94"/>
  </r>
  <r>
    <x v="2"/>
    <x v="140"/>
    <x v="20"/>
  </r>
  <r>
    <x v="17"/>
    <x v="19"/>
    <x v="137"/>
  </r>
  <r>
    <x v="3"/>
    <x v="7"/>
    <x v="85"/>
  </r>
  <r>
    <x v="3"/>
    <x v="4"/>
    <x v="4"/>
  </r>
  <r>
    <x v="3"/>
    <x v="4"/>
    <x v="4"/>
  </r>
  <r>
    <x v="3"/>
    <x v="4"/>
    <x v="4"/>
  </r>
  <r>
    <x v="3"/>
    <x v="34"/>
    <x v="36"/>
  </r>
  <r>
    <x v="3"/>
    <x v="89"/>
    <x v="93"/>
  </r>
  <r>
    <x v="2"/>
    <x v="55"/>
    <x v="11"/>
  </r>
  <r>
    <x v="15"/>
    <x v="141"/>
    <x v="156"/>
  </r>
  <r>
    <x v="17"/>
    <x v="52"/>
    <x v="96"/>
  </r>
  <r>
    <x v="15"/>
    <x v="60"/>
    <x v="1"/>
  </r>
  <r>
    <x v="0"/>
    <x v="30"/>
    <x v="66"/>
  </r>
  <r>
    <x v="16"/>
    <x v="15"/>
    <x v="55"/>
  </r>
  <r>
    <x v="15"/>
    <x v="25"/>
    <x v="122"/>
  </r>
  <r>
    <x v="4"/>
    <x v="30"/>
    <x v="79"/>
  </r>
  <r>
    <x v="18"/>
    <x v="54"/>
    <x v="52"/>
  </r>
  <r>
    <x v="17"/>
    <x v="43"/>
    <x v="27"/>
  </r>
  <r>
    <x v="15"/>
    <x v="86"/>
    <x v="157"/>
  </r>
  <r>
    <x v="1"/>
    <x v="142"/>
    <x v="158"/>
  </r>
  <r>
    <x v="2"/>
    <x v="143"/>
    <x v="13"/>
  </r>
  <r>
    <x v="5"/>
    <x v="122"/>
    <x v="117"/>
  </r>
  <r>
    <x v="15"/>
    <x v="42"/>
    <x v="29"/>
  </r>
  <r>
    <x v="0"/>
    <x v="1"/>
    <x v="17"/>
  </r>
  <r>
    <x v="0"/>
    <x v="144"/>
    <x v="108"/>
  </r>
  <r>
    <x v="0"/>
    <x v="8"/>
    <x v="23"/>
  </r>
  <r>
    <x v="3"/>
    <x v="34"/>
    <x v="36"/>
  </r>
  <r>
    <x v="3"/>
    <x v="6"/>
    <x v="5"/>
  </r>
  <r>
    <x v="3"/>
    <x v="4"/>
    <x v="4"/>
  </r>
  <r>
    <x v="3"/>
    <x v="33"/>
    <x v="23"/>
  </r>
  <r>
    <x v="5"/>
    <x v="96"/>
    <x v="9"/>
  </r>
  <r>
    <x v="2"/>
    <x v="145"/>
    <x v="159"/>
  </r>
  <r>
    <x v="2"/>
    <x v="146"/>
    <x v="160"/>
  </r>
  <r>
    <x v="22"/>
    <x v="120"/>
    <x v="124"/>
  </r>
  <r>
    <x v="15"/>
    <x v="47"/>
    <x v="97"/>
  </r>
  <r>
    <x v="15"/>
    <x v="11"/>
    <x v="42"/>
  </r>
  <r>
    <x v="27"/>
    <x v="66"/>
    <x v="13"/>
  </r>
  <r>
    <x v="27"/>
    <x v="109"/>
    <x v="15"/>
  </r>
  <r>
    <x v="16"/>
    <x v="77"/>
    <x v="118"/>
  </r>
  <r>
    <x v="27"/>
    <x v="36"/>
    <x v="11"/>
  </r>
  <r>
    <x v="24"/>
    <x v="46"/>
    <x v="155"/>
  </r>
  <r>
    <x v="24"/>
    <x v="147"/>
    <x v="161"/>
  </r>
  <r>
    <x v="18"/>
    <x v="148"/>
    <x v="162"/>
  </r>
  <r>
    <x v="23"/>
    <x v="149"/>
    <x v="163"/>
  </r>
  <r>
    <x v="19"/>
    <x v="145"/>
    <x v="164"/>
  </r>
  <r>
    <x v="2"/>
    <x v="71"/>
    <x v="79"/>
  </r>
  <r>
    <x v="17"/>
    <x v="47"/>
    <x v="26"/>
  </r>
  <r>
    <x v="0"/>
    <x v="53"/>
    <x v="1"/>
  </r>
  <r>
    <x v="0"/>
    <x v="88"/>
    <x v="22"/>
  </r>
  <r>
    <x v="3"/>
    <x v="34"/>
    <x v="36"/>
  </r>
  <r>
    <x v="0"/>
    <x v="7"/>
    <x v="98"/>
  </r>
  <r>
    <x v="3"/>
    <x v="4"/>
    <x v="4"/>
  </r>
  <r>
    <x v="3"/>
    <x v="21"/>
    <x v="7"/>
  </r>
  <r>
    <x v="5"/>
    <x v="31"/>
    <x v="33"/>
  </r>
  <r>
    <x v="0"/>
    <x v="94"/>
    <x v="44"/>
  </r>
  <r>
    <x v="0"/>
    <x v="11"/>
    <x v="154"/>
  </r>
  <r>
    <x v="4"/>
    <x v="16"/>
    <x v="20"/>
  </r>
  <r>
    <x v="15"/>
    <x v="96"/>
    <x v="102"/>
  </r>
  <r>
    <x v="18"/>
    <x v="40"/>
    <x v="61"/>
  </r>
  <r>
    <x v="17"/>
    <x v="30"/>
    <x v="105"/>
  </r>
  <r>
    <x v="3"/>
    <x v="49"/>
    <x v="9"/>
  </r>
  <r>
    <x v="5"/>
    <x v="76"/>
    <x v="74"/>
  </r>
  <r>
    <x v="5"/>
    <x v="96"/>
    <x v="9"/>
  </r>
  <r>
    <x v="3"/>
    <x v="16"/>
    <x v="132"/>
  </r>
  <r>
    <x v="5"/>
    <x v="140"/>
    <x v="108"/>
  </r>
  <r>
    <x v="4"/>
    <x v="70"/>
    <x v="11"/>
  </r>
  <r>
    <x v="0"/>
    <x v="143"/>
    <x v="133"/>
  </r>
  <r>
    <x v="0"/>
    <x v="83"/>
    <x v="67"/>
  </r>
  <r>
    <x v="17"/>
    <x v="11"/>
    <x v="29"/>
  </r>
  <r>
    <x v="4"/>
    <x v="49"/>
    <x v="103"/>
  </r>
  <r>
    <x v="3"/>
    <x v="2"/>
    <x v="110"/>
  </r>
  <r>
    <x v="3"/>
    <x v="20"/>
    <x v="0"/>
  </r>
  <r>
    <x v="3"/>
    <x v="33"/>
    <x v="23"/>
  </r>
  <r>
    <x v="5"/>
    <x v="6"/>
    <x v="6"/>
  </r>
  <r>
    <x v="3"/>
    <x v="6"/>
    <x v="5"/>
  </r>
  <r>
    <x v="5"/>
    <x v="5"/>
    <x v="4"/>
  </r>
  <r>
    <x v="3"/>
    <x v="22"/>
    <x v="48"/>
  </r>
  <r>
    <x v="3"/>
    <x v="20"/>
    <x v="0"/>
  </r>
  <r>
    <x v="4"/>
    <x v="29"/>
    <x v="122"/>
  </r>
  <r>
    <x v="4"/>
    <x v="119"/>
    <x v="45"/>
  </r>
  <r>
    <x v="15"/>
    <x v="73"/>
    <x v="129"/>
  </r>
  <r>
    <x v="3"/>
    <x v="47"/>
    <x v="99"/>
  </r>
  <r>
    <x v="3"/>
    <x v="10"/>
    <x v="33"/>
  </r>
  <r>
    <x v="5"/>
    <x v="95"/>
    <x v="115"/>
  </r>
  <r>
    <x v="3"/>
    <x v="17"/>
    <x v="35"/>
  </r>
  <r>
    <x v="4"/>
    <x v="49"/>
    <x v="103"/>
  </r>
  <r>
    <x v="5"/>
    <x v="71"/>
    <x v="102"/>
  </r>
  <r>
    <x v="22"/>
    <x v="14"/>
    <x v="138"/>
  </r>
  <r>
    <x v="4"/>
    <x v="150"/>
    <x v="165"/>
  </r>
  <r>
    <x v="4"/>
    <x v="128"/>
    <x v="142"/>
  </r>
  <r>
    <x v="2"/>
    <x v="151"/>
    <x v="70"/>
  </r>
  <r>
    <x v="5"/>
    <x v="124"/>
    <x v="69"/>
  </r>
  <r>
    <x v="5"/>
    <x v="77"/>
    <x v="154"/>
  </r>
  <r>
    <x v="3"/>
    <x v="16"/>
    <x v="132"/>
  </r>
  <r>
    <x v="5"/>
    <x v="97"/>
    <x v="84"/>
  </r>
  <r>
    <x v="4"/>
    <x v="16"/>
    <x v="20"/>
  </r>
  <r>
    <x v="3"/>
    <x v="32"/>
    <x v="25"/>
  </r>
  <r>
    <x v="3"/>
    <x v="89"/>
    <x v="93"/>
  </r>
  <r>
    <x v="0"/>
    <x v="34"/>
    <x v="7"/>
  </r>
  <r>
    <x v="5"/>
    <x v="6"/>
    <x v="6"/>
  </r>
  <r>
    <x v="3"/>
    <x v="6"/>
    <x v="5"/>
  </r>
  <r>
    <x v="5"/>
    <x v="22"/>
    <x v="36"/>
  </r>
  <r>
    <x v="0"/>
    <x v="17"/>
    <x v="19"/>
  </r>
  <r>
    <x v="3"/>
    <x v="60"/>
    <x v="19"/>
  </r>
  <r>
    <x v="17"/>
    <x v="82"/>
    <x v="97"/>
  </r>
  <r>
    <x v="17"/>
    <x v="91"/>
    <x v="37"/>
  </r>
  <r>
    <x v="6"/>
    <x v="43"/>
    <x v="53"/>
  </r>
  <r>
    <x v="14"/>
    <x v="90"/>
    <x v="32"/>
  </r>
  <r>
    <x v="22"/>
    <x v="121"/>
    <x v="111"/>
  </r>
  <r>
    <x v="30"/>
    <x v="52"/>
    <x v="151"/>
  </r>
  <r>
    <x v="21"/>
    <x v="152"/>
    <x v="166"/>
  </r>
  <r>
    <x v="14"/>
    <x v="70"/>
    <x v="134"/>
  </r>
  <r>
    <x v="14"/>
    <x v="79"/>
    <x v="118"/>
  </r>
  <r>
    <x v="15"/>
    <x v="15"/>
    <x v="154"/>
  </r>
  <r>
    <x v="5"/>
    <x v="76"/>
    <x v="74"/>
  </r>
  <r>
    <x v="5"/>
    <x v="96"/>
    <x v="9"/>
  </r>
  <r>
    <x v="17"/>
    <x v="95"/>
    <x v="2"/>
  </r>
  <r>
    <x v="0"/>
    <x v="10"/>
    <x v="63"/>
  </r>
  <r>
    <x v="3"/>
    <x v="39"/>
    <x v="63"/>
  </r>
  <r>
    <x v="18"/>
    <x v="97"/>
    <x v="115"/>
  </r>
  <r>
    <x v="5"/>
    <x v="3"/>
    <x v="62"/>
  </r>
  <r>
    <x v="5"/>
    <x v="7"/>
    <x v="7"/>
  </r>
  <r>
    <x v="3"/>
    <x v="4"/>
    <x v="4"/>
  </r>
  <r>
    <x v="3"/>
    <x v="35"/>
    <x v="6"/>
  </r>
  <r>
    <x v="3"/>
    <x v="35"/>
    <x v="6"/>
  </r>
  <r>
    <x v="5"/>
    <x v="48"/>
    <x v="47"/>
  </r>
  <r>
    <x v="17"/>
    <x v="60"/>
    <x v="103"/>
  </r>
  <r>
    <x v="18"/>
    <x v="77"/>
    <x v="37"/>
  </r>
  <r>
    <x v="14"/>
    <x v="54"/>
    <x v="29"/>
  </r>
  <r>
    <x v="22"/>
    <x v="61"/>
    <x v="54"/>
  </r>
  <r>
    <x v="23"/>
    <x v="13"/>
    <x v="11"/>
  </r>
  <r>
    <x v="25"/>
    <x v="153"/>
    <x v="78"/>
  </r>
  <r>
    <x v="24"/>
    <x v="73"/>
    <x v="142"/>
  </r>
  <r>
    <x v="21"/>
    <x v="153"/>
    <x v="92"/>
  </r>
  <r>
    <x v="15"/>
    <x v="13"/>
    <x v="43"/>
  </r>
  <r>
    <x v="1"/>
    <x v="77"/>
    <x v="32"/>
  </r>
  <r>
    <x v="14"/>
    <x v="24"/>
    <x v="97"/>
  </r>
  <r>
    <x v="0"/>
    <x v="10"/>
    <x v="63"/>
  </r>
  <r>
    <x v="0"/>
    <x v="18"/>
    <x v="20"/>
  </r>
  <r>
    <x v="4"/>
    <x v="23"/>
    <x v="137"/>
  </r>
  <r>
    <x v="2"/>
    <x v="20"/>
    <x v="137"/>
  </r>
  <r>
    <x v="5"/>
    <x v="8"/>
    <x v="85"/>
  </r>
  <r>
    <x v="4"/>
    <x v="34"/>
    <x v="85"/>
  </r>
  <r>
    <x v="3"/>
    <x v="4"/>
    <x v="4"/>
  </r>
  <r>
    <x v="3"/>
    <x v="6"/>
    <x v="5"/>
  </r>
  <r>
    <x v="3"/>
    <x v="6"/>
    <x v="5"/>
  </r>
  <r>
    <x v="3"/>
    <x v="21"/>
    <x v="7"/>
  </r>
  <r>
    <x v="3"/>
    <x v="53"/>
    <x v="18"/>
  </r>
  <r>
    <x v="5"/>
    <x v="13"/>
    <x v="44"/>
  </r>
  <r>
    <x v="0"/>
    <x v="154"/>
    <x v="147"/>
  </r>
  <r>
    <x v="3"/>
    <x v="155"/>
    <x v="59"/>
  </r>
  <r>
    <x v="5"/>
    <x v="56"/>
    <x v="83"/>
  </r>
  <r>
    <x v="4"/>
    <x v="24"/>
    <x v="61"/>
  </r>
  <r>
    <x v="15"/>
    <x v="133"/>
    <x v="118"/>
  </r>
  <r>
    <x v="4"/>
    <x v="15"/>
    <x v="60"/>
  </r>
  <r>
    <x v="5"/>
    <x v="66"/>
    <x v="80"/>
  </r>
  <r>
    <x v="0"/>
    <x v="40"/>
    <x v="40"/>
  </r>
  <r>
    <x v="0"/>
    <x v="93"/>
    <x v="80"/>
  </r>
  <r>
    <x v="15"/>
    <x v="119"/>
    <x v="143"/>
  </r>
  <r>
    <x v="0"/>
    <x v="37"/>
    <x v="167"/>
  </r>
  <r>
    <x v="0"/>
    <x v="123"/>
    <x v="168"/>
  </r>
  <r>
    <x v="3"/>
    <x v="78"/>
    <x v="53"/>
  </r>
  <r>
    <x v="0"/>
    <x v="42"/>
    <x v="10"/>
  </r>
  <r>
    <x v="3"/>
    <x v="60"/>
    <x v="19"/>
  </r>
  <r>
    <x v="4"/>
    <x v="89"/>
    <x v="22"/>
  </r>
  <r>
    <x v="4"/>
    <x v="8"/>
    <x v="7"/>
  </r>
  <r>
    <x v="3"/>
    <x v="35"/>
    <x v="6"/>
  </r>
  <r>
    <x v="3"/>
    <x v="6"/>
    <x v="5"/>
  </r>
  <r>
    <x v="3"/>
    <x v="6"/>
    <x v="5"/>
  </r>
  <r>
    <x v="3"/>
    <x v="35"/>
    <x v="6"/>
  </r>
  <r>
    <x v="3"/>
    <x v="97"/>
    <x v="34"/>
  </r>
  <r>
    <x v="3"/>
    <x v="15"/>
    <x v="46"/>
  </r>
  <r>
    <x v="0"/>
    <x v="126"/>
    <x v="169"/>
  </r>
  <r>
    <x v="4"/>
    <x v="156"/>
    <x v="155"/>
  </r>
  <r>
    <x v="3"/>
    <x v="12"/>
    <x v="105"/>
  </r>
  <r>
    <x v="4"/>
    <x v="47"/>
    <x v="41"/>
  </r>
  <r>
    <x v="4"/>
    <x v="42"/>
    <x v="97"/>
  </r>
  <r>
    <x v="0"/>
    <x v="47"/>
    <x v="46"/>
  </r>
  <r>
    <x v="2"/>
    <x v="47"/>
    <x v="60"/>
  </r>
  <r>
    <x v="18"/>
    <x v="108"/>
    <x v="46"/>
  </r>
  <r>
    <x v="0"/>
    <x v="124"/>
    <x v="37"/>
  </r>
  <r>
    <x v="17"/>
    <x v="157"/>
    <x v="170"/>
  </r>
  <r>
    <x v="0"/>
    <x v="158"/>
    <x v="171"/>
  </r>
  <r>
    <x v="0"/>
    <x v="159"/>
    <x v="159"/>
  </r>
  <r>
    <x v="2"/>
    <x v="94"/>
    <x v="30"/>
  </r>
  <r>
    <x v="3"/>
    <x v="27"/>
    <x v="37"/>
  </r>
  <r>
    <x v="4"/>
    <x v="60"/>
    <x v="9"/>
  </r>
  <r>
    <x v="5"/>
    <x v="89"/>
    <x v="0"/>
  </r>
  <r>
    <x v="3"/>
    <x v="6"/>
    <x v="5"/>
  </r>
  <r>
    <x v="3"/>
    <x v="35"/>
    <x v="6"/>
  </r>
  <r>
    <x v="17"/>
    <x v="5"/>
    <x v="48"/>
  </r>
  <r>
    <x v="3"/>
    <x v="4"/>
    <x v="4"/>
  </r>
  <r>
    <x v="3"/>
    <x v="4"/>
    <x v="4"/>
  </r>
  <r>
    <x v="3"/>
    <x v="35"/>
    <x v="6"/>
  </r>
  <r>
    <x v="5"/>
    <x v="19"/>
    <x v="109"/>
  </r>
  <r>
    <x v="5"/>
    <x v="41"/>
    <x v="99"/>
  </r>
  <r>
    <x v="5"/>
    <x v="105"/>
    <x v="107"/>
  </r>
  <r>
    <x v="17"/>
    <x v="138"/>
    <x v="92"/>
  </r>
  <r>
    <x v="4"/>
    <x v="79"/>
    <x v="42"/>
  </r>
  <r>
    <x v="2"/>
    <x v="12"/>
    <x v="46"/>
  </r>
  <r>
    <x v="0"/>
    <x v="124"/>
    <x v="37"/>
  </r>
  <r>
    <x v="5"/>
    <x v="64"/>
    <x v="28"/>
  </r>
  <r>
    <x v="4"/>
    <x v="124"/>
    <x v="55"/>
  </r>
  <r>
    <x v="22"/>
    <x v="43"/>
    <x v="31"/>
  </r>
  <r>
    <x v="1"/>
    <x v="73"/>
    <x v="153"/>
  </r>
  <r>
    <x v="18"/>
    <x v="160"/>
    <x v="71"/>
  </r>
  <r>
    <x v="18"/>
    <x v="161"/>
    <x v="58"/>
  </r>
  <r>
    <x v="0"/>
    <x v="152"/>
    <x v="134"/>
  </r>
  <r>
    <x v="17"/>
    <x v="13"/>
    <x v="28"/>
  </r>
  <r>
    <x v="5"/>
    <x v="133"/>
    <x v="55"/>
  </r>
  <r>
    <x v="2"/>
    <x v="96"/>
    <x v="1"/>
  </r>
  <r>
    <x v="0"/>
    <x v="31"/>
    <x v="2"/>
  </r>
  <r>
    <x v="5"/>
    <x v="48"/>
    <x v="47"/>
  </r>
  <r>
    <x v="3"/>
    <x v="34"/>
    <x v="36"/>
  </r>
  <r>
    <x v="3"/>
    <x v="6"/>
    <x v="5"/>
  </r>
  <r>
    <x v="3"/>
    <x v="4"/>
    <x v="4"/>
  </r>
  <r>
    <x v="3"/>
    <x v="6"/>
    <x v="5"/>
  </r>
  <r>
    <x v="3"/>
    <x v="87"/>
    <x v="21"/>
  </r>
  <r>
    <x v="5"/>
    <x v="132"/>
    <x v="90"/>
  </r>
  <r>
    <x v="17"/>
    <x v="103"/>
    <x v="104"/>
  </r>
  <r>
    <x v="15"/>
    <x v="69"/>
    <x v="140"/>
  </r>
  <r>
    <x v="4"/>
    <x v="54"/>
    <x v="46"/>
  </r>
  <r>
    <x v="14"/>
    <x v="11"/>
    <x v="37"/>
  </r>
  <r>
    <x v="4"/>
    <x v="28"/>
    <x v="83"/>
  </r>
  <r>
    <x v="17"/>
    <x v="12"/>
    <x v="41"/>
  </r>
  <r>
    <x v="17"/>
    <x v="30"/>
    <x v="105"/>
  </r>
  <r>
    <x v="17"/>
    <x v="90"/>
    <x v="122"/>
  </r>
  <r>
    <x v="2"/>
    <x v="26"/>
    <x v="53"/>
  </r>
  <r>
    <x v="2"/>
    <x v="162"/>
    <x v="172"/>
  </r>
  <r>
    <x v="4"/>
    <x v="142"/>
    <x v="173"/>
  </r>
  <r>
    <x v="17"/>
    <x v="50"/>
    <x v="152"/>
  </r>
  <r>
    <x v="5"/>
    <x v="123"/>
    <x v="142"/>
  </r>
  <r>
    <x v="5"/>
    <x v="42"/>
    <x v="60"/>
  </r>
  <r>
    <x v="4"/>
    <x v="87"/>
    <x v="102"/>
  </r>
  <r>
    <x v="17"/>
    <x v="60"/>
    <x v="103"/>
  </r>
  <r>
    <x v="0"/>
    <x v="3"/>
    <x v="3"/>
  </r>
  <r>
    <x v="3"/>
    <x v="7"/>
    <x v="85"/>
  </r>
  <r>
    <x v="3"/>
    <x v="4"/>
    <x v="4"/>
  </r>
  <r>
    <x v="3"/>
    <x v="4"/>
    <x v="4"/>
  </r>
  <r>
    <x v="3"/>
    <x v="7"/>
    <x v="85"/>
  </r>
  <r>
    <x v="4"/>
    <x v="16"/>
    <x v="20"/>
  </r>
  <r>
    <x v="3"/>
    <x v="61"/>
    <x v="90"/>
  </r>
  <r>
    <x v="0"/>
    <x v="163"/>
    <x v="174"/>
  </r>
  <r>
    <x v="0"/>
    <x v="125"/>
    <x v="175"/>
  </r>
  <r>
    <x v="2"/>
    <x v="24"/>
    <x v="41"/>
  </r>
  <r>
    <x v="0"/>
    <x v="124"/>
    <x v="37"/>
  </r>
  <r>
    <x v="1"/>
    <x v="78"/>
    <x v="80"/>
  </r>
  <r>
    <x v="14"/>
    <x v="26"/>
    <x v="100"/>
  </r>
  <r>
    <x v="13"/>
    <x v="83"/>
    <x v="134"/>
  </r>
  <r>
    <x v="14"/>
    <x v="38"/>
    <x v="127"/>
  </r>
  <r>
    <x v="1"/>
    <x v="164"/>
    <x v="111"/>
  </r>
  <r>
    <x v="22"/>
    <x v="165"/>
    <x v="176"/>
  </r>
  <r>
    <x v="0"/>
    <x v="166"/>
    <x v="107"/>
  </r>
  <r>
    <x v="5"/>
    <x v="46"/>
    <x v="153"/>
  </r>
  <r>
    <x v="4"/>
    <x v="94"/>
    <x v="68"/>
  </r>
  <r>
    <x v="4"/>
    <x v="40"/>
    <x v="74"/>
  </r>
  <r>
    <x v="5"/>
    <x v="108"/>
    <x v="66"/>
  </r>
  <r>
    <x v="5"/>
    <x v="10"/>
    <x v="35"/>
  </r>
  <r>
    <x v="0"/>
    <x v="49"/>
    <x v="21"/>
  </r>
  <r>
    <x v="5"/>
    <x v="19"/>
    <x v="109"/>
  </r>
  <r>
    <x v="2"/>
    <x v="98"/>
    <x v="22"/>
  </r>
  <r>
    <x v="5"/>
    <x v="3"/>
    <x v="62"/>
  </r>
  <r>
    <x v="3"/>
    <x v="21"/>
    <x v="7"/>
  </r>
  <r>
    <x v="3"/>
    <x v="33"/>
    <x v="23"/>
  </r>
  <r>
    <x v="3"/>
    <x v="22"/>
    <x v="48"/>
  </r>
  <r>
    <x v="3"/>
    <x v="22"/>
    <x v="48"/>
  </r>
  <r>
    <x v="3"/>
    <x v="3"/>
    <x v="98"/>
  </r>
  <r>
    <x v="0"/>
    <x v="19"/>
    <x v="25"/>
  </r>
  <r>
    <x v="0"/>
    <x v="17"/>
    <x v="19"/>
  </r>
  <r>
    <x v="5"/>
    <x v="24"/>
    <x v="105"/>
  </r>
  <r>
    <x v="22"/>
    <x v="76"/>
    <x v="46"/>
  </r>
  <r>
    <x v="22"/>
    <x v="133"/>
    <x v="44"/>
  </r>
  <r>
    <x v="2"/>
    <x v="54"/>
    <x v="97"/>
  </r>
  <r>
    <x v="16"/>
    <x v="47"/>
    <x v="122"/>
  </r>
  <r>
    <x v="1"/>
    <x v="36"/>
    <x v="68"/>
  </r>
  <r>
    <x v="24"/>
    <x v="27"/>
    <x v="53"/>
  </r>
  <r>
    <x v="4"/>
    <x v="38"/>
    <x v="56"/>
  </r>
  <r>
    <x v="15"/>
    <x v="78"/>
    <x v="11"/>
  </r>
  <r>
    <x v="2"/>
    <x v="27"/>
    <x v="83"/>
  </r>
  <r>
    <x v="0"/>
    <x v="42"/>
    <x v="10"/>
  </r>
  <r>
    <x v="4"/>
    <x v="30"/>
    <x v="79"/>
  </r>
  <r>
    <x v="18"/>
    <x v="15"/>
    <x v="29"/>
  </r>
  <r>
    <x v="4"/>
    <x v="53"/>
    <x v="21"/>
  </r>
  <r>
    <x v="17"/>
    <x v="71"/>
    <x v="40"/>
  </r>
  <r>
    <x v="3"/>
    <x v="32"/>
    <x v="25"/>
  </r>
  <r>
    <x v="0"/>
    <x v="3"/>
    <x v="3"/>
  </r>
  <r>
    <x v="3"/>
    <x v="6"/>
    <x v="5"/>
  </r>
  <r>
    <x v="3"/>
    <x v="4"/>
    <x v="4"/>
  </r>
  <r>
    <x v="3"/>
    <x v="4"/>
    <x v="4"/>
  </r>
  <r>
    <x v="3"/>
    <x v="21"/>
    <x v="7"/>
  </r>
  <r>
    <x v="4"/>
    <x v="144"/>
    <x v="84"/>
  </r>
  <r>
    <x v="18"/>
    <x v="101"/>
    <x v="79"/>
  </r>
  <r>
    <x v="13"/>
    <x v="64"/>
    <x v="70"/>
  </r>
  <r>
    <x v="32"/>
    <x v="121"/>
    <x v="126"/>
  </r>
  <r>
    <x v="33"/>
    <x v="167"/>
    <x v="177"/>
  </r>
  <r>
    <x v="9"/>
    <x v="113"/>
    <x v="58"/>
  </r>
  <r>
    <x v="9"/>
    <x v="156"/>
    <x v="143"/>
  </r>
  <r>
    <x v="34"/>
    <x v="110"/>
    <x v="58"/>
  </r>
  <r>
    <x v="35"/>
    <x v="168"/>
    <x v="45"/>
  </r>
  <r>
    <x v="31"/>
    <x v="106"/>
    <x v="178"/>
  </r>
  <r>
    <x v="23"/>
    <x v="65"/>
    <x v="53"/>
  </r>
  <r>
    <x v="5"/>
    <x v="32"/>
    <x v="137"/>
  </r>
  <r>
    <x v="2"/>
    <x v="144"/>
    <x v="132"/>
  </r>
  <r>
    <x v="2"/>
    <x v="97"/>
    <x v="110"/>
  </r>
  <r>
    <x v="2"/>
    <x v="77"/>
    <x v="69"/>
  </r>
  <r>
    <x v="17"/>
    <x v="16"/>
    <x v="33"/>
  </r>
  <r>
    <x v="5"/>
    <x v="88"/>
    <x v="93"/>
  </r>
  <r>
    <x v="5"/>
    <x v="22"/>
    <x v="36"/>
  </r>
  <r>
    <x v="3"/>
    <x v="35"/>
    <x v="6"/>
  </r>
  <r>
    <x v="3"/>
    <x v="4"/>
    <x v="4"/>
  </r>
  <r>
    <x v="5"/>
    <x v="4"/>
    <x v="5"/>
  </r>
  <r>
    <x v="5"/>
    <x v="33"/>
    <x v="98"/>
  </r>
  <r>
    <x v="5"/>
    <x v="31"/>
    <x v="33"/>
  </r>
  <r>
    <x v="15"/>
    <x v="121"/>
    <x v="76"/>
  </r>
  <r>
    <x v="18"/>
    <x v="169"/>
    <x v="179"/>
  </r>
  <r>
    <x v="0"/>
    <x v="168"/>
    <x v="130"/>
  </r>
  <r>
    <x v="15"/>
    <x v="47"/>
    <x v="97"/>
  </r>
  <r>
    <x v="16"/>
    <x v="49"/>
    <x v="105"/>
  </r>
  <r>
    <x v="18"/>
    <x v="79"/>
    <x v="180"/>
  </r>
  <r>
    <x v="22"/>
    <x v="25"/>
    <x v="37"/>
  </r>
  <r>
    <x v="1"/>
    <x v="15"/>
    <x v="122"/>
  </r>
  <r>
    <x v="17"/>
    <x v="24"/>
    <x v="89"/>
  </r>
  <r>
    <x v="19"/>
    <x v="52"/>
    <x v="181"/>
  </r>
  <r>
    <x v="14"/>
    <x v="134"/>
    <x v="182"/>
  </r>
  <r>
    <x v="2"/>
    <x v="162"/>
    <x v="172"/>
  </r>
  <r>
    <x v="2"/>
    <x v="170"/>
    <x v="116"/>
  </r>
  <r>
    <x v="15"/>
    <x v="70"/>
    <x v="39"/>
  </r>
  <r>
    <x v="0"/>
    <x v="102"/>
    <x v="53"/>
  </r>
  <r>
    <x v="0"/>
    <x v="60"/>
    <x v="18"/>
  </r>
  <r>
    <x v="15"/>
    <x v="23"/>
    <x v="94"/>
  </r>
  <r>
    <x v="17"/>
    <x v="8"/>
    <x v="98"/>
  </r>
  <r>
    <x v="3"/>
    <x v="22"/>
    <x v="48"/>
  </r>
  <r>
    <x v="5"/>
    <x v="4"/>
    <x v="5"/>
  </r>
  <r>
    <x v="3"/>
    <x v="4"/>
    <x v="4"/>
  </r>
  <r>
    <x v="3"/>
    <x v="35"/>
    <x v="6"/>
  </r>
  <r>
    <x v="3"/>
    <x v="6"/>
    <x v="5"/>
  </r>
  <r>
    <x v="3"/>
    <x v="87"/>
    <x v="21"/>
  </r>
  <r>
    <x v="0"/>
    <x v="106"/>
    <x v="50"/>
  </r>
  <r>
    <x v="18"/>
    <x v="171"/>
    <x v="183"/>
  </r>
  <r>
    <x v="18"/>
    <x v="172"/>
    <x v="169"/>
  </r>
  <r>
    <x v="17"/>
    <x v="100"/>
    <x v="61"/>
  </r>
  <r>
    <x v="5"/>
    <x v="47"/>
    <x v="89"/>
  </r>
  <r>
    <x v="4"/>
    <x v="36"/>
    <x v="32"/>
  </r>
  <r>
    <x v="4"/>
    <x v="41"/>
    <x v="89"/>
  </r>
  <r>
    <x v="0"/>
    <x v="124"/>
    <x v="37"/>
  </r>
  <r>
    <x v="15"/>
    <x v="108"/>
    <x v="41"/>
  </r>
  <r>
    <x v="17"/>
    <x v="55"/>
    <x v="56"/>
  </r>
  <r>
    <x v="17"/>
    <x v="157"/>
    <x v="170"/>
  </r>
  <r>
    <x v="5"/>
    <x v="137"/>
    <x v="148"/>
  </r>
  <r>
    <x v="5"/>
    <x v="129"/>
    <x v="129"/>
  </r>
  <r>
    <x v="0"/>
    <x v="42"/>
    <x v="10"/>
  </r>
  <r>
    <x v="1"/>
    <x v="24"/>
    <x v="60"/>
  </r>
  <r>
    <x v="3"/>
    <x v="31"/>
    <x v="115"/>
  </r>
  <r>
    <x v="0"/>
    <x v="33"/>
    <x v="47"/>
  </r>
  <r>
    <x v="3"/>
    <x v="19"/>
    <x v="22"/>
  </r>
  <r>
    <x v="3"/>
    <x v="7"/>
    <x v="85"/>
  </r>
  <r>
    <x v="5"/>
    <x v="6"/>
    <x v="6"/>
  </r>
  <r>
    <x v="3"/>
    <x v="6"/>
    <x v="5"/>
  </r>
  <r>
    <x v="3"/>
    <x v="7"/>
    <x v="85"/>
  </r>
  <r>
    <x v="3"/>
    <x v="30"/>
    <x v="74"/>
  </r>
  <r>
    <x v="17"/>
    <x v="73"/>
    <x v="111"/>
  </r>
  <r>
    <x v="5"/>
    <x v="173"/>
    <x v="184"/>
  </r>
  <r>
    <x v="17"/>
    <x v="138"/>
    <x v="92"/>
  </r>
  <r>
    <x v="1"/>
    <x v="82"/>
    <x v="29"/>
  </r>
  <r>
    <x v="5"/>
    <x v="71"/>
    <x v="102"/>
  </r>
  <r>
    <x v="17"/>
    <x v="77"/>
    <x v="42"/>
  </r>
  <r>
    <x v="4"/>
    <x v="28"/>
    <x v="83"/>
  </r>
  <r>
    <x v="4"/>
    <x v="90"/>
    <x v="154"/>
  </r>
  <r>
    <x v="0"/>
    <x v="124"/>
    <x v="37"/>
  </r>
  <r>
    <x v="18"/>
    <x v="109"/>
    <x v="67"/>
  </r>
  <r>
    <x v="14"/>
    <x v="174"/>
    <x v="150"/>
  </r>
  <r>
    <x v="4"/>
    <x v="175"/>
    <x v="185"/>
  </r>
  <r>
    <x v="5"/>
    <x v="61"/>
    <x v="39"/>
  </r>
  <r>
    <x v="3"/>
    <x v="151"/>
    <x v="11"/>
  </r>
  <r>
    <x v="3"/>
    <x v="93"/>
    <x v="56"/>
  </r>
  <r>
    <x v="17"/>
    <x v="76"/>
    <x v="66"/>
  </r>
  <r>
    <x v="3"/>
    <x v="53"/>
    <x v="18"/>
  </r>
  <r>
    <x v="3"/>
    <x v="20"/>
    <x v="0"/>
  </r>
  <r>
    <x v="3"/>
    <x v="7"/>
    <x v="85"/>
  </r>
  <r>
    <x v="3"/>
    <x v="35"/>
    <x v="6"/>
  </r>
  <r>
    <x v="3"/>
    <x v="4"/>
    <x v="4"/>
  </r>
  <r>
    <x v="3"/>
    <x v="8"/>
    <x v="24"/>
  </r>
  <r>
    <x v="3"/>
    <x v="16"/>
    <x v="132"/>
  </r>
  <r>
    <x v="3"/>
    <x v="176"/>
    <x v="111"/>
  </r>
  <r>
    <x v="2"/>
    <x v="177"/>
    <x v="106"/>
  </r>
  <r>
    <x v="5"/>
    <x v="178"/>
    <x v="78"/>
  </r>
  <r>
    <x v="5"/>
    <x v="60"/>
    <x v="17"/>
  </r>
  <r>
    <x v="5"/>
    <x v="100"/>
    <x v="79"/>
  </r>
  <r>
    <x v="17"/>
    <x v="65"/>
    <x v="83"/>
  </r>
  <r>
    <x v="0"/>
    <x v="79"/>
    <x v="69"/>
  </r>
  <r>
    <x v="15"/>
    <x v="76"/>
    <x v="61"/>
  </r>
  <r>
    <x v="3"/>
    <x v="54"/>
    <x v="89"/>
  </r>
  <r>
    <x v="17"/>
    <x v="83"/>
    <x v="138"/>
  </r>
  <r>
    <x v="15"/>
    <x v="136"/>
    <x v="186"/>
  </r>
  <r>
    <x v="0"/>
    <x v="174"/>
    <x v="187"/>
  </r>
  <r>
    <x v="4"/>
    <x v="59"/>
    <x v="59"/>
  </r>
  <r>
    <x v="17"/>
    <x v="139"/>
    <x v="54"/>
  </r>
  <r>
    <x v="4"/>
    <x v="14"/>
    <x v="44"/>
  </r>
  <r>
    <x v="17"/>
    <x v="12"/>
    <x v="41"/>
  </r>
  <r>
    <x v="5"/>
    <x v="39"/>
    <x v="19"/>
  </r>
  <r>
    <x v="4"/>
    <x v="98"/>
    <x v="8"/>
  </r>
  <r>
    <x v="5"/>
    <x v="8"/>
    <x v="85"/>
  </r>
  <r>
    <x v="3"/>
    <x v="35"/>
    <x v="6"/>
  </r>
  <r>
    <x v="3"/>
    <x v="22"/>
    <x v="48"/>
  </r>
  <r>
    <x v="5"/>
    <x v="140"/>
    <x v="108"/>
  </r>
  <r>
    <x v="5"/>
    <x v="26"/>
    <x v="30"/>
  </r>
  <r>
    <x v="17"/>
    <x v="179"/>
    <x v="182"/>
  </r>
  <r>
    <x v="1"/>
    <x v="126"/>
    <x v="188"/>
  </r>
  <r>
    <x v="2"/>
    <x v="87"/>
    <x v="40"/>
  </r>
  <r>
    <x v="6"/>
    <x v="15"/>
    <x v="37"/>
  </r>
  <r>
    <x v="18"/>
    <x v="27"/>
    <x v="68"/>
  </r>
  <r>
    <x v="27"/>
    <x v="121"/>
    <x v="14"/>
  </r>
  <r>
    <x v="26"/>
    <x v="28"/>
    <x v="11"/>
  </r>
  <r>
    <x v="6"/>
    <x v="133"/>
    <x v="30"/>
  </r>
  <r>
    <x v="24"/>
    <x v="180"/>
    <x v="139"/>
  </r>
  <r>
    <x v="25"/>
    <x v="181"/>
    <x v="189"/>
  </r>
  <r>
    <x v="14"/>
    <x v="158"/>
    <x v="177"/>
  </r>
  <r>
    <x v="18"/>
    <x v="111"/>
    <x v="129"/>
  </r>
  <r>
    <x v="4"/>
    <x v="124"/>
    <x v="55"/>
  </r>
  <r>
    <x v="5"/>
    <x v="24"/>
    <x v="105"/>
  </r>
  <r>
    <x v="4"/>
    <x v="40"/>
    <x v="74"/>
  </r>
  <r>
    <x v="2"/>
    <x v="41"/>
    <x v="26"/>
  </r>
  <r>
    <x v="0"/>
    <x v="2"/>
    <x v="33"/>
  </r>
  <r>
    <x v="4"/>
    <x v="97"/>
    <x v="108"/>
  </r>
  <r>
    <x v="4"/>
    <x v="0"/>
    <x v="93"/>
  </r>
  <r>
    <x v="0"/>
    <x v="7"/>
    <x v="98"/>
  </r>
  <r>
    <x v="3"/>
    <x v="22"/>
    <x v="48"/>
  </r>
  <r>
    <x v="3"/>
    <x v="4"/>
    <x v="4"/>
  </r>
  <r>
    <x v="5"/>
    <x v="4"/>
    <x v="5"/>
  </r>
  <r>
    <x v="4"/>
    <x v="33"/>
    <x v="62"/>
  </r>
  <r>
    <x v="4"/>
    <x v="95"/>
    <x v="33"/>
  </r>
  <r>
    <x v="2"/>
    <x v="101"/>
    <x v="74"/>
  </r>
  <r>
    <x v="23"/>
    <x v="13"/>
    <x v="11"/>
  </r>
  <r>
    <x v="36"/>
    <x v="151"/>
    <x v="181"/>
  </r>
  <r>
    <x v="37"/>
    <x v="139"/>
    <x v="151"/>
  </r>
  <r>
    <x v="38"/>
    <x v="145"/>
    <x v="169"/>
  </r>
  <r>
    <x v="36"/>
    <x v="92"/>
    <x v="151"/>
  </r>
  <r>
    <x v="9"/>
    <x v="69"/>
    <x v="177"/>
  </r>
  <r>
    <x v="35"/>
    <x v="145"/>
    <x v="190"/>
  </r>
  <r>
    <x v="31"/>
    <x v="182"/>
    <x v="120"/>
  </r>
  <r>
    <x v="17"/>
    <x v="91"/>
    <x v="37"/>
  </r>
  <r>
    <x v="4"/>
    <x v="87"/>
    <x v="102"/>
  </r>
  <r>
    <x v="5"/>
    <x v="87"/>
    <x v="1"/>
  </r>
  <r>
    <x v="14"/>
    <x v="76"/>
    <x v="41"/>
  </r>
  <r>
    <x v="15"/>
    <x v="87"/>
    <x v="79"/>
  </r>
  <r>
    <x v="5"/>
    <x v="17"/>
    <x v="2"/>
  </r>
  <r>
    <x v="2"/>
    <x v="60"/>
    <x v="21"/>
  </r>
  <r>
    <x v="5"/>
    <x v="140"/>
    <x v="108"/>
  </r>
  <r>
    <x v="5"/>
    <x v="23"/>
    <x v="25"/>
  </r>
  <r>
    <x v="17"/>
    <x v="21"/>
    <x v="47"/>
  </r>
  <r>
    <x v="3"/>
    <x v="6"/>
    <x v="5"/>
  </r>
  <r>
    <x v="4"/>
    <x v="35"/>
    <x v="36"/>
  </r>
  <r>
    <x v="3"/>
    <x v="35"/>
    <x v="6"/>
  </r>
  <r>
    <x v="5"/>
    <x v="48"/>
    <x v="47"/>
  </r>
  <r>
    <x v="6"/>
    <x v="96"/>
    <x v="105"/>
  </r>
  <r>
    <x v="21"/>
    <x v="132"/>
    <x v="136"/>
  </r>
  <r>
    <x v="7"/>
    <x v="132"/>
    <x v="59"/>
  </r>
  <r>
    <x v="39"/>
    <x v="111"/>
    <x v="148"/>
  </r>
  <r>
    <x v="40"/>
    <x v="50"/>
    <x v="38"/>
  </r>
  <r>
    <x v="41"/>
    <x v="59"/>
    <x v="143"/>
  </r>
  <r>
    <x v="11"/>
    <x v="183"/>
    <x v="123"/>
  </r>
  <r>
    <x v="32"/>
    <x v="184"/>
    <x v="87"/>
  </r>
  <r>
    <x v="36"/>
    <x v="73"/>
    <x v="139"/>
  </r>
  <r>
    <x v="26"/>
    <x v="78"/>
    <x v="76"/>
  </r>
  <r>
    <x v="16"/>
    <x v="54"/>
    <x v="42"/>
  </r>
  <r>
    <x v="13"/>
    <x v="1"/>
    <x v="105"/>
  </r>
  <r>
    <x v="15"/>
    <x v="108"/>
    <x v="41"/>
  </r>
  <r>
    <x v="2"/>
    <x v="17"/>
    <x v="9"/>
  </r>
  <r>
    <x v="0"/>
    <x v="2"/>
    <x v="33"/>
  </r>
  <r>
    <x v="0"/>
    <x v="21"/>
    <x v="62"/>
  </r>
  <r>
    <x v="5"/>
    <x v="8"/>
    <x v="85"/>
  </r>
  <r>
    <x v="3"/>
    <x v="6"/>
    <x v="5"/>
  </r>
  <r>
    <x v="5"/>
    <x v="4"/>
    <x v="5"/>
  </r>
  <r>
    <x v="3"/>
    <x v="6"/>
    <x v="5"/>
  </r>
  <r>
    <x v="3"/>
    <x v="35"/>
    <x v="6"/>
  </r>
  <r>
    <x v="5"/>
    <x v="18"/>
    <x v="132"/>
  </r>
  <r>
    <x v="4"/>
    <x v="185"/>
    <x v="95"/>
  </r>
  <r>
    <x v="42"/>
    <x v="186"/>
    <x v="19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01"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2"/>
  </r>
  <r>
    <x v="3"/>
  </r>
  <r>
    <x v="3"/>
  </r>
  <r>
    <x v="4"/>
  </r>
  <r>
    <x v="3"/>
  </r>
  <r>
    <x v="4"/>
  </r>
  <r>
    <x v="4"/>
  </r>
  <r>
    <x v="3"/>
  </r>
  <r>
    <x v="2"/>
  </r>
  <r>
    <x v="2"/>
  </r>
  <r>
    <x v="2"/>
  </r>
  <r>
    <x v="5"/>
  </r>
  <r>
    <x v="6"/>
  </r>
  <r>
    <x v="4"/>
  </r>
  <r>
    <x v="4"/>
  </r>
  <r>
    <x v="2"/>
  </r>
  <r>
    <x v="3"/>
  </r>
  <r>
    <x v="5"/>
  </r>
  <r>
    <x v="5"/>
  </r>
  <r>
    <x v="4"/>
  </r>
  <r>
    <x v="5"/>
  </r>
  <r>
    <x v="6"/>
  </r>
  <r>
    <x v="6"/>
  </r>
  <r>
    <x v="6"/>
  </r>
  <r>
    <x v="2"/>
  </r>
  <r>
    <x v="4"/>
  </r>
  <r>
    <x v="7"/>
  </r>
  <r>
    <x v="5"/>
  </r>
  <r>
    <x v="8"/>
  </r>
  <r>
    <x v="8"/>
  </r>
  <r>
    <x v="5"/>
  </r>
  <r>
    <x v="9"/>
  </r>
  <r>
    <x v="10"/>
  </r>
  <r>
    <x v="11"/>
  </r>
  <r>
    <x v="9"/>
  </r>
  <r>
    <x v="4"/>
  </r>
  <r>
    <x v="8"/>
  </r>
  <r>
    <x v="11"/>
  </r>
  <r>
    <x v="12"/>
  </r>
  <r>
    <x v="13"/>
  </r>
  <r>
    <x v="3"/>
  </r>
  <r>
    <x v="13"/>
  </r>
  <r>
    <x v="5"/>
  </r>
  <r>
    <x v="3"/>
  </r>
  <r>
    <x v="13"/>
  </r>
  <r>
    <x v="2"/>
  </r>
  <r>
    <x v="9"/>
  </r>
  <r>
    <x v="4"/>
  </r>
  <r>
    <x v="3"/>
  </r>
  <r>
    <x v="3"/>
  </r>
  <r>
    <x v="2"/>
  </r>
  <r>
    <x v="2"/>
  </r>
  <r>
    <x v="6"/>
  </r>
  <r>
    <x v="14"/>
  </r>
  <r>
    <x v="0"/>
  </r>
  <r>
    <x v="14"/>
  </r>
  <r>
    <x v="7"/>
  </r>
  <r>
    <x v="7"/>
  </r>
  <r>
    <x v="14"/>
  </r>
  <r>
    <x v="14"/>
  </r>
  <r>
    <x v="14"/>
  </r>
  <r>
    <x v="7"/>
  </r>
  <r>
    <x v="1"/>
  </r>
  <r>
    <x v="14"/>
  </r>
  <r>
    <x v="14"/>
  </r>
  <r>
    <x v="7"/>
  </r>
  <r>
    <x v="8"/>
  </r>
  <r>
    <x v="6"/>
  </r>
  <r>
    <x v="9"/>
  </r>
  <r>
    <x v="4"/>
  </r>
  <r>
    <x v="8"/>
  </r>
  <r>
    <x v="5"/>
  </r>
  <r>
    <x v="6"/>
  </r>
  <r>
    <x v="2"/>
  </r>
  <r>
    <x v="2"/>
  </r>
  <r>
    <x v="6"/>
  </r>
  <r>
    <x v="5"/>
  </r>
  <r>
    <x v="14"/>
  </r>
  <r>
    <x v="14"/>
  </r>
  <r>
    <x v="0"/>
  </r>
  <r>
    <x v="1"/>
  </r>
  <r>
    <x v="1"/>
  </r>
  <r>
    <x v="0"/>
  </r>
  <r>
    <x v="1"/>
  </r>
  <r>
    <x v="1"/>
  </r>
  <r>
    <x v="6"/>
  </r>
  <r>
    <x v="8"/>
  </r>
  <r>
    <x v="6"/>
  </r>
  <r>
    <x v="5"/>
  </r>
  <r>
    <x v="4"/>
  </r>
  <r>
    <x v="9"/>
  </r>
  <r>
    <x v="9"/>
  </r>
  <r>
    <x v="9"/>
  </r>
  <r>
    <x v="9"/>
  </r>
  <r>
    <x v="4"/>
  </r>
  <r>
    <x v="5"/>
  </r>
  <r>
    <x v="5"/>
  </r>
  <r>
    <x v="1"/>
  </r>
  <r>
    <x v="5"/>
  </r>
  <r>
    <x v="7"/>
  </r>
  <r>
    <x v="14"/>
  </r>
  <r>
    <x v="8"/>
  </r>
  <r>
    <x v="5"/>
  </r>
  <r>
    <x v="7"/>
  </r>
  <r>
    <x v="0"/>
  </r>
  <r>
    <x v="0"/>
  </r>
  <r>
    <x v="0"/>
  </r>
  <r>
    <x v="0"/>
  </r>
  <r>
    <x v="1"/>
  </r>
  <r>
    <x v="1"/>
  </r>
  <r>
    <x v="14"/>
  </r>
  <r>
    <x v="0"/>
  </r>
  <r>
    <x v="0"/>
  </r>
  <r>
    <x v="0"/>
  </r>
  <r>
    <x v="0"/>
  </r>
  <r>
    <x v="1"/>
  </r>
  <r>
    <x v="0"/>
  </r>
  <r>
    <x v="14"/>
  </r>
  <r>
    <x v="8"/>
  </r>
  <r>
    <x v="0"/>
  </r>
  <r>
    <x v="8"/>
  </r>
  <r>
    <x v="8"/>
  </r>
  <r>
    <x v="7"/>
  </r>
  <r>
    <x v="1"/>
  </r>
  <r>
    <x v="8"/>
  </r>
  <r>
    <x v="6"/>
  </r>
  <r>
    <x v="3"/>
  </r>
  <r>
    <x v="5"/>
  </r>
  <r>
    <x v="5"/>
  </r>
  <r>
    <x v="6"/>
  </r>
  <r>
    <x v="6"/>
  </r>
  <r>
    <x v="7"/>
  </r>
  <r>
    <x v="0"/>
  </r>
  <r>
    <x v="0"/>
  </r>
  <r>
    <x v="7"/>
  </r>
  <r>
    <x v="2"/>
  </r>
  <r>
    <x v="4"/>
  </r>
  <r>
    <x v="9"/>
  </r>
  <r>
    <x v="6"/>
  </r>
  <r>
    <x v="2"/>
  </r>
  <r>
    <x v="3"/>
  </r>
  <r>
    <x v="2"/>
  </r>
  <r>
    <x v="8"/>
  </r>
  <r>
    <x v="8"/>
  </r>
  <r>
    <x v="0"/>
  </r>
  <r>
    <x v="1"/>
  </r>
  <r>
    <x v="1"/>
  </r>
  <r>
    <x v="14"/>
  </r>
  <r>
    <x v="7"/>
  </r>
  <r>
    <x v="8"/>
  </r>
  <r>
    <x v="8"/>
  </r>
  <r>
    <x v="8"/>
  </r>
  <r>
    <x v="1"/>
  </r>
  <r>
    <x v="0"/>
  </r>
  <r>
    <x v="8"/>
  </r>
  <r>
    <x v="8"/>
  </r>
  <r>
    <x v="8"/>
  </r>
  <r>
    <x v="8"/>
  </r>
  <r>
    <x v="14"/>
  </r>
  <r>
    <x v="14"/>
  </r>
  <r>
    <x v="14"/>
  </r>
  <r>
    <x v="8"/>
  </r>
  <r>
    <x v="13"/>
  </r>
  <r>
    <x v="11"/>
  </r>
  <r>
    <x v="9"/>
  </r>
  <r>
    <x v="15"/>
  </r>
  <r>
    <x v="10"/>
  </r>
  <r>
    <x v="10"/>
  </r>
  <r>
    <x v="16"/>
  </r>
  <r>
    <x v="4"/>
  </r>
  <r>
    <x v="2"/>
  </r>
  <r>
    <x v="2"/>
  </r>
  <r>
    <x v="11"/>
  </r>
  <r>
    <x v="13"/>
  </r>
  <r>
    <x v="10"/>
  </r>
  <r>
    <x v="13"/>
  </r>
  <r>
    <x v="17"/>
  </r>
  <r>
    <x v="17"/>
  </r>
  <r>
    <x v="12"/>
  </r>
  <r>
    <x v="5"/>
  </r>
  <r>
    <x v="5"/>
  </r>
  <r>
    <x v="3"/>
  </r>
  <r>
    <x v="5"/>
  </r>
  <r>
    <x v="3"/>
  </r>
  <r>
    <x v="18"/>
  </r>
  <r>
    <x v="13"/>
  </r>
  <r>
    <x v="18"/>
  </r>
  <r>
    <x v="10"/>
  </r>
  <r>
    <x v="10"/>
  </r>
  <r>
    <x v="17"/>
  </r>
  <r>
    <x v="11"/>
  </r>
  <r>
    <x v="10"/>
  </r>
  <r>
    <x v="13"/>
  </r>
  <r>
    <x v="9"/>
  </r>
  <r>
    <x v="9"/>
  </r>
  <r>
    <x v="2"/>
  </r>
  <r>
    <x v="12"/>
  </r>
  <r>
    <x v="4"/>
  </r>
  <r>
    <x v="5"/>
  </r>
  <r>
    <x v="3"/>
  </r>
  <r>
    <x v="3"/>
  </r>
  <r>
    <x v="6"/>
  </r>
  <r>
    <x v="6"/>
  </r>
  <r>
    <x v="7"/>
  </r>
  <r>
    <x v="2"/>
  </r>
  <r>
    <x v="3"/>
  </r>
  <r>
    <x v="6"/>
  </r>
  <r>
    <x v="3"/>
  </r>
  <r>
    <x v="2"/>
  </r>
  <r>
    <x v="4"/>
  </r>
  <r>
    <x v="3"/>
  </r>
  <r>
    <x v="3"/>
  </r>
  <r>
    <x v="3"/>
  </r>
  <r>
    <x v="6"/>
  </r>
  <r>
    <x v="6"/>
  </r>
  <r>
    <x v="7"/>
  </r>
  <r>
    <x v="14"/>
  </r>
  <r>
    <x v="6"/>
  </r>
  <r>
    <x v="8"/>
  </r>
  <r>
    <x v="8"/>
  </r>
  <r>
    <x v="5"/>
  </r>
  <r>
    <x v="8"/>
  </r>
  <r>
    <x v="8"/>
  </r>
  <r>
    <x v="14"/>
  </r>
  <r>
    <x v="8"/>
  </r>
  <r>
    <x v="5"/>
  </r>
  <r>
    <x v="7"/>
  </r>
  <r>
    <x v="7"/>
  </r>
  <r>
    <x v="0"/>
  </r>
  <r>
    <x v="1"/>
  </r>
  <r>
    <x v="8"/>
  </r>
  <r>
    <x v="8"/>
  </r>
  <r>
    <x v="7"/>
  </r>
  <r>
    <x v="14"/>
  </r>
  <r>
    <x v="1"/>
  </r>
  <r>
    <x v="1"/>
  </r>
  <r>
    <x v="1"/>
  </r>
  <r>
    <x v="6"/>
  </r>
  <r>
    <x v="6"/>
  </r>
  <r>
    <x v="14"/>
  </r>
  <r>
    <x v="0"/>
  </r>
  <r>
    <x v="5"/>
  </r>
  <r>
    <x v="1"/>
  </r>
  <r>
    <x v="14"/>
  </r>
  <r>
    <x v="1"/>
  </r>
  <r>
    <x v="1"/>
  </r>
  <r>
    <x v="14"/>
  </r>
  <r>
    <x v="7"/>
  </r>
  <r>
    <x v="8"/>
  </r>
  <r>
    <x v="7"/>
  </r>
  <r>
    <x v="7"/>
  </r>
  <r>
    <x v="8"/>
  </r>
  <r>
    <x v="9"/>
  </r>
  <r>
    <x v="6"/>
  </r>
  <r>
    <x v="13"/>
  </r>
  <r>
    <x v="19"/>
  </r>
  <r>
    <x v="11"/>
  </r>
  <r>
    <x v="9"/>
  </r>
  <r>
    <x v="12"/>
  </r>
  <r>
    <x v="9"/>
  </r>
  <r>
    <x v="11"/>
  </r>
  <r>
    <x v="18"/>
  </r>
  <r>
    <x v="12"/>
  </r>
  <r>
    <x v="9"/>
  </r>
  <r>
    <x v="9"/>
  </r>
  <r>
    <x v="10"/>
  </r>
  <r>
    <x v="12"/>
  </r>
  <r>
    <x v="3"/>
  </r>
  <r>
    <x v="3"/>
  </r>
  <r>
    <x v="11"/>
  </r>
  <r>
    <x v="9"/>
  </r>
  <r>
    <x v="2"/>
  </r>
  <r>
    <x v="4"/>
  </r>
  <r>
    <x v="7"/>
  </r>
  <r>
    <x v="7"/>
  </r>
  <r>
    <x v="5"/>
  </r>
  <r>
    <x v="9"/>
  </r>
  <r>
    <x v="11"/>
  </r>
  <r>
    <x v="10"/>
  </r>
  <r>
    <x v="12"/>
  </r>
  <r>
    <x v="10"/>
  </r>
  <r>
    <x v="13"/>
  </r>
  <r>
    <x v="4"/>
  </r>
  <r>
    <x v="11"/>
  </r>
  <r>
    <x v="3"/>
  </r>
  <r>
    <x v="9"/>
  </r>
  <r>
    <x v="2"/>
  </r>
  <r>
    <x v="6"/>
  </r>
  <r>
    <x v="4"/>
  </r>
  <r>
    <x v="9"/>
  </r>
  <r>
    <x v="5"/>
  </r>
  <r>
    <x v="5"/>
  </r>
  <r>
    <x v="8"/>
  </r>
  <r>
    <x v="7"/>
  </r>
  <r>
    <x v="14"/>
  </r>
  <r>
    <x v="1"/>
  </r>
  <r>
    <x v="0"/>
  </r>
  <r>
    <x v="8"/>
  </r>
  <r>
    <x v="0"/>
  </r>
  <r>
    <x v="7"/>
  </r>
  <r>
    <x v="5"/>
  </r>
  <r>
    <x v="3"/>
  </r>
  <r>
    <x v="2"/>
  </r>
  <r>
    <x v="13"/>
  </r>
  <r>
    <x v="3"/>
  </r>
  <r>
    <x v="8"/>
  </r>
  <r>
    <x v="14"/>
  </r>
  <r>
    <x v="8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4"/>
  </r>
  <r>
    <x v="0"/>
  </r>
  <r>
    <x v="7"/>
  </r>
  <r>
    <x v="7"/>
  </r>
  <r>
    <x v="8"/>
  </r>
  <r>
    <x v="6"/>
  </r>
  <r>
    <x v="6"/>
  </r>
  <r>
    <x v="4"/>
  </r>
  <r>
    <x v="3"/>
  </r>
  <r>
    <x v="5"/>
  </r>
  <r>
    <x v="5"/>
  </r>
  <r>
    <x v="3"/>
  </r>
  <r>
    <x v="2"/>
  </r>
  <r>
    <x v="2"/>
  </r>
  <r>
    <x v="2"/>
  </r>
  <r>
    <x v="6"/>
  </r>
  <r>
    <x v="14"/>
  </r>
  <r>
    <x v="3"/>
  </r>
  <r>
    <x v="0"/>
  </r>
  <r>
    <x v="7"/>
  </r>
  <r>
    <x v="1"/>
  </r>
  <r>
    <x v="0"/>
  </r>
  <r>
    <x v="8"/>
  </r>
  <r>
    <x v="8"/>
  </r>
  <r>
    <x v="8"/>
  </r>
  <r>
    <x v="4"/>
  </r>
  <r>
    <x v="3"/>
  </r>
  <r>
    <x v="2"/>
  </r>
  <r>
    <x v="3"/>
  </r>
  <r>
    <x v="2"/>
  </r>
  <r>
    <x v="3"/>
  </r>
  <r>
    <x v="4"/>
  </r>
  <r>
    <x v="2"/>
  </r>
  <r>
    <x v="2"/>
  </r>
  <r>
    <x v="6"/>
  </r>
  <r>
    <x v="2"/>
  </r>
  <r>
    <x v="8"/>
  </r>
  <r>
    <x v="7"/>
  </r>
  <r>
    <x v="8"/>
  </r>
  <r>
    <x v="8"/>
  </r>
  <r>
    <x v="7"/>
  </r>
  <r>
    <x v="14"/>
  </r>
  <r>
    <x v="6"/>
  </r>
  <r>
    <x v="5"/>
  </r>
  <r>
    <x v="2"/>
  </r>
  <r>
    <x v="5"/>
  </r>
  <r>
    <x v="7"/>
  </r>
  <r>
    <x v="8"/>
  </r>
  <r>
    <x v="5"/>
  </r>
  <r>
    <x v="7"/>
  </r>
  <r>
    <x v="6"/>
  </r>
  <r>
    <x v="6"/>
  </r>
  <r>
    <x v="2"/>
  </r>
  <r>
    <x v="5"/>
  </r>
  <r>
    <x v="7"/>
  </r>
  <r>
    <x v="7"/>
  </r>
  <r>
    <x v="14"/>
  </r>
  <r>
    <x v="8"/>
  </r>
  <r>
    <x v="8"/>
  </r>
  <r>
    <x v="5"/>
  </r>
  <r>
    <x v="2"/>
  </r>
  <r>
    <x v="5"/>
  </r>
  <r>
    <x v="5"/>
  </r>
  <r>
    <x v="5"/>
  </r>
  <r>
    <x v="2"/>
  </r>
  <r>
    <x v="3"/>
  </r>
  <r>
    <x v="9"/>
  </r>
  <r>
    <x v="6"/>
  </r>
  <r>
    <x v="8"/>
  </r>
  <r>
    <x v="8"/>
  </r>
  <r>
    <x v="5"/>
  </r>
  <r>
    <x v="5"/>
  </r>
  <r>
    <x v="8"/>
  </r>
  <r>
    <x v="7"/>
  </r>
  <r>
    <x v="0"/>
  </r>
  <r>
    <x v="14"/>
  </r>
  <r>
    <x v="1"/>
  </r>
  <r>
    <x v="0"/>
  </r>
  <r>
    <x v="0"/>
  </r>
  <r>
    <x v="7"/>
  </r>
  <r>
    <x v="7"/>
  </r>
  <r>
    <x v="7"/>
  </r>
  <r>
    <x v="1"/>
  </r>
  <r>
    <x v="1"/>
  </r>
  <r>
    <x v="14"/>
  </r>
  <r>
    <x v="14"/>
  </r>
  <r>
    <x v="14"/>
  </r>
  <r>
    <x v="7"/>
  </r>
  <r>
    <x v="1"/>
  </r>
  <r>
    <x v="1"/>
  </r>
  <r>
    <x v="3"/>
  </r>
  <r>
    <x v="2"/>
  </r>
  <r>
    <x v="3"/>
  </r>
  <r>
    <x v="13"/>
  </r>
  <r>
    <x v="9"/>
  </r>
  <r>
    <x v="3"/>
  </r>
  <r>
    <x v="12"/>
  </r>
  <r>
    <x v="4"/>
  </r>
  <r>
    <x v="12"/>
  </r>
  <r>
    <x v="8"/>
  </r>
  <r>
    <x v="17"/>
  </r>
  <r>
    <x v="13"/>
  </r>
  <r>
    <x v="0"/>
  </r>
  <r>
    <x v="0"/>
  </r>
  <r>
    <x v="8"/>
  </r>
  <r>
    <x v="8"/>
  </r>
  <r>
    <x v="6"/>
  </r>
  <r>
    <x v="6"/>
  </r>
  <r>
    <x v="6"/>
  </r>
  <r>
    <x v="3"/>
  </r>
  <r>
    <x v="6"/>
  </r>
  <r>
    <x v="4"/>
  </r>
  <r>
    <x v="8"/>
  </r>
  <r>
    <x v="0"/>
  </r>
  <r>
    <x v="14"/>
  </r>
  <r>
    <x v="7"/>
  </r>
  <r>
    <x v="5"/>
  </r>
  <r>
    <x v="7"/>
  </r>
  <r>
    <x v="14"/>
  </r>
  <r>
    <x v="5"/>
  </r>
  <r>
    <x v="9"/>
  </r>
  <r>
    <x v="3"/>
  </r>
  <r>
    <x v="2"/>
  </r>
  <r>
    <x v="3"/>
  </r>
  <r>
    <x v="9"/>
  </r>
  <r>
    <x v="2"/>
  </r>
  <r>
    <x v="2"/>
  </r>
  <r>
    <x v="8"/>
  </r>
  <r>
    <x v="4"/>
  </r>
  <r>
    <x v="1"/>
  </r>
  <r>
    <x v="12"/>
  </r>
  <r>
    <x v="2"/>
  </r>
  <r>
    <x v="3"/>
  </r>
  <r>
    <x v="9"/>
  </r>
  <r>
    <x v="11"/>
  </r>
  <r>
    <x v="17"/>
  </r>
  <r>
    <x v="17"/>
  </r>
  <r>
    <x v="19"/>
  </r>
  <r>
    <x v="19"/>
  </r>
  <r>
    <x v="18"/>
  </r>
  <r>
    <x v="10"/>
  </r>
  <r>
    <x v="11"/>
  </r>
  <r>
    <x v="11"/>
  </r>
  <r>
    <x v="2"/>
  </r>
  <r>
    <x v="9"/>
  </r>
  <r>
    <x v="12"/>
  </r>
  <r>
    <x v="3"/>
  </r>
  <r>
    <x v="13"/>
  </r>
  <r>
    <x v="9"/>
  </r>
  <r>
    <x v="2"/>
  </r>
  <r>
    <x v="13"/>
  </r>
  <r>
    <x v="2"/>
  </r>
  <r>
    <x v="3"/>
  </r>
  <r>
    <x v="4"/>
  </r>
  <r>
    <x v="6"/>
  </r>
  <r>
    <x v="3"/>
  </r>
  <r>
    <x v="9"/>
  </r>
  <r>
    <x v="2"/>
  </r>
  <r>
    <x v="8"/>
  </r>
  <r>
    <x v="7"/>
  </r>
  <r>
    <x v="14"/>
  </r>
  <r>
    <x v="0"/>
  </r>
  <r>
    <x v="14"/>
  </r>
  <r>
    <x v="0"/>
  </r>
  <r>
    <x v="5"/>
  </r>
  <r>
    <x v="0"/>
  </r>
  <r>
    <x v="5"/>
  </r>
  <r>
    <x v="7"/>
  </r>
  <r>
    <x v="8"/>
  </r>
  <r>
    <x v="1"/>
  </r>
  <r>
    <x v="0"/>
  </r>
  <r>
    <x v="14"/>
  </r>
  <r>
    <x v="14"/>
  </r>
  <r>
    <x v="14"/>
  </r>
  <r>
    <x v="7"/>
  </r>
  <r>
    <x v="7"/>
  </r>
  <r>
    <x v="14"/>
  </r>
  <r>
    <x v="14"/>
  </r>
  <r>
    <x v="8"/>
  </r>
  <r>
    <x v="8"/>
  </r>
  <r>
    <x v="11"/>
  </r>
  <r>
    <x v="13"/>
  </r>
  <r>
    <x v="6"/>
  </r>
  <r>
    <x v="17"/>
  </r>
  <r>
    <x v="13"/>
  </r>
  <r>
    <x v="11"/>
  </r>
  <r>
    <x v="11"/>
  </r>
  <r>
    <x v="9"/>
  </r>
  <r>
    <x v="13"/>
  </r>
  <r>
    <x v="2"/>
  </r>
  <r>
    <x v="3"/>
  </r>
  <r>
    <x v="2"/>
  </r>
  <r>
    <x v="5"/>
  </r>
  <r>
    <x v="5"/>
  </r>
  <r>
    <x v="6"/>
  </r>
  <r>
    <x v="5"/>
  </r>
  <r>
    <x v="5"/>
  </r>
  <r>
    <x v="2"/>
  </r>
  <r>
    <x v="7"/>
  </r>
  <r>
    <x v="7"/>
  </r>
  <r>
    <x v="1"/>
  </r>
  <r>
    <x v="0"/>
  </r>
  <r>
    <x v="0"/>
  </r>
  <r>
    <x v="0"/>
  </r>
  <r>
    <x v="0"/>
  </r>
  <r>
    <x v="7"/>
  </r>
  <r>
    <x v="5"/>
  </r>
  <r>
    <x v="6"/>
  </r>
  <r>
    <x v="6"/>
  </r>
  <r>
    <x v="8"/>
  </r>
  <r>
    <x v="2"/>
  </r>
  <r>
    <x v="2"/>
  </r>
  <r>
    <x v="5"/>
  </r>
  <r>
    <x v="8"/>
  </r>
  <r>
    <x v="5"/>
  </r>
  <r>
    <x v="8"/>
  </r>
  <r>
    <x v="6"/>
  </r>
  <r>
    <x v="2"/>
  </r>
  <r>
    <x v="3"/>
  </r>
  <r>
    <x v="8"/>
  </r>
  <r>
    <x v="6"/>
  </r>
  <r>
    <x v="14"/>
  </r>
  <r>
    <x v="6"/>
  </r>
  <r>
    <x v="14"/>
  </r>
  <r>
    <x v="6"/>
  </r>
  <r>
    <x v="7"/>
  </r>
  <r>
    <x v="1"/>
  </r>
  <r>
    <x v="14"/>
  </r>
  <r>
    <x v="7"/>
  </r>
  <r>
    <x v="1"/>
  </r>
  <r>
    <x v="7"/>
  </r>
  <r>
    <x v="0"/>
  </r>
  <r>
    <x v="0"/>
  </r>
  <r>
    <x v="0"/>
  </r>
  <r>
    <x v="0"/>
  </r>
  <r>
    <x v="1"/>
  </r>
  <r>
    <x v="8"/>
  </r>
  <r>
    <x v="5"/>
  </r>
  <r>
    <x v="5"/>
  </r>
  <r>
    <x v="8"/>
  </r>
  <r>
    <x v="8"/>
  </r>
  <r>
    <x v="7"/>
  </r>
  <r>
    <x v="7"/>
  </r>
  <r>
    <x v="5"/>
  </r>
  <r>
    <x v="3"/>
  </r>
  <r>
    <x v="3"/>
  </r>
  <r>
    <x v="4"/>
  </r>
  <r>
    <x v="4"/>
  </r>
  <r>
    <x v="4"/>
  </r>
  <r>
    <x v="3"/>
  </r>
  <r>
    <x v="9"/>
  </r>
  <r>
    <x v="9"/>
  </r>
  <r>
    <x v="9"/>
  </r>
  <r>
    <x v="11"/>
  </r>
  <r>
    <x v="17"/>
  </r>
  <r>
    <x v="9"/>
  </r>
  <r>
    <x v="11"/>
  </r>
  <r>
    <x v="5"/>
  </r>
  <r>
    <x v="14"/>
  </r>
  <r>
    <x v="1"/>
  </r>
  <r>
    <x v="1"/>
  </r>
  <r>
    <x v="1"/>
  </r>
  <r>
    <x v="1"/>
  </r>
  <r>
    <x v="1"/>
  </r>
  <r>
    <x v="8"/>
  </r>
  <r>
    <x v="7"/>
  </r>
  <r>
    <x v="7"/>
  </r>
  <r>
    <x v="8"/>
  </r>
  <r>
    <x v="14"/>
  </r>
  <r>
    <x v="14"/>
  </r>
  <r>
    <x v="7"/>
  </r>
  <r>
    <x v="1"/>
  </r>
  <r>
    <x v="1"/>
  </r>
  <r>
    <x v="1"/>
  </r>
  <r>
    <x v="14"/>
  </r>
  <r>
    <x v="14"/>
  </r>
  <r>
    <x v="14"/>
  </r>
  <r>
    <x v="14"/>
  </r>
  <r>
    <x v="0"/>
  </r>
  <r>
    <x v="0"/>
  </r>
  <r>
    <x v="0"/>
  </r>
  <r>
    <x v="7"/>
  </r>
  <r>
    <x v="5"/>
  </r>
  <r>
    <x v="7"/>
  </r>
  <r>
    <x v="5"/>
  </r>
  <r>
    <x v="7"/>
  </r>
  <r>
    <x v="11"/>
  </r>
  <r>
    <x v="6"/>
  </r>
  <r>
    <x v="11"/>
  </r>
  <r>
    <x v="5"/>
  </r>
  <r>
    <x v="8"/>
  </r>
  <r>
    <x v="7"/>
  </r>
  <r>
    <x v="14"/>
  </r>
  <r>
    <x v="7"/>
  </r>
  <r>
    <x v="14"/>
  </r>
  <r>
    <x v="8"/>
  </r>
  <r>
    <x v="1"/>
  </r>
  <r>
    <x v="14"/>
  </r>
  <r>
    <x v="7"/>
  </r>
  <r>
    <x v="5"/>
  </r>
  <r>
    <x v="8"/>
  </r>
  <r>
    <x v="7"/>
  </r>
  <r>
    <x v="2"/>
  </r>
  <r>
    <x v="8"/>
  </r>
  <r>
    <x v="0"/>
  </r>
  <r>
    <x v="7"/>
  </r>
  <r>
    <x v="2"/>
  </r>
  <r>
    <x v="1"/>
  </r>
  <r>
    <x v="1"/>
  </r>
  <r>
    <x v="1"/>
  </r>
  <r>
    <x v="1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14"/>
  </r>
  <r>
    <x v="1"/>
  </r>
  <r>
    <x v="0"/>
  </r>
  <r>
    <x v="0"/>
  </r>
  <r>
    <x v="5"/>
  </r>
  <r>
    <x v="8"/>
  </r>
  <r>
    <x v="5"/>
  </r>
  <r>
    <x v="14"/>
  </r>
  <r>
    <x v="8"/>
  </r>
  <r>
    <x v="5"/>
  </r>
  <r>
    <x v="3"/>
  </r>
  <r>
    <x v="6"/>
  </r>
  <r>
    <x v="2"/>
  </r>
  <r>
    <x v="5"/>
  </r>
  <r>
    <x v="5"/>
  </r>
  <r>
    <x v="6"/>
  </r>
  <r>
    <x v="3"/>
  </r>
  <r>
    <x v="9"/>
  </r>
  <r>
    <x v="3"/>
  </r>
  <r>
    <x v="3"/>
  </r>
  <r>
    <x v="4"/>
  </r>
  <r>
    <x v="5"/>
  </r>
  <r>
    <x v="5"/>
  </r>
  <r>
    <x v="14"/>
  </r>
  <r>
    <x v="0"/>
  </r>
  <r>
    <x v="7"/>
  </r>
  <r>
    <x v="7"/>
  </r>
  <r>
    <x v="5"/>
  </r>
  <r>
    <x v="5"/>
  </r>
  <r>
    <x v="6"/>
  </r>
  <r>
    <x v="14"/>
  </r>
  <r>
    <x v="8"/>
  </r>
  <r>
    <x v="1"/>
  </r>
  <r>
    <x v="14"/>
  </r>
  <r>
    <x v="1"/>
  </r>
  <r>
    <x v="14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7"/>
  </r>
  <r>
    <x v="0"/>
  </r>
  <r>
    <x v="14"/>
  </r>
  <r>
    <x v="7"/>
  </r>
  <r>
    <x v="7"/>
  </r>
  <r>
    <x v="7"/>
  </r>
  <r>
    <x v="1"/>
  </r>
  <r>
    <x v="5"/>
  </r>
  <r>
    <x v="14"/>
  </r>
  <r>
    <x v="5"/>
  </r>
  <r>
    <x v="7"/>
  </r>
  <r>
    <x v="7"/>
  </r>
  <r>
    <x v="3"/>
  </r>
  <r>
    <x v="14"/>
  </r>
  <r>
    <x v="14"/>
  </r>
  <r>
    <x v="6"/>
  </r>
  <r>
    <x v="6"/>
  </r>
  <r>
    <x v="1"/>
  </r>
  <r>
    <x v="0"/>
  </r>
  <r>
    <x v="5"/>
  </r>
  <r>
    <x v="6"/>
  </r>
  <r>
    <x v="8"/>
  </r>
  <r>
    <x v="13"/>
  </r>
  <r>
    <x v="9"/>
  </r>
  <r>
    <x v="4"/>
  </r>
  <r>
    <x v="18"/>
  </r>
  <r>
    <x v="16"/>
  </r>
  <r>
    <x v="15"/>
  </r>
  <r>
    <x v="16"/>
  </r>
  <r>
    <x v="9"/>
  </r>
  <r>
    <x v="2"/>
  </r>
  <r>
    <x v="10"/>
  </r>
  <r>
    <x v="10"/>
  </r>
  <r>
    <x v="18"/>
  </r>
  <r>
    <x v="2"/>
  </r>
  <r>
    <x v="2"/>
  </r>
  <r>
    <x v="4"/>
  </r>
  <r>
    <x v="11"/>
  </r>
  <r>
    <x v="9"/>
  </r>
  <r>
    <x v="11"/>
  </r>
  <r>
    <x v="4"/>
  </r>
  <r>
    <x v="9"/>
  </r>
  <r>
    <x v="10"/>
  </r>
  <r>
    <x v="11"/>
  </r>
  <r>
    <x v="12"/>
  </r>
  <r>
    <x v="13"/>
  </r>
  <r>
    <x v="9"/>
  </r>
  <r>
    <x v="2"/>
  </r>
  <r>
    <x v="5"/>
  </r>
  <r>
    <x v="8"/>
  </r>
  <r>
    <x v="0"/>
  </r>
  <r>
    <x v="1"/>
  </r>
  <r>
    <x v="14"/>
  </r>
  <r>
    <x v="1"/>
  </r>
  <r>
    <x v="14"/>
  </r>
  <r>
    <x v="0"/>
  </r>
  <r>
    <x v="0"/>
  </r>
  <r>
    <x v="14"/>
  </r>
  <r>
    <x v="14"/>
  </r>
  <r>
    <x v="7"/>
  </r>
  <r>
    <x v="0"/>
  </r>
  <r>
    <x v="0"/>
  </r>
  <r>
    <x v="7"/>
  </r>
  <r>
    <x v="7"/>
  </r>
  <r>
    <x v="7"/>
  </r>
  <r>
    <x v="8"/>
  </r>
  <r>
    <x v="8"/>
  </r>
  <r>
    <x v="6"/>
  </r>
  <r>
    <x v="8"/>
  </r>
  <r>
    <x v="2"/>
  </r>
  <r>
    <x v="6"/>
  </r>
  <r>
    <x v="7"/>
  </r>
  <r>
    <x v="14"/>
  </r>
  <r>
    <x v="7"/>
  </r>
  <r>
    <x v="8"/>
  </r>
  <r>
    <x v="8"/>
  </r>
  <r>
    <x v="8"/>
  </r>
  <r>
    <x v="7"/>
  </r>
  <r>
    <x v="8"/>
  </r>
  <r>
    <x v="8"/>
  </r>
  <r>
    <x v="8"/>
  </r>
  <r>
    <x v="8"/>
  </r>
  <r>
    <x v="7"/>
  </r>
  <r>
    <x v="1"/>
  </r>
  <r>
    <x v="0"/>
  </r>
  <r>
    <x v="1"/>
  </r>
  <r>
    <x v="1"/>
  </r>
  <r>
    <x v="1"/>
  </r>
  <r>
    <x v="7"/>
  </r>
  <r>
    <x v="7"/>
  </r>
  <r>
    <x v="8"/>
  </r>
  <r>
    <x v="8"/>
  </r>
  <r>
    <x v="0"/>
  </r>
  <r>
    <x v="0"/>
  </r>
  <r>
    <x v="7"/>
  </r>
  <r>
    <x v="3"/>
  </r>
  <r>
    <x v="10"/>
  </r>
  <r>
    <x v="10"/>
  </r>
  <r>
    <x v="2"/>
  </r>
  <r>
    <x v="5"/>
  </r>
  <r>
    <x v="7"/>
  </r>
  <r>
    <x v="6"/>
  </r>
  <r>
    <x v="5"/>
  </r>
  <r>
    <x v="12"/>
  </r>
  <r>
    <x v="9"/>
  </r>
  <r>
    <x v="1"/>
  </r>
  <r>
    <x v="11"/>
  </r>
  <r>
    <x v="6"/>
  </r>
  <r>
    <x v="6"/>
  </r>
  <r>
    <x v="8"/>
  </r>
  <r>
    <x v="14"/>
  </r>
  <r>
    <x v="14"/>
  </r>
  <r>
    <x v="2"/>
  </r>
  <r>
    <x v="2"/>
  </r>
  <r>
    <x v="0"/>
  </r>
  <r>
    <x v="0"/>
  </r>
  <r>
    <x v="1"/>
  </r>
  <r>
    <x v="1"/>
  </r>
  <r>
    <x v="14"/>
  </r>
  <r>
    <x v="0"/>
  </r>
  <r>
    <x v="8"/>
  </r>
  <r>
    <x v="7"/>
  </r>
  <r>
    <x v="1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4"/>
  </r>
  <r>
    <x v="1"/>
  </r>
  <r>
    <x v="0"/>
  </r>
  <r>
    <x v="1"/>
  </r>
  <r>
    <x v="1"/>
  </r>
  <r>
    <x v="1"/>
  </r>
  <r>
    <x v="7"/>
  </r>
  <r>
    <x v="8"/>
  </r>
  <r>
    <x v="7"/>
  </r>
  <r>
    <x v="0"/>
  </r>
  <r>
    <x v="14"/>
  </r>
  <r>
    <x v="0"/>
  </r>
  <r>
    <x v="1"/>
  </r>
  <r>
    <x v="0"/>
  </r>
  <r>
    <x v="0"/>
  </r>
  <r>
    <x v="0"/>
  </r>
  <r>
    <x v="14"/>
  </r>
  <r>
    <x v="8"/>
  </r>
  <r>
    <x v="8"/>
  </r>
  <r>
    <x v="9"/>
  </r>
  <r>
    <x v="9"/>
  </r>
  <r>
    <x v="12"/>
  </r>
  <r>
    <x v="15"/>
  </r>
  <r>
    <x v="15"/>
  </r>
  <r>
    <x v="16"/>
  </r>
  <r>
    <x v="17"/>
  </r>
  <r>
    <x v="15"/>
  </r>
  <r>
    <x v="10"/>
  </r>
  <r>
    <x v="12"/>
  </r>
  <r>
    <x v="13"/>
  </r>
  <r>
    <x v="18"/>
  </r>
  <r>
    <x v="19"/>
  </r>
  <r>
    <x v="13"/>
  </r>
  <r>
    <x v="17"/>
  </r>
  <r>
    <x v="9"/>
  </r>
  <r>
    <x v="17"/>
  </r>
  <r>
    <x v="11"/>
  </r>
  <r>
    <x v="9"/>
  </r>
  <r>
    <x v="11"/>
  </r>
  <r>
    <x v="6"/>
  </r>
  <r>
    <x v="3"/>
  </r>
  <r>
    <x v="7"/>
  </r>
  <r>
    <x v="14"/>
  </r>
  <r>
    <x v="0"/>
  </r>
  <r>
    <x v="14"/>
  </r>
  <r>
    <x v="0"/>
  </r>
  <r>
    <x v="8"/>
  </r>
  <r>
    <x v="0"/>
  </r>
  <r>
    <x v="8"/>
  </r>
  <r>
    <x v="6"/>
  </r>
  <r>
    <x v="2"/>
  </r>
  <r>
    <x v="4"/>
  </r>
  <r>
    <x v="3"/>
  </r>
  <r>
    <x v="2"/>
  </r>
  <r>
    <x v="2"/>
  </r>
  <r>
    <x v="4"/>
  </r>
  <r>
    <x v="2"/>
  </r>
  <r>
    <x v="8"/>
  </r>
  <r>
    <x v="8"/>
  </r>
  <r>
    <x v="8"/>
  </r>
  <r>
    <x v="5"/>
  </r>
  <r>
    <x v="5"/>
  </r>
  <r>
    <x v="7"/>
  </r>
  <r>
    <x v="7"/>
  </r>
  <r>
    <x v="6"/>
  </r>
  <r>
    <x v="6"/>
  </r>
  <r>
    <x v="3"/>
  </r>
  <r>
    <x v="12"/>
  </r>
  <r>
    <x v="9"/>
  </r>
  <r>
    <x v="11"/>
  </r>
  <r>
    <x v="4"/>
  </r>
  <r>
    <x v="11"/>
  </r>
  <r>
    <x v="13"/>
  </r>
  <r>
    <x v="4"/>
  </r>
  <r>
    <x v="3"/>
  </r>
  <r>
    <x v="2"/>
  </r>
  <r>
    <x v="4"/>
  </r>
  <r>
    <x v="5"/>
  </r>
  <r>
    <x v="7"/>
  </r>
  <r>
    <x v="14"/>
  </r>
  <r>
    <x v="1"/>
  </r>
  <r>
    <x v="0"/>
  </r>
  <r>
    <x v="0"/>
  </r>
  <r>
    <x v="14"/>
  </r>
  <r>
    <x v="14"/>
  </r>
  <r>
    <x v="1"/>
  </r>
  <r>
    <x v="1"/>
  </r>
  <r>
    <x v="1"/>
  </r>
  <r>
    <x v="0"/>
  </r>
  <r>
    <x v="0"/>
  </r>
  <r>
    <x v="8"/>
  </r>
  <r>
    <x v="6"/>
  </r>
  <r>
    <x v="5"/>
  </r>
  <r>
    <x v="7"/>
  </r>
  <r>
    <x v="7"/>
  </r>
  <r>
    <x v="5"/>
  </r>
  <r>
    <x v="2"/>
  </r>
  <r>
    <x v="8"/>
  </r>
  <r>
    <x v="5"/>
  </r>
  <r>
    <x v="0"/>
  </r>
  <r>
    <x v="0"/>
  </r>
  <r>
    <x v="0"/>
  </r>
  <r>
    <x v="7"/>
  </r>
  <r>
    <x v="7"/>
  </r>
  <r>
    <x v="1"/>
  </r>
  <r>
    <x v="0"/>
  </r>
  <r>
    <x v="1"/>
  </r>
  <r>
    <x v="0"/>
  </r>
  <r>
    <x v="0"/>
  </r>
  <r>
    <x v="0"/>
  </r>
  <r>
    <x v="1"/>
  </r>
  <r>
    <x v="1"/>
  </r>
  <r>
    <x v="5"/>
  </r>
  <r>
    <x v="14"/>
  </r>
  <r>
    <x v="7"/>
  </r>
  <r>
    <x v="7"/>
  </r>
  <r>
    <x v="2"/>
  </r>
  <r>
    <x v="9"/>
  </r>
  <r>
    <x v="17"/>
  </r>
  <r>
    <x v="12"/>
  </r>
  <r>
    <x v="3"/>
  </r>
  <r>
    <x v="12"/>
  </r>
  <r>
    <x v="12"/>
  </r>
  <r>
    <x v="18"/>
  </r>
  <r>
    <x v="9"/>
  </r>
  <r>
    <x v="8"/>
  </r>
  <r>
    <x v="6"/>
  </r>
  <r>
    <x v="0"/>
  </r>
  <r>
    <x v="1"/>
  </r>
  <r>
    <x v="7"/>
  </r>
  <r>
    <x v="14"/>
  </r>
  <r>
    <x v="1"/>
  </r>
  <r>
    <x v="1"/>
  </r>
  <r>
    <x v="14"/>
  </r>
  <r>
    <x v="8"/>
  </r>
  <r>
    <x v="7"/>
  </r>
  <r>
    <x v="0"/>
  </r>
  <r>
    <x v="5"/>
  </r>
  <r>
    <x v="6"/>
  </r>
  <r>
    <x v="9"/>
  </r>
  <r>
    <x v="10"/>
  </r>
  <r>
    <x v="17"/>
  </r>
  <r>
    <x v="11"/>
  </r>
  <r>
    <x v="12"/>
  </r>
  <r>
    <x v="4"/>
  </r>
  <r>
    <x v="9"/>
  </r>
  <r>
    <x v="9"/>
  </r>
  <r>
    <x v="4"/>
  </r>
  <r>
    <x v="3"/>
  </r>
  <r>
    <x v="9"/>
  </r>
  <r>
    <x v="11"/>
  </r>
  <r>
    <x v="4"/>
  </r>
  <r>
    <x v="11"/>
  </r>
  <r>
    <x v="11"/>
  </r>
  <r>
    <x v="11"/>
  </r>
  <r>
    <x v="4"/>
  </r>
  <r>
    <x v="6"/>
  </r>
  <r>
    <x v="3"/>
  </r>
  <r>
    <x v="3"/>
  </r>
  <r>
    <x v="4"/>
  </r>
  <r>
    <x v="4"/>
  </r>
  <r>
    <x v="2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000">
  <r>
    <x v="0"/>
    <x v="0"/>
  </r>
  <r>
    <x v="1"/>
    <x v="0"/>
  </r>
  <r>
    <x v="1"/>
    <x v="0"/>
  </r>
  <r>
    <x v="0"/>
    <x v="0"/>
  </r>
  <r>
    <x v="0"/>
    <x v="0"/>
  </r>
  <r>
    <x v="2"/>
    <x v="1"/>
  </r>
  <r>
    <x v="1"/>
    <x v="0"/>
  </r>
  <r>
    <x v="2"/>
    <x v="0"/>
  </r>
  <r>
    <x v="3"/>
    <x v="0"/>
  </r>
  <r>
    <x v="4"/>
    <x v="0"/>
  </r>
  <r>
    <x v="5"/>
    <x v="2"/>
  </r>
  <r>
    <x v="6"/>
    <x v="3"/>
  </r>
  <r>
    <x v="7"/>
    <x v="3"/>
  </r>
  <r>
    <x v="8"/>
    <x v="4"/>
  </r>
  <r>
    <x v="8"/>
    <x v="3"/>
  </r>
  <r>
    <x v="9"/>
    <x v="4"/>
  </r>
  <r>
    <x v="7"/>
    <x v="4"/>
  </r>
  <r>
    <x v="3"/>
    <x v="3"/>
  </r>
  <r>
    <x v="7"/>
    <x v="2"/>
  </r>
  <r>
    <x v="7"/>
    <x v="2"/>
  </r>
  <r>
    <x v="10"/>
    <x v="2"/>
  </r>
  <r>
    <x v="10"/>
    <x v="5"/>
  </r>
  <r>
    <x v="10"/>
    <x v="6"/>
  </r>
  <r>
    <x v="3"/>
    <x v="4"/>
  </r>
  <r>
    <x v="8"/>
    <x v="4"/>
  </r>
  <r>
    <x v="9"/>
    <x v="2"/>
  </r>
  <r>
    <x v="7"/>
    <x v="3"/>
  </r>
  <r>
    <x v="8"/>
    <x v="5"/>
  </r>
  <r>
    <x v="3"/>
    <x v="5"/>
  </r>
  <r>
    <x v="7"/>
    <x v="4"/>
  </r>
  <r>
    <x v="10"/>
    <x v="5"/>
  </r>
  <r>
    <x v="10"/>
    <x v="6"/>
  </r>
  <r>
    <x v="3"/>
    <x v="6"/>
  </r>
  <r>
    <x v="4"/>
    <x v="6"/>
  </r>
  <r>
    <x v="6"/>
    <x v="2"/>
  </r>
  <r>
    <x v="6"/>
    <x v="4"/>
  </r>
  <r>
    <x v="4"/>
    <x v="7"/>
  </r>
  <r>
    <x v="3"/>
    <x v="5"/>
  </r>
  <r>
    <x v="6"/>
    <x v="8"/>
  </r>
  <r>
    <x v="6"/>
    <x v="8"/>
  </r>
  <r>
    <x v="6"/>
    <x v="5"/>
  </r>
  <r>
    <x v="6"/>
    <x v="9"/>
  </r>
  <r>
    <x v="0"/>
    <x v="10"/>
  </r>
  <r>
    <x v="3"/>
    <x v="11"/>
  </r>
  <r>
    <x v="11"/>
    <x v="9"/>
  </r>
  <r>
    <x v="12"/>
    <x v="4"/>
  </r>
  <r>
    <x v="11"/>
    <x v="8"/>
  </r>
  <r>
    <x v="13"/>
    <x v="11"/>
  </r>
  <r>
    <x v="3"/>
    <x v="12"/>
  </r>
  <r>
    <x v="14"/>
    <x v="13"/>
  </r>
  <r>
    <x v="14"/>
    <x v="3"/>
  </r>
  <r>
    <x v="15"/>
    <x v="13"/>
  </r>
  <r>
    <x v="14"/>
    <x v="5"/>
  </r>
  <r>
    <x v="16"/>
    <x v="3"/>
  </r>
  <r>
    <x v="14"/>
    <x v="13"/>
  </r>
  <r>
    <x v="17"/>
    <x v="2"/>
  </r>
  <r>
    <x v="18"/>
    <x v="9"/>
  </r>
  <r>
    <x v="12"/>
    <x v="4"/>
  </r>
  <r>
    <x v="3"/>
    <x v="3"/>
  </r>
  <r>
    <x v="19"/>
    <x v="3"/>
  </r>
  <r>
    <x v="19"/>
    <x v="2"/>
  </r>
  <r>
    <x v="19"/>
    <x v="2"/>
  </r>
  <r>
    <x v="11"/>
    <x v="6"/>
  </r>
  <r>
    <x v="2"/>
    <x v="14"/>
  </r>
  <r>
    <x v="2"/>
    <x v="0"/>
  </r>
  <r>
    <x v="3"/>
    <x v="14"/>
  </r>
  <r>
    <x v="13"/>
    <x v="7"/>
  </r>
  <r>
    <x v="20"/>
    <x v="7"/>
  </r>
  <r>
    <x v="12"/>
    <x v="14"/>
  </r>
  <r>
    <x v="3"/>
    <x v="14"/>
  </r>
  <r>
    <x v="18"/>
    <x v="14"/>
  </r>
  <r>
    <x v="20"/>
    <x v="7"/>
  </r>
  <r>
    <x v="18"/>
    <x v="1"/>
  </r>
  <r>
    <x v="20"/>
    <x v="14"/>
  </r>
  <r>
    <x v="20"/>
    <x v="14"/>
  </r>
  <r>
    <x v="20"/>
    <x v="7"/>
  </r>
  <r>
    <x v="20"/>
    <x v="8"/>
  </r>
  <r>
    <x v="20"/>
    <x v="6"/>
  </r>
  <r>
    <x v="14"/>
    <x v="9"/>
  </r>
  <r>
    <x v="12"/>
    <x v="4"/>
  </r>
  <r>
    <x v="11"/>
    <x v="8"/>
  </r>
  <r>
    <x v="11"/>
    <x v="5"/>
  </r>
  <r>
    <x v="2"/>
    <x v="6"/>
  </r>
  <r>
    <x v="1"/>
    <x v="2"/>
  </r>
  <r>
    <x v="0"/>
    <x v="2"/>
  </r>
  <r>
    <x v="1"/>
    <x v="6"/>
  </r>
  <r>
    <x v="2"/>
    <x v="5"/>
  </r>
  <r>
    <x v="2"/>
    <x v="14"/>
  </r>
  <r>
    <x v="2"/>
    <x v="14"/>
  </r>
  <r>
    <x v="1"/>
    <x v="0"/>
  </r>
  <r>
    <x v="2"/>
    <x v="1"/>
  </r>
  <r>
    <x v="11"/>
    <x v="1"/>
  </r>
  <r>
    <x v="2"/>
    <x v="0"/>
  </r>
  <r>
    <x v="13"/>
    <x v="1"/>
  </r>
  <r>
    <x v="13"/>
    <x v="1"/>
  </r>
  <r>
    <x v="11"/>
    <x v="6"/>
  </r>
  <r>
    <x v="11"/>
    <x v="8"/>
  </r>
  <r>
    <x v="13"/>
    <x v="6"/>
  </r>
  <r>
    <x v="18"/>
    <x v="5"/>
  </r>
  <r>
    <x v="18"/>
    <x v="4"/>
  </r>
  <r>
    <x v="13"/>
    <x v="9"/>
  </r>
  <r>
    <x v="13"/>
    <x v="9"/>
  </r>
  <r>
    <x v="11"/>
    <x v="9"/>
  </r>
  <r>
    <x v="11"/>
    <x v="9"/>
  </r>
  <r>
    <x v="2"/>
    <x v="4"/>
  </r>
  <r>
    <x v="0"/>
    <x v="5"/>
  </r>
  <r>
    <x v="0"/>
    <x v="5"/>
  </r>
  <r>
    <x v="21"/>
    <x v="1"/>
  </r>
  <r>
    <x v="11"/>
    <x v="5"/>
  </r>
  <r>
    <x v="19"/>
    <x v="7"/>
  </r>
  <r>
    <x v="2"/>
    <x v="14"/>
  </r>
  <r>
    <x v="11"/>
    <x v="8"/>
  </r>
  <r>
    <x v="13"/>
    <x v="5"/>
  </r>
  <r>
    <x v="13"/>
    <x v="7"/>
  </r>
  <r>
    <x v="2"/>
    <x v="0"/>
  </r>
  <r>
    <x v="19"/>
    <x v="0"/>
  </r>
  <r>
    <x v="11"/>
    <x v="0"/>
  </r>
  <r>
    <x v="11"/>
    <x v="0"/>
  </r>
  <r>
    <x v="13"/>
    <x v="1"/>
  </r>
  <r>
    <x v="18"/>
    <x v="1"/>
  </r>
  <r>
    <x v="17"/>
    <x v="14"/>
  </r>
  <r>
    <x v="11"/>
    <x v="0"/>
  </r>
  <r>
    <x v="11"/>
    <x v="0"/>
  </r>
  <r>
    <x v="19"/>
    <x v="0"/>
  </r>
  <r>
    <x v="2"/>
    <x v="0"/>
  </r>
  <r>
    <x v="2"/>
    <x v="1"/>
  </r>
  <r>
    <x v="0"/>
    <x v="0"/>
  </r>
  <r>
    <x v="1"/>
    <x v="14"/>
  </r>
  <r>
    <x v="1"/>
    <x v="8"/>
  </r>
  <r>
    <x v="1"/>
    <x v="0"/>
  </r>
  <r>
    <x v="2"/>
    <x v="8"/>
  </r>
  <r>
    <x v="11"/>
    <x v="8"/>
  </r>
  <r>
    <x v="11"/>
    <x v="7"/>
  </r>
  <r>
    <x v="2"/>
    <x v="1"/>
  </r>
  <r>
    <x v="12"/>
    <x v="8"/>
  </r>
  <r>
    <x v="12"/>
    <x v="6"/>
  </r>
  <r>
    <x v="12"/>
    <x v="3"/>
  </r>
  <r>
    <x v="13"/>
    <x v="5"/>
  </r>
  <r>
    <x v="13"/>
    <x v="5"/>
  </r>
  <r>
    <x v="13"/>
    <x v="6"/>
  </r>
  <r>
    <x v="13"/>
    <x v="6"/>
  </r>
  <r>
    <x v="12"/>
    <x v="7"/>
  </r>
  <r>
    <x v="1"/>
    <x v="0"/>
  </r>
  <r>
    <x v="2"/>
    <x v="0"/>
  </r>
  <r>
    <x v="12"/>
    <x v="7"/>
  </r>
  <r>
    <x v="13"/>
    <x v="2"/>
  </r>
  <r>
    <x v="18"/>
    <x v="4"/>
  </r>
  <r>
    <x v="13"/>
    <x v="9"/>
  </r>
  <r>
    <x v="13"/>
    <x v="6"/>
  </r>
  <r>
    <x v="13"/>
    <x v="2"/>
  </r>
  <r>
    <x v="18"/>
    <x v="3"/>
  </r>
  <r>
    <x v="13"/>
    <x v="2"/>
  </r>
  <r>
    <x v="12"/>
    <x v="8"/>
  </r>
  <r>
    <x v="12"/>
    <x v="8"/>
  </r>
  <r>
    <x v="2"/>
    <x v="0"/>
  </r>
  <r>
    <x v="11"/>
    <x v="1"/>
  </r>
  <r>
    <x v="13"/>
    <x v="1"/>
  </r>
  <r>
    <x v="12"/>
    <x v="14"/>
  </r>
  <r>
    <x v="13"/>
    <x v="7"/>
  </r>
  <r>
    <x v="13"/>
    <x v="8"/>
  </r>
  <r>
    <x v="13"/>
    <x v="8"/>
  </r>
  <r>
    <x v="13"/>
    <x v="8"/>
  </r>
  <r>
    <x v="12"/>
    <x v="1"/>
  </r>
  <r>
    <x v="19"/>
    <x v="0"/>
  </r>
  <r>
    <x v="13"/>
    <x v="8"/>
  </r>
  <r>
    <x v="13"/>
    <x v="8"/>
  </r>
  <r>
    <x v="17"/>
    <x v="8"/>
  </r>
  <r>
    <x v="17"/>
    <x v="8"/>
  </r>
  <r>
    <x v="18"/>
    <x v="14"/>
  </r>
  <r>
    <x v="18"/>
    <x v="14"/>
  </r>
  <r>
    <x v="18"/>
    <x v="14"/>
  </r>
  <r>
    <x v="13"/>
    <x v="8"/>
  </r>
  <r>
    <x v="18"/>
    <x v="13"/>
  </r>
  <r>
    <x v="18"/>
    <x v="11"/>
  </r>
  <r>
    <x v="18"/>
    <x v="9"/>
  </r>
  <r>
    <x v="17"/>
    <x v="15"/>
  </r>
  <r>
    <x v="17"/>
    <x v="10"/>
  </r>
  <r>
    <x v="14"/>
    <x v="10"/>
  </r>
  <r>
    <x v="16"/>
    <x v="16"/>
  </r>
  <r>
    <x v="16"/>
    <x v="4"/>
  </r>
  <r>
    <x v="16"/>
    <x v="2"/>
  </r>
  <r>
    <x v="16"/>
    <x v="2"/>
  </r>
  <r>
    <x v="15"/>
    <x v="11"/>
  </r>
  <r>
    <x v="15"/>
    <x v="13"/>
  </r>
  <r>
    <x v="22"/>
    <x v="10"/>
  </r>
  <r>
    <x v="23"/>
    <x v="13"/>
  </r>
  <r>
    <x v="22"/>
    <x v="17"/>
  </r>
  <r>
    <x v="22"/>
    <x v="17"/>
  </r>
  <r>
    <x v="23"/>
    <x v="12"/>
  </r>
  <r>
    <x v="24"/>
    <x v="5"/>
  </r>
  <r>
    <x v="24"/>
    <x v="5"/>
  </r>
  <r>
    <x v="24"/>
    <x v="3"/>
  </r>
  <r>
    <x v="24"/>
    <x v="5"/>
  </r>
  <r>
    <x v="24"/>
    <x v="3"/>
  </r>
  <r>
    <x v="23"/>
    <x v="18"/>
  </r>
  <r>
    <x v="15"/>
    <x v="13"/>
  </r>
  <r>
    <x v="16"/>
    <x v="18"/>
  </r>
  <r>
    <x v="14"/>
    <x v="10"/>
  </r>
  <r>
    <x v="17"/>
    <x v="10"/>
  </r>
  <r>
    <x v="18"/>
    <x v="17"/>
  </r>
  <r>
    <x v="13"/>
    <x v="11"/>
  </r>
  <r>
    <x v="17"/>
    <x v="10"/>
  </r>
  <r>
    <x v="20"/>
    <x v="13"/>
  </r>
  <r>
    <x v="14"/>
    <x v="9"/>
  </r>
  <r>
    <x v="14"/>
    <x v="9"/>
  </r>
  <r>
    <x v="16"/>
    <x v="2"/>
  </r>
  <r>
    <x v="15"/>
    <x v="12"/>
  </r>
  <r>
    <x v="16"/>
    <x v="4"/>
  </r>
  <r>
    <x v="14"/>
    <x v="5"/>
  </r>
  <r>
    <x v="16"/>
    <x v="3"/>
  </r>
  <r>
    <x v="16"/>
    <x v="3"/>
  </r>
  <r>
    <x v="16"/>
    <x v="6"/>
  </r>
  <r>
    <x v="16"/>
    <x v="6"/>
  </r>
  <r>
    <x v="16"/>
    <x v="7"/>
  </r>
  <r>
    <x v="15"/>
    <x v="2"/>
  </r>
  <r>
    <x v="16"/>
    <x v="3"/>
  </r>
  <r>
    <x v="16"/>
    <x v="6"/>
  </r>
  <r>
    <x v="16"/>
    <x v="3"/>
  </r>
  <r>
    <x v="16"/>
    <x v="2"/>
  </r>
  <r>
    <x v="16"/>
    <x v="4"/>
  </r>
  <r>
    <x v="14"/>
    <x v="3"/>
  </r>
  <r>
    <x v="18"/>
    <x v="3"/>
  </r>
  <r>
    <x v="18"/>
    <x v="3"/>
  </r>
  <r>
    <x v="13"/>
    <x v="6"/>
  </r>
  <r>
    <x v="13"/>
    <x v="6"/>
  </r>
  <r>
    <x v="12"/>
    <x v="7"/>
  </r>
  <r>
    <x v="11"/>
    <x v="14"/>
  </r>
  <r>
    <x v="13"/>
    <x v="6"/>
  </r>
  <r>
    <x v="17"/>
    <x v="8"/>
  </r>
  <r>
    <x v="17"/>
    <x v="8"/>
  </r>
  <r>
    <x v="14"/>
    <x v="5"/>
  </r>
  <r>
    <x v="20"/>
    <x v="8"/>
  </r>
  <r>
    <x v="20"/>
    <x v="8"/>
  </r>
  <r>
    <x v="17"/>
    <x v="14"/>
  </r>
  <r>
    <x v="20"/>
    <x v="8"/>
  </r>
  <r>
    <x v="20"/>
    <x v="5"/>
  </r>
  <r>
    <x v="18"/>
    <x v="7"/>
  </r>
  <r>
    <x v="18"/>
    <x v="7"/>
  </r>
  <r>
    <x v="11"/>
    <x v="0"/>
  </r>
  <r>
    <x v="12"/>
    <x v="1"/>
  </r>
  <r>
    <x v="13"/>
    <x v="8"/>
  </r>
  <r>
    <x v="12"/>
    <x v="8"/>
  </r>
  <r>
    <x v="12"/>
    <x v="7"/>
  </r>
  <r>
    <x v="11"/>
    <x v="14"/>
  </r>
  <r>
    <x v="11"/>
    <x v="1"/>
  </r>
  <r>
    <x v="11"/>
    <x v="1"/>
  </r>
  <r>
    <x v="13"/>
    <x v="1"/>
  </r>
  <r>
    <x v="20"/>
    <x v="6"/>
  </r>
  <r>
    <x v="20"/>
    <x v="6"/>
  </r>
  <r>
    <x v="18"/>
    <x v="14"/>
  </r>
  <r>
    <x v="11"/>
    <x v="0"/>
  </r>
  <r>
    <x v="20"/>
    <x v="5"/>
  </r>
  <r>
    <x v="13"/>
    <x v="1"/>
  </r>
  <r>
    <x v="18"/>
    <x v="14"/>
  </r>
  <r>
    <x v="13"/>
    <x v="1"/>
  </r>
  <r>
    <x v="13"/>
    <x v="1"/>
  </r>
  <r>
    <x v="18"/>
    <x v="14"/>
  </r>
  <r>
    <x v="20"/>
    <x v="7"/>
  </r>
  <r>
    <x v="20"/>
    <x v="8"/>
  </r>
  <r>
    <x v="20"/>
    <x v="7"/>
  </r>
  <r>
    <x v="20"/>
    <x v="7"/>
  </r>
  <r>
    <x v="17"/>
    <x v="8"/>
  </r>
  <r>
    <x v="14"/>
    <x v="9"/>
  </r>
  <r>
    <x v="18"/>
    <x v="6"/>
  </r>
  <r>
    <x v="18"/>
    <x v="13"/>
  </r>
  <r>
    <x v="20"/>
    <x v="19"/>
  </r>
  <r>
    <x v="13"/>
    <x v="11"/>
  </r>
  <r>
    <x v="18"/>
    <x v="9"/>
  </r>
  <r>
    <x v="17"/>
    <x v="12"/>
  </r>
  <r>
    <x v="13"/>
    <x v="9"/>
  </r>
  <r>
    <x v="18"/>
    <x v="11"/>
  </r>
  <r>
    <x v="20"/>
    <x v="18"/>
  </r>
  <r>
    <x v="20"/>
    <x v="12"/>
  </r>
  <r>
    <x v="14"/>
    <x v="9"/>
  </r>
  <r>
    <x v="14"/>
    <x v="9"/>
  </r>
  <r>
    <x v="16"/>
    <x v="10"/>
  </r>
  <r>
    <x v="15"/>
    <x v="12"/>
  </r>
  <r>
    <x v="16"/>
    <x v="3"/>
  </r>
  <r>
    <x v="16"/>
    <x v="3"/>
  </r>
  <r>
    <x v="16"/>
    <x v="11"/>
  </r>
  <r>
    <x v="16"/>
    <x v="9"/>
  </r>
  <r>
    <x v="16"/>
    <x v="2"/>
  </r>
  <r>
    <x v="16"/>
    <x v="4"/>
  </r>
  <r>
    <x v="20"/>
    <x v="7"/>
  </r>
  <r>
    <x v="20"/>
    <x v="7"/>
  </r>
  <r>
    <x v="14"/>
    <x v="5"/>
  </r>
  <r>
    <x v="16"/>
    <x v="9"/>
  </r>
  <r>
    <x v="14"/>
    <x v="11"/>
  </r>
  <r>
    <x v="17"/>
    <x v="10"/>
  </r>
  <r>
    <x v="17"/>
    <x v="12"/>
  </r>
  <r>
    <x v="13"/>
    <x v="10"/>
  </r>
  <r>
    <x v="13"/>
    <x v="13"/>
  </r>
  <r>
    <x v="12"/>
    <x v="4"/>
  </r>
  <r>
    <x v="12"/>
    <x v="11"/>
  </r>
  <r>
    <x v="18"/>
    <x v="3"/>
  </r>
  <r>
    <x v="18"/>
    <x v="9"/>
  </r>
  <r>
    <x v="20"/>
    <x v="2"/>
  </r>
  <r>
    <x v="20"/>
    <x v="6"/>
  </r>
  <r>
    <x v="16"/>
    <x v="4"/>
  </r>
  <r>
    <x v="16"/>
    <x v="9"/>
  </r>
  <r>
    <x v="14"/>
    <x v="5"/>
  </r>
  <r>
    <x v="14"/>
    <x v="5"/>
  </r>
  <r>
    <x v="16"/>
    <x v="8"/>
  </r>
  <r>
    <x v="16"/>
    <x v="7"/>
  </r>
  <r>
    <x v="14"/>
    <x v="14"/>
  </r>
  <r>
    <x v="14"/>
    <x v="1"/>
  </r>
  <r>
    <x v="18"/>
    <x v="0"/>
  </r>
  <r>
    <x v="16"/>
    <x v="8"/>
  </r>
  <r>
    <x v="17"/>
    <x v="0"/>
  </r>
  <r>
    <x v="20"/>
    <x v="7"/>
  </r>
  <r>
    <x v="18"/>
    <x v="5"/>
  </r>
  <r>
    <x v="17"/>
    <x v="3"/>
  </r>
  <r>
    <x v="13"/>
    <x v="2"/>
  </r>
  <r>
    <x v="13"/>
    <x v="13"/>
  </r>
  <r>
    <x v="12"/>
    <x v="3"/>
  </r>
  <r>
    <x v="19"/>
    <x v="8"/>
  </r>
  <r>
    <x v="19"/>
    <x v="14"/>
  </r>
  <r>
    <x v="11"/>
    <x v="8"/>
  </r>
  <r>
    <x v="2"/>
    <x v="0"/>
  </r>
  <r>
    <x v="13"/>
    <x v="1"/>
  </r>
  <r>
    <x v="19"/>
    <x v="0"/>
  </r>
  <r>
    <x v="11"/>
    <x v="0"/>
  </r>
  <r>
    <x v="11"/>
    <x v="0"/>
  </r>
  <r>
    <x v="19"/>
    <x v="0"/>
  </r>
  <r>
    <x v="19"/>
    <x v="0"/>
  </r>
  <r>
    <x v="13"/>
    <x v="1"/>
  </r>
  <r>
    <x v="13"/>
    <x v="1"/>
  </r>
  <r>
    <x v="11"/>
    <x v="0"/>
  </r>
  <r>
    <x v="11"/>
    <x v="0"/>
  </r>
  <r>
    <x v="11"/>
    <x v="0"/>
  </r>
  <r>
    <x v="17"/>
    <x v="14"/>
  </r>
  <r>
    <x v="12"/>
    <x v="0"/>
  </r>
  <r>
    <x v="20"/>
    <x v="7"/>
  </r>
  <r>
    <x v="18"/>
    <x v="7"/>
  </r>
  <r>
    <x v="13"/>
    <x v="8"/>
  </r>
  <r>
    <x v="13"/>
    <x v="6"/>
  </r>
  <r>
    <x v="11"/>
    <x v="6"/>
  </r>
  <r>
    <x v="2"/>
    <x v="4"/>
  </r>
  <r>
    <x v="0"/>
    <x v="3"/>
  </r>
  <r>
    <x v="21"/>
    <x v="5"/>
  </r>
  <r>
    <x v="6"/>
    <x v="5"/>
  </r>
  <r>
    <x v="25"/>
    <x v="3"/>
  </r>
  <r>
    <x v="0"/>
    <x v="2"/>
  </r>
  <r>
    <x v="25"/>
    <x v="2"/>
  </r>
  <r>
    <x v="25"/>
    <x v="2"/>
  </r>
  <r>
    <x v="25"/>
    <x v="6"/>
  </r>
  <r>
    <x v="21"/>
    <x v="14"/>
  </r>
  <r>
    <x v="0"/>
    <x v="3"/>
  </r>
  <r>
    <x v="25"/>
    <x v="0"/>
  </r>
  <r>
    <x v="1"/>
    <x v="7"/>
  </r>
  <r>
    <x v="0"/>
    <x v="1"/>
  </r>
  <r>
    <x v="1"/>
    <x v="0"/>
  </r>
  <r>
    <x v="2"/>
    <x v="8"/>
  </r>
  <r>
    <x v="2"/>
    <x v="8"/>
  </r>
  <r>
    <x v="2"/>
    <x v="8"/>
  </r>
  <r>
    <x v="12"/>
    <x v="4"/>
  </r>
  <r>
    <x v="12"/>
    <x v="3"/>
  </r>
  <r>
    <x v="12"/>
    <x v="2"/>
  </r>
  <r>
    <x v="12"/>
    <x v="3"/>
  </r>
  <r>
    <x v="11"/>
    <x v="2"/>
  </r>
  <r>
    <x v="12"/>
    <x v="3"/>
  </r>
  <r>
    <x v="11"/>
    <x v="4"/>
  </r>
  <r>
    <x v="1"/>
    <x v="2"/>
  </r>
  <r>
    <x v="19"/>
    <x v="2"/>
  </r>
  <r>
    <x v="11"/>
    <x v="6"/>
  </r>
  <r>
    <x v="12"/>
    <x v="2"/>
  </r>
  <r>
    <x v="12"/>
    <x v="8"/>
  </r>
  <r>
    <x v="13"/>
    <x v="7"/>
  </r>
  <r>
    <x v="13"/>
    <x v="8"/>
  </r>
  <r>
    <x v="13"/>
    <x v="8"/>
  </r>
  <r>
    <x v="12"/>
    <x v="7"/>
  </r>
  <r>
    <x v="11"/>
    <x v="14"/>
  </r>
  <r>
    <x v="13"/>
    <x v="6"/>
  </r>
  <r>
    <x v="13"/>
    <x v="5"/>
  </r>
  <r>
    <x v="17"/>
    <x v="2"/>
  </r>
  <r>
    <x v="18"/>
    <x v="5"/>
  </r>
  <r>
    <x v="13"/>
    <x v="7"/>
  </r>
  <r>
    <x v="13"/>
    <x v="8"/>
  </r>
  <r>
    <x v="18"/>
    <x v="5"/>
  </r>
  <r>
    <x v="18"/>
    <x v="7"/>
  </r>
  <r>
    <x v="20"/>
    <x v="6"/>
  </r>
  <r>
    <x v="20"/>
    <x v="6"/>
  </r>
  <r>
    <x v="20"/>
    <x v="2"/>
  </r>
  <r>
    <x v="20"/>
    <x v="5"/>
  </r>
  <r>
    <x v="13"/>
    <x v="7"/>
  </r>
  <r>
    <x v="13"/>
    <x v="7"/>
  </r>
  <r>
    <x v="12"/>
    <x v="14"/>
  </r>
  <r>
    <x v="12"/>
    <x v="8"/>
  </r>
  <r>
    <x v="12"/>
    <x v="8"/>
  </r>
  <r>
    <x v="13"/>
    <x v="5"/>
  </r>
  <r>
    <x v="17"/>
    <x v="2"/>
  </r>
  <r>
    <x v="18"/>
    <x v="5"/>
  </r>
  <r>
    <x v="20"/>
    <x v="5"/>
  </r>
  <r>
    <x v="20"/>
    <x v="5"/>
  </r>
  <r>
    <x v="16"/>
    <x v="2"/>
  </r>
  <r>
    <x v="14"/>
    <x v="3"/>
  </r>
  <r>
    <x v="18"/>
    <x v="9"/>
  </r>
  <r>
    <x v="13"/>
    <x v="6"/>
  </r>
  <r>
    <x v="11"/>
    <x v="8"/>
  </r>
  <r>
    <x v="11"/>
    <x v="8"/>
  </r>
  <r>
    <x v="11"/>
    <x v="5"/>
  </r>
  <r>
    <x v="11"/>
    <x v="5"/>
  </r>
  <r>
    <x v="11"/>
    <x v="8"/>
  </r>
  <r>
    <x v="11"/>
    <x v="7"/>
  </r>
  <r>
    <x v="1"/>
    <x v="0"/>
  </r>
  <r>
    <x v="19"/>
    <x v="14"/>
  </r>
  <r>
    <x v="2"/>
    <x v="1"/>
  </r>
  <r>
    <x v="1"/>
    <x v="0"/>
  </r>
  <r>
    <x v="1"/>
    <x v="0"/>
  </r>
  <r>
    <x v="11"/>
    <x v="7"/>
  </r>
  <r>
    <x v="11"/>
    <x v="7"/>
  </r>
  <r>
    <x v="11"/>
    <x v="7"/>
  </r>
  <r>
    <x v="2"/>
    <x v="1"/>
  </r>
  <r>
    <x v="2"/>
    <x v="1"/>
  </r>
  <r>
    <x v="2"/>
    <x v="14"/>
  </r>
  <r>
    <x v="2"/>
    <x v="14"/>
  </r>
  <r>
    <x v="2"/>
    <x v="14"/>
  </r>
  <r>
    <x v="1"/>
    <x v="7"/>
  </r>
  <r>
    <x v="25"/>
    <x v="1"/>
  </r>
  <r>
    <x v="21"/>
    <x v="1"/>
  </r>
  <r>
    <x v="10"/>
    <x v="3"/>
  </r>
  <r>
    <x v="10"/>
    <x v="2"/>
  </r>
  <r>
    <x v="10"/>
    <x v="3"/>
  </r>
  <r>
    <x v="5"/>
    <x v="13"/>
  </r>
  <r>
    <x v="6"/>
    <x v="9"/>
  </r>
  <r>
    <x v="21"/>
    <x v="3"/>
  </r>
  <r>
    <x v="0"/>
    <x v="12"/>
  </r>
  <r>
    <x v="25"/>
    <x v="4"/>
  </r>
  <r>
    <x v="0"/>
    <x v="12"/>
  </r>
  <r>
    <x v="25"/>
    <x v="8"/>
  </r>
  <r>
    <x v="1"/>
    <x v="17"/>
  </r>
  <r>
    <x v="11"/>
    <x v="13"/>
  </r>
  <r>
    <x v="1"/>
    <x v="0"/>
  </r>
  <r>
    <x v="1"/>
    <x v="0"/>
  </r>
  <r>
    <x v="2"/>
    <x v="8"/>
  </r>
  <r>
    <x v="2"/>
    <x v="8"/>
  </r>
  <r>
    <x v="11"/>
    <x v="6"/>
  </r>
  <r>
    <x v="12"/>
    <x v="6"/>
  </r>
  <r>
    <x v="12"/>
    <x v="6"/>
  </r>
  <r>
    <x v="12"/>
    <x v="3"/>
  </r>
  <r>
    <x v="11"/>
    <x v="6"/>
  </r>
  <r>
    <x v="11"/>
    <x v="4"/>
  </r>
  <r>
    <x v="1"/>
    <x v="8"/>
  </r>
  <r>
    <x v="6"/>
    <x v="0"/>
  </r>
  <r>
    <x v="0"/>
    <x v="14"/>
  </r>
  <r>
    <x v="25"/>
    <x v="7"/>
  </r>
  <r>
    <x v="21"/>
    <x v="5"/>
  </r>
  <r>
    <x v="25"/>
    <x v="7"/>
  </r>
  <r>
    <x v="21"/>
    <x v="14"/>
  </r>
  <r>
    <x v="2"/>
    <x v="5"/>
  </r>
  <r>
    <x v="11"/>
    <x v="9"/>
  </r>
  <r>
    <x v="19"/>
    <x v="3"/>
  </r>
  <r>
    <x v="11"/>
    <x v="2"/>
  </r>
  <r>
    <x v="12"/>
    <x v="3"/>
  </r>
  <r>
    <x v="12"/>
    <x v="9"/>
  </r>
  <r>
    <x v="11"/>
    <x v="2"/>
  </r>
  <r>
    <x v="11"/>
    <x v="2"/>
  </r>
  <r>
    <x v="19"/>
    <x v="8"/>
  </r>
  <r>
    <x v="12"/>
    <x v="4"/>
  </r>
  <r>
    <x v="2"/>
    <x v="1"/>
  </r>
  <r>
    <x v="13"/>
    <x v="12"/>
  </r>
  <r>
    <x v="12"/>
    <x v="2"/>
  </r>
  <r>
    <x v="18"/>
    <x v="3"/>
  </r>
  <r>
    <x v="18"/>
    <x v="9"/>
  </r>
  <r>
    <x v="18"/>
    <x v="11"/>
  </r>
  <r>
    <x v="17"/>
    <x v="17"/>
  </r>
  <r>
    <x v="18"/>
    <x v="17"/>
  </r>
  <r>
    <x v="18"/>
    <x v="19"/>
  </r>
  <r>
    <x v="20"/>
    <x v="19"/>
  </r>
  <r>
    <x v="20"/>
    <x v="18"/>
  </r>
  <r>
    <x v="16"/>
    <x v="10"/>
  </r>
  <r>
    <x v="14"/>
    <x v="11"/>
  </r>
  <r>
    <x v="16"/>
    <x v="11"/>
  </r>
  <r>
    <x v="16"/>
    <x v="2"/>
  </r>
  <r>
    <x v="15"/>
    <x v="9"/>
  </r>
  <r>
    <x v="23"/>
    <x v="12"/>
  </r>
  <r>
    <x v="23"/>
    <x v="3"/>
  </r>
  <r>
    <x v="26"/>
    <x v="13"/>
  </r>
  <r>
    <x v="27"/>
    <x v="9"/>
  </r>
  <r>
    <x v="26"/>
    <x v="2"/>
  </r>
  <r>
    <x v="28"/>
    <x v="13"/>
  </r>
  <r>
    <x v="26"/>
    <x v="2"/>
  </r>
  <r>
    <x v="26"/>
    <x v="3"/>
  </r>
  <r>
    <x v="29"/>
    <x v="4"/>
  </r>
  <r>
    <x v="26"/>
    <x v="6"/>
  </r>
  <r>
    <x v="29"/>
    <x v="3"/>
  </r>
  <r>
    <x v="28"/>
    <x v="9"/>
  </r>
  <r>
    <x v="26"/>
    <x v="2"/>
  </r>
  <r>
    <x v="22"/>
    <x v="8"/>
  </r>
  <r>
    <x v="23"/>
    <x v="7"/>
  </r>
  <r>
    <x v="15"/>
    <x v="14"/>
  </r>
  <r>
    <x v="17"/>
    <x v="0"/>
  </r>
  <r>
    <x v="14"/>
    <x v="14"/>
  </r>
  <r>
    <x v="20"/>
    <x v="0"/>
  </r>
  <r>
    <x v="14"/>
    <x v="5"/>
  </r>
  <r>
    <x v="13"/>
    <x v="0"/>
  </r>
  <r>
    <x v="24"/>
    <x v="5"/>
  </r>
  <r>
    <x v="15"/>
    <x v="7"/>
  </r>
  <r>
    <x v="23"/>
    <x v="8"/>
  </r>
  <r>
    <x v="15"/>
    <x v="1"/>
  </r>
  <r>
    <x v="20"/>
    <x v="0"/>
  </r>
  <r>
    <x v="23"/>
    <x v="14"/>
  </r>
  <r>
    <x v="23"/>
    <x v="14"/>
  </r>
  <r>
    <x v="23"/>
    <x v="14"/>
  </r>
  <r>
    <x v="22"/>
    <x v="7"/>
  </r>
  <r>
    <x v="22"/>
    <x v="7"/>
  </r>
  <r>
    <x v="23"/>
    <x v="14"/>
  </r>
  <r>
    <x v="23"/>
    <x v="14"/>
  </r>
  <r>
    <x v="15"/>
    <x v="8"/>
  </r>
  <r>
    <x v="23"/>
    <x v="8"/>
  </r>
  <r>
    <x v="23"/>
    <x v="11"/>
  </r>
  <r>
    <x v="15"/>
    <x v="13"/>
  </r>
  <r>
    <x v="14"/>
    <x v="6"/>
  </r>
  <r>
    <x v="16"/>
    <x v="17"/>
  </r>
  <r>
    <x v="15"/>
    <x v="13"/>
  </r>
  <r>
    <x v="14"/>
    <x v="11"/>
  </r>
  <r>
    <x v="14"/>
    <x v="11"/>
  </r>
  <r>
    <x v="14"/>
    <x v="9"/>
  </r>
  <r>
    <x v="15"/>
    <x v="13"/>
  </r>
  <r>
    <x v="16"/>
    <x v="2"/>
  </r>
  <r>
    <x v="16"/>
    <x v="3"/>
  </r>
  <r>
    <x v="15"/>
    <x v="2"/>
  </r>
  <r>
    <x v="15"/>
    <x v="5"/>
  </r>
  <r>
    <x v="24"/>
    <x v="5"/>
  </r>
  <r>
    <x v="22"/>
    <x v="6"/>
  </r>
  <r>
    <x v="22"/>
    <x v="5"/>
  </r>
  <r>
    <x v="27"/>
    <x v="5"/>
  </r>
  <r>
    <x v="26"/>
    <x v="2"/>
  </r>
  <r>
    <x v="22"/>
    <x v="7"/>
  </r>
  <r>
    <x v="22"/>
    <x v="7"/>
  </r>
  <r>
    <x v="23"/>
    <x v="1"/>
  </r>
  <r>
    <x v="16"/>
    <x v="0"/>
  </r>
  <r>
    <x v="14"/>
    <x v="0"/>
  </r>
  <r>
    <x v="20"/>
    <x v="0"/>
  </r>
  <r>
    <x v="14"/>
    <x v="0"/>
  </r>
  <r>
    <x v="16"/>
    <x v="7"/>
  </r>
  <r>
    <x v="14"/>
    <x v="5"/>
  </r>
  <r>
    <x v="14"/>
    <x v="6"/>
  </r>
  <r>
    <x v="14"/>
    <x v="6"/>
  </r>
  <r>
    <x v="17"/>
    <x v="8"/>
  </r>
  <r>
    <x v="20"/>
    <x v="2"/>
  </r>
  <r>
    <x v="16"/>
    <x v="2"/>
  </r>
  <r>
    <x v="14"/>
    <x v="5"/>
  </r>
  <r>
    <x v="20"/>
    <x v="8"/>
  </r>
  <r>
    <x v="14"/>
    <x v="5"/>
  </r>
  <r>
    <x v="20"/>
    <x v="8"/>
  </r>
  <r>
    <x v="14"/>
    <x v="6"/>
  </r>
  <r>
    <x v="20"/>
    <x v="2"/>
  </r>
  <r>
    <x v="14"/>
    <x v="3"/>
  </r>
  <r>
    <x v="17"/>
    <x v="8"/>
  </r>
  <r>
    <x v="20"/>
    <x v="6"/>
  </r>
  <r>
    <x v="17"/>
    <x v="14"/>
  </r>
  <r>
    <x v="14"/>
    <x v="6"/>
  </r>
  <r>
    <x v="18"/>
    <x v="14"/>
  </r>
  <r>
    <x v="20"/>
    <x v="6"/>
  </r>
  <r>
    <x v="18"/>
    <x v="7"/>
  </r>
  <r>
    <x v="11"/>
    <x v="1"/>
  </r>
  <r>
    <x v="19"/>
    <x v="14"/>
  </r>
  <r>
    <x v="19"/>
    <x v="7"/>
  </r>
  <r>
    <x v="0"/>
    <x v="1"/>
  </r>
  <r>
    <x v="1"/>
    <x v="7"/>
  </r>
  <r>
    <x v="6"/>
    <x v="0"/>
  </r>
  <r>
    <x v="4"/>
    <x v="0"/>
  </r>
  <r>
    <x v="4"/>
    <x v="0"/>
  </r>
  <r>
    <x v="6"/>
    <x v="0"/>
  </r>
  <r>
    <x v="21"/>
    <x v="1"/>
  </r>
  <r>
    <x v="2"/>
    <x v="8"/>
  </r>
  <r>
    <x v="11"/>
    <x v="5"/>
  </r>
  <r>
    <x v="11"/>
    <x v="5"/>
  </r>
  <r>
    <x v="11"/>
    <x v="8"/>
  </r>
  <r>
    <x v="11"/>
    <x v="8"/>
  </r>
  <r>
    <x v="11"/>
    <x v="7"/>
  </r>
  <r>
    <x v="19"/>
    <x v="7"/>
  </r>
  <r>
    <x v="11"/>
    <x v="5"/>
  </r>
  <r>
    <x v="18"/>
    <x v="3"/>
  </r>
  <r>
    <x v="18"/>
    <x v="3"/>
  </r>
  <r>
    <x v="12"/>
    <x v="4"/>
  </r>
  <r>
    <x v="12"/>
    <x v="4"/>
  </r>
  <r>
    <x v="12"/>
    <x v="4"/>
  </r>
  <r>
    <x v="12"/>
    <x v="3"/>
  </r>
  <r>
    <x v="13"/>
    <x v="9"/>
  </r>
  <r>
    <x v="13"/>
    <x v="9"/>
  </r>
  <r>
    <x v="13"/>
    <x v="9"/>
  </r>
  <r>
    <x v="13"/>
    <x v="11"/>
  </r>
  <r>
    <x v="18"/>
    <x v="17"/>
  </r>
  <r>
    <x v="13"/>
    <x v="9"/>
  </r>
  <r>
    <x v="18"/>
    <x v="11"/>
  </r>
  <r>
    <x v="11"/>
    <x v="5"/>
  </r>
  <r>
    <x v="19"/>
    <x v="14"/>
  </r>
  <r>
    <x v="11"/>
    <x v="1"/>
  </r>
  <r>
    <x v="11"/>
    <x v="1"/>
  </r>
  <r>
    <x v="12"/>
    <x v="1"/>
  </r>
  <r>
    <x v="12"/>
    <x v="1"/>
  </r>
  <r>
    <x v="12"/>
    <x v="1"/>
  </r>
  <r>
    <x v="13"/>
    <x v="8"/>
  </r>
  <r>
    <x v="12"/>
    <x v="7"/>
  </r>
  <r>
    <x v="12"/>
    <x v="7"/>
  </r>
  <r>
    <x v="12"/>
    <x v="8"/>
  </r>
  <r>
    <x v="11"/>
    <x v="14"/>
  </r>
  <r>
    <x v="12"/>
    <x v="14"/>
  </r>
  <r>
    <x v="13"/>
    <x v="7"/>
  </r>
  <r>
    <x v="13"/>
    <x v="1"/>
  </r>
  <r>
    <x v="13"/>
    <x v="1"/>
  </r>
  <r>
    <x v="12"/>
    <x v="1"/>
  </r>
  <r>
    <x v="12"/>
    <x v="14"/>
  </r>
  <r>
    <x v="12"/>
    <x v="14"/>
  </r>
  <r>
    <x v="12"/>
    <x v="14"/>
  </r>
  <r>
    <x v="12"/>
    <x v="14"/>
  </r>
  <r>
    <x v="1"/>
    <x v="0"/>
  </r>
  <r>
    <x v="2"/>
    <x v="0"/>
  </r>
  <r>
    <x v="30"/>
    <x v="0"/>
  </r>
  <r>
    <x v="31"/>
    <x v="7"/>
  </r>
  <r>
    <x v="31"/>
    <x v="5"/>
  </r>
  <r>
    <x v="31"/>
    <x v="7"/>
  </r>
  <r>
    <x v="32"/>
    <x v="5"/>
  </r>
  <r>
    <x v="31"/>
    <x v="7"/>
  </r>
  <r>
    <x v="33"/>
    <x v="11"/>
  </r>
  <r>
    <x v="34"/>
    <x v="6"/>
  </r>
  <r>
    <x v="35"/>
    <x v="11"/>
  </r>
  <r>
    <x v="35"/>
    <x v="5"/>
  </r>
  <r>
    <x v="35"/>
    <x v="8"/>
  </r>
  <r>
    <x v="35"/>
    <x v="7"/>
  </r>
  <r>
    <x v="36"/>
    <x v="14"/>
  </r>
  <r>
    <x v="35"/>
    <x v="7"/>
  </r>
  <r>
    <x v="37"/>
    <x v="14"/>
  </r>
  <r>
    <x v="38"/>
    <x v="8"/>
  </r>
  <r>
    <x v="37"/>
    <x v="1"/>
  </r>
  <r>
    <x v="35"/>
    <x v="14"/>
  </r>
  <r>
    <x v="35"/>
    <x v="7"/>
  </r>
  <r>
    <x v="37"/>
    <x v="5"/>
  </r>
  <r>
    <x v="38"/>
    <x v="8"/>
  </r>
  <r>
    <x v="34"/>
    <x v="7"/>
  </r>
  <r>
    <x v="36"/>
    <x v="2"/>
  </r>
  <r>
    <x v="34"/>
    <x v="8"/>
  </r>
  <r>
    <x v="34"/>
    <x v="0"/>
  </r>
  <r>
    <x v="36"/>
    <x v="7"/>
  </r>
  <r>
    <x v="36"/>
    <x v="2"/>
  </r>
  <r>
    <x v="39"/>
    <x v="1"/>
  </r>
  <r>
    <x v="39"/>
    <x v="1"/>
  </r>
  <r>
    <x v="30"/>
    <x v="1"/>
  </r>
  <r>
    <x v="30"/>
    <x v="1"/>
  </r>
  <r>
    <x v="30"/>
    <x v="14"/>
  </r>
  <r>
    <x v="30"/>
    <x v="0"/>
  </r>
  <r>
    <x v="30"/>
    <x v="0"/>
  </r>
  <r>
    <x v="40"/>
    <x v="0"/>
  </r>
  <r>
    <x v="40"/>
    <x v="0"/>
  </r>
  <r>
    <x v="41"/>
    <x v="0"/>
  </r>
  <r>
    <x v="41"/>
    <x v="0"/>
  </r>
  <r>
    <x v="41"/>
    <x v="0"/>
  </r>
  <r>
    <x v="30"/>
    <x v="0"/>
  </r>
  <r>
    <x v="30"/>
    <x v="0"/>
  </r>
  <r>
    <x v="31"/>
    <x v="0"/>
  </r>
  <r>
    <x v="42"/>
    <x v="14"/>
  </r>
  <r>
    <x v="43"/>
    <x v="14"/>
  </r>
  <r>
    <x v="43"/>
    <x v="1"/>
  </r>
  <r>
    <x v="44"/>
    <x v="0"/>
  </r>
  <r>
    <x v="44"/>
    <x v="0"/>
  </r>
  <r>
    <x v="44"/>
    <x v="5"/>
  </r>
  <r>
    <x v="33"/>
    <x v="8"/>
  </r>
  <r>
    <x v="33"/>
    <x v="5"/>
  </r>
  <r>
    <x v="33"/>
    <x v="14"/>
  </r>
  <r>
    <x v="32"/>
    <x v="8"/>
  </r>
  <r>
    <x v="32"/>
    <x v="5"/>
  </r>
  <r>
    <x v="33"/>
    <x v="3"/>
  </r>
  <r>
    <x v="33"/>
    <x v="6"/>
  </r>
  <r>
    <x v="35"/>
    <x v="2"/>
  </r>
  <r>
    <x v="35"/>
    <x v="5"/>
  </r>
  <r>
    <x v="35"/>
    <x v="5"/>
  </r>
  <r>
    <x v="37"/>
    <x v="6"/>
  </r>
  <r>
    <x v="35"/>
    <x v="3"/>
  </r>
  <r>
    <x v="36"/>
    <x v="9"/>
  </r>
  <r>
    <x v="35"/>
    <x v="3"/>
  </r>
  <r>
    <x v="37"/>
    <x v="3"/>
  </r>
  <r>
    <x v="37"/>
    <x v="4"/>
  </r>
  <r>
    <x v="37"/>
    <x v="5"/>
  </r>
  <r>
    <x v="37"/>
    <x v="5"/>
  </r>
  <r>
    <x v="38"/>
    <x v="14"/>
  </r>
  <r>
    <x v="37"/>
    <x v="0"/>
  </r>
  <r>
    <x v="38"/>
    <x v="7"/>
  </r>
  <r>
    <x v="37"/>
    <x v="7"/>
  </r>
  <r>
    <x v="44"/>
    <x v="5"/>
  </r>
  <r>
    <x v="37"/>
    <x v="5"/>
  </r>
  <r>
    <x v="38"/>
    <x v="6"/>
  </r>
  <r>
    <x v="43"/>
    <x v="14"/>
  </r>
  <r>
    <x v="37"/>
    <x v="8"/>
  </r>
  <r>
    <x v="37"/>
    <x v="1"/>
  </r>
  <r>
    <x v="37"/>
    <x v="14"/>
  </r>
  <r>
    <x v="35"/>
    <x v="1"/>
  </r>
  <r>
    <x v="35"/>
    <x v="14"/>
  </r>
  <r>
    <x v="36"/>
    <x v="14"/>
  </r>
  <r>
    <x v="36"/>
    <x v="0"/>
  </r>
  <r>
    <x v="36"/>
    <x v="0"/>
  </r>
  <r>
    <x v="40"/>
    <x v="0"/>
  </r>
  <r>
    <x v="40"/>
    <x v="0"/>
  </r>
  <r>
    <x v="40"/>
    <x v="0"/>
  </r>
  <r>
    <x v="40"/>
    <x v="0"/>
  </r>
  <r>
    <x v="40"/>
    <x v="0"/>
  </r>
  <r>
    <x v="40"/>
    <x v="0"/>
  </r>
  <r>
    <x v="41"/>
    <x v="0"/>
  </r>
  <r>
    <x v="41"/>
    <x v="0"/>
  </r>
  <r>
    <x v="41"/>
    <x v="0"/>
  </r>
  <r>
    <x v="30"/>
    <x v="1"/>
  </r>
  <r>
    <x v="31"/>
    <x v="0"/>
  </r>
  <r>
    <x v="31"/>
    <x v="7"/>
  </r>
  <r>
    <x v="31"/>
    <x v="0"/>
  </r>
  <r>
    <x v="45"/>
    <x v="14"/>
  </r>
  <r>
    <x v="45"/>
    <x v="7"/>
  </r>
  <r>
    <x v="46"/>
    <x v="7"/>
  </r>
  <r>
    <x v="46"/>
    <x v="7"/>
  </r>
  <r>
    <x v="46"/>
    <x v="1"/>
  </r>
  <r>
    <x v="40"/>
    <x v="5"/>
  </r>
  <r>
    <x v="40"/>
    <x v="14"/>
  </r>
  <r>
    <x v="40"/>
    <x v="5"/>
  </r>
  <r>
    <x v="40"/>
    <x v="7"/>
  </r>
  <r>
    <x v="40"/>
    <x v="7"/>
  </r>
  <r>
    <x v="40"/>
    <x v="3"/>
  </r>
  <r>
    <x v="40"/>
    <x v="14"/>
  </r>
  <r>
    <x v="40"/>
    <x v="14"/>
  </r>
  <r>
    <x v="40"/>
    <x v="6"/>
  </r>
  <r>
    <x v="40"/>
    <x v="6"/>
  </r>
  <r>
    <x v="40"/>
    <x v="1"/>
  </r>
  <r>
    <x v="47"/>
    <x v="0"/>
  </r>
  <r>
    <x v="40"/>
    <x v="5"/>
  </r>
  <r>
    <x v="40"/>
    <x v="6"/>
  </r>
  <r>
    <x v="40"/>
    <x v="8"/>
  </r>
  <r>
    <x v="48"/>
    <x v="13"/>
  </r>
  <r>
    <x v="49"/>
    <x v="9"/>
  </r>
  <r>
    <x v="50"/>
    <x v="4"/>
  </r>
  <r>
    <x v="51"/>
    <x v="18"/>
  </r>
  <r>
    <x v="52"/>
    <x v="16"/>
  </r>
  <r>
    <x v="53"/>
    <x v="15"/>
  </r>
  <r>
    <x v="54"/>
    <x v="16"/>
  </r>
  <r>
    <x v="55"/>
    <x v="9"/>
  </r>
  <r>
    <x v="56"/>
    <x v="2"/>
  </r>
  <r>
    <x v="56"/>
    <x v="10"/>
  </r>
  <r>
    <x v="57"/>
    <x v="10"/>
  </r>
  <r>
    <x v="56"/>
    <x v="18"/>
  </r>
  <r>
    <x v="58"/>
    <x v="2"/>
  </r>
  <r>
    <x v="58"/>
    <x v="2"/>
  </r>
  <r>
    <x v="59"/>
    <x v="4"/>
  </r>
  <r>
    <x v="58"/>
    <x v="11"/>
  </r>
  <r>
    <x v="59"/>
    <x v="9"/>
  </r>
  <r>
    <x v="59"/>
    <x v="11"/>
  </r>
  <r>
    <x v="55"/>
    <x v="4"/>
  </r>
  <r>
    <x v="58"/>
    <x v="9"/>
  </r>
  <r>
    <x v="58"/>
    <x v="10"/>
  </r>
  <r>
    <x v="57"/>
    <x v="11"/>
  </r>
  <r>
    <x v="57"/>
    <x v="12"/>
  </r>
  <r>
    <x v="60"/>
    <x v="13"/>
  </r>
  <r>
    <x v="60"/>
    <x v="9"/>
  </r>
  <r>
    <x v="60"/>
    <x v="2"/>
  </r>
  <r>
    <x v="57"/>
    <x v="5"/>
  </r>
  <r>
    <x v="57"/>
    <x v="8"/>
  </r>
  <r>
    <x v="57"/>
    <x v="0"/>
  </r>
  <r>
    <x v="55"/>
    <x v="1"/>
  </r>
  <r>
    <x v="38"/>
    <x v="14"/>
  </r>
  <r>
    <x v="61"/>
    <x v="1"/>
  </r>
  <r>
    <x v="55"/>
    <x v="14"/>
  </r>
  <r>
    <x v="56"/>
    <x v="0"/>
  </r>
  <r>
    <x v="37"/>
    <x v="0"/>
  </r>
  <r>
    <x v="62"/>
    <x v="14"/>
  </r>
  <r>
    <x v="62"/>
    <x v="14"/>
  </r>
  <r>
    <x v="62"/>
    <x v="7"/>
  </r>
  <r>
    <x v="38"/>
    <x v="0"/>
  </r>
  <r>
    <x v="37"/>
    <x v="0"/>
  </r>
  <r>
    <x v="39"/>
    <x v="7"/>
  </r>
  <r>
    <x v="30"/>
    <x v="7"/>
  </r>
  <r>
    <x v="61"/>
    <x v="7"/>
  </r>
  <r>
    <x v="61"/>
    <x v="8"/>
  </r>
  <r>
    <x v="54"/>
    <x v="8"/>
  </r>
  <r>
    <x v="59"/>
    <x v="6"/>
  </r>
  <r>
    <x v="53"/>
    <x v="8"/>
  </r>
  <r>
    <x v="54"/>
    <x v="2"/>
  </r>
  <r>
    <x v="52"/>
    <x v="6"/>
  </r>
  <r>
    <x v="44"/>
    <x v="7"/>
  </r>
  <r>
    <x v="34"/>
    <x v="14"/>
  </r>
  <r>
    <x v="33"/>
    <x v="7"/>
  </r>
  <r>
    <x v="33"/>
    <x v="8"/>
  </r>
  <r>
    <x v="32"/>
    <x v="8"/>
  </r>
  <r>
    <x v="33"/>
    <x v="8"/>
  </r>
  <r>
    <x v="32"/>
    <x v="7"/>
  </r>
  <r>
    <x v="32"/>
    <x v="8"/>
  </r>
  <r>
    <x v="33"/>
    <x v="8"/>
  </r>
  <r>
    <x v="31"/>
    <x v="8"/>
  </r>
  <r>
    <x v="31"/>
    <x v="8"/>
  </r>
  <r>
    <x v="40"/>
    <x v="7"/>
  </r>
  <r>
    <x v="47"/>
    <x v="1"/>
  </r>
  <r>
    <x v="47"/>
    <x v="0"/>
  </r>
  <r>
    <x v="40"/>
    <x v="1"/>
  </r>
  <r>
    <x v="47"/>
    <x v="1"/>
  </r>
  <r>
    <x v="47"/>
    <x v="1"/>
  </r>
  <r>
    <x v="47"/>
    <x v="7"/>
  </r>
  <r>
    <x v="47"/>
    <x v="7"/>
  </r>
  <r>
    <x v="47"/>
    <x v="8"/>
  </r>
  <r>
    <x v="47"/>
    <x v="8"/>
  </r>
  <r>
    <x v="47"/>
    <x v="0"/>
  </r>
  <r>
    <x v="47"/>
    <x v="0"/>
  </r>
  <r>
    <x v="47"/>
    <x v="7"/>
  </r>
  <r>
    <x v="47"/>
    <x v="3"/>
  </r>
  <r>
    <x v="40"/>
    <x v="10"/>
  </r>
  <r>
    <x v="40"/>
    <x v="10"/>
  </r>
  <r>
    <x v="46"/>
    <x v="2"/>
  </r>
  <r>
    <x v="47"/>
    <x v="5"/>
  </r>
  <r>
    <x v="40"/>
    <x v="7"/>
  </r>
  <r>
    <x v="40"/>
    <x v="6"/>
  </r>
  <r>
    <x v="32"/>
    <x v="5"/>
  </r>
  <r>
    <x v="33"/>
    <x v="12"/>
  </r>
  <r>
    <x v="34"/>
    <x v="9"/>
  </r>
  <r>
    <x v="34"/>
    <x v="1"/>
  </r>
  <r>
    <x v="34"/>
    <x v="11"/>
  </r>
  <r>
    <x v="34"/>
    <x v="6"/>
  </r>
  <r>
    <x v="34"/>
    <x v="6"/>
  </r>
  <r>
    <x v="33"/>
    <x v="8"/>
  </r>
  <r>
    <x v="33"/>
    <x v="14"/>
  </r>
  <r>
    <x v="44"/>
    <x v="14"/>
  </r>
  <r>
    <x v="42"/>
    <x v="2"/>
  </r>
  <r>
    <x v="63"/>
    <x v="2"/>
  </r>
  <r>
    <x v="64"/>
    <x v="0"/>
  </r>
  <r>
    <x v="64"/>
    <x v="0"/>
  </r>
  <r>
    <x v="64"/>
    <x v="1"/>
  </r>
  <r>
    <x v="64"/>
    <x v="1"/>
  </r>
  <r>
    <x v="63"/>
    <x v="14"/>
  </r>
  <r>
    <x v="64"/>
    <x v="0"/>
  </r>
  <r>
    <x v="44"/>
    <x v="8"/>
  </r>
  <r>
    <x v="43"/>
    <x v="7"/>
  </r>
  <r>
    <x v="43"/>
    <x v="14"/>
  </r>
  <r>
    <x v="34"/>
    <x v="0"/>
  </r>
  <r>
    <x v="34"/>
    <x v="0"/>
  </r>
  <r>
    <x v="33"/>
    <x v="0"/>
  </r>
  <r>
    <x v="33"/>
    <x v="0"/>
  </r>
  <r>
    <x v="31"/>
    <x v="0"/>
  </r>
  <r>
    <x v="30"/>
    <x v="0"/>
  </r>
  <r>
    <x v="41"/>
    <x v="0"/>
  </r>
  <r>
    <x v="41"/>
    <x v="0"/>
  </r>
  <r>
    <x v="41"/>
    <x v="0"/>
  </r>
  <r>
    <x v="40"/>
    <x v="0"/>
  </r>
  <r>
    <x v="41"/>
    <x v="0"/>
  </r>
  <r>
    <x v="47"/>
    <x v="0"/>
  </r>
  <r>
    <x v="30"/>
    <x v="0"/>
  </r>
  <r>
    <x v="31"/>
    <x v="14"/>
  </r>
  <r>
    <x v="33"/>
    <x v="1"/>
  </r>
  <r>
    <x v="65"/>
    <x v="0"/>
  </r>
  <r>
    <x v="66"/>
    <x v="1"/>
  </r>
  <r>
    <x v="66"/>
    <x v="1"/>
  </r>
  <r>
    <x v="67"/>
    <x v="1"/>
  </r>
  <r>
    <x v="66"/>
    <x v="7"/>
  </r>
  <r>
    <x v="32"/>
    <x v="8"/>
  </r>
  <r>
    <x v="68"/>
    <x v="7"/>
  </r>
  <r>
    <x v="32"/>
    <x v="0"/>
  </r>
  <r>
    <x v="32"/>
    <x v="14"/>
  </r>
  <r>
    <x v="32"/>
    <x v="0"/>
  </r>
  <r>
    <x v="45"/>
    <x v="1"/>
  </r>
  <r>
    <x v="45"/>
    <x v="0"/>
  </r>
  <r>
    <x v="46"/>
    <x v="0"/>
  </r>
  <r>
    <x v="46"/>
    <x v="0"/>
  </r>
  <r>
    <x v="40"/>
    <x v="14"/>
  </r>
  <r>
    <x v="40"/>
    <x v="8"/>
  </r>
  <r>
    <x v="40"/>
    <x v="8"/>
  </r>
  <r>
    <x v="45"/>
    <x v="9"/>
  </r>
  <r>
    <x v="32"/>
    <x v="9"/>
  </r>
  <r>
    <x v="33"/>
    <x v="12"/>
  </r>
  <r>
    <x v="44"/>
    <x v="15"/>
  </r>
  <r>
    <x v="42"/>
    <x v="15"/>
  </r>
  <r>
    <x v="55"/>
    <x v="16"/>
  </r>
  <r>
    <x v="55"/>
    <x v="17"/>
  </r>
  <r>
    <x v="69"/>
    <x v="15"/>
  </r>
  <r>
    <x v="70"/>
    <x v="10"/>
  </r>
  <r>
    <x v="60"/>
    <x v="12"/>
  </r>
  <r>
    <x v="71"/>
    <x v="13"/>
  </r>
  <r>
    <x v="71"/>
    <x v="18"/>
  </r>
  <r>
    <x v="70"/>
    <x v="19"/>
  </r>
  <r>
    <x v="70"/>
    <x v="13"/>
  </r>
  <r>
    <x v="57"/>
    <x v="17"/>
  </r>
  <r>
    <x v="57"/>
    <x v="9"/>
  </r>
  <r>
    <x v="72"/>
    <x v="17"/>
  </r>
  <r>
    <x v="72"/>
    <x v="11"/>
  </r>
  <r>
    <x v="72"/>
    <x v="9"/>
  </r>
  <r>
    <x v="73"/>
    <x v="11"/>
  </r>
  <r>
    <x v="73"/>
    <x v="6"/>
  </r>
  <r>
    <x v="69"/>
    <x v="3"/>
  </r>
  <r>
    <x v="53"/>
    <x v="7"/>
  </r>
  <r>
    <x v="53"/>
    <x v="14"/>
  </r>
  <r>
    <x v="53"/>
    <x v="0"/>
  </r>
  <r>
    <x v="63"/>
    <x v="14"/>
  </r>
  <r>
    <x v="52"/>
    <x v="0"/>
  </r>
  <r>
    <x v="74"/>
    <x v="8"/>
  </r>
  <r>
    <x v="73"/>
    <x v="0"/>
  </r>
  <r>
    <x v="58"/>
    <x v="8"/>
  </r>
  <r>
    <x v="57"/>
    <x v="6"/>
  </r>
  <r>
    <x v="57"/>
    <x v="2"/>
  </r>
  <r>
    <x v="75"/>
    <x v="4"/>
  </r>
  <r>
    <x v="75"/>
    <x v="3"/>
  </r>
  <r>
    <x v="60"/>
    <x v="2"/>
  </r>
  <r>
    <x v="75"/>
    <x v="2"/>
  </r>
  <r>
    <x v="55"/>
    <x v="4"/>
  </r>
  <r>
    <x v="41"/>
    <x v="2"/>
  </r>
  <r>
    <x v="41"/>
    <x v="8"/>
  </r>
  <r>
    <x v="41"/>
    <x v="8"/>
  </r>
  <r>
    <x v="30"/>
    <x v="8"/>
  </r>
  <r>
    <x v="30"/>
    <x v="5"/>
  </r>
  <r>
    <x v="41"/>
    <x v="5"/>
  </r>
  <r>
    <x v="30"/>
    <x v="7"/>
  </r>
  <r>
    <x v="30"/>
    <x v="7"/>
  </r>
  <r>
    <x v="37"/>
    <x v="6"/>
  </r>
  <r>
    <x v="59"/>
    <x v="6"/>
  </r>
  <r>
    <x v="67"/>
    <x v="3"/>
  </r>
  <r>
    <x v="59"/>
    <x v="12"/>
  </r>
  <r>
    <x v="63"/>
    <x v="9"/>
  </r>
  <r>
    <x v="52"/>
    <x v="11"/>
  </r>
  <r>
    <x v="52"/>
    <x v="4"/>
  </r>
  <r>
    <x v="74"/>
    <x v="11"/>
  </r>
  <r>
    <x v="75"/>
    <x v="13"/>
  </r>
  <r>
    <x v="76"/>
    <x v="4"/>
  </r>
  <r>
    <x v="77"/>
    <x v="3"/>
  </r>
  <r>
    <x v="78"/>
    <x v="2"/>
  </r>
  <r>
    <x v="77"/>
    <x v="4"/>
  </r>
  <r>
    <x v="79"/>
    <x v="5"/>
  </r>
  <r>
    <x v="80"/>
    <x v="7"/>
  </r>
  <r>
    <x v="80"/>
    <x v="14"/>
  </r>
  <r>
    <x v="81"/>
    <x v="1"/>
  </r>
  <r>
    <x v="74"/>
    <x v="0"/>
  </r>
  <r>
    <x v="74"/>
    <x v="0"/>
  </r>
  <r>
    <x v="52"/>
    <x v="14"/>
  </r>
  <r>
    <x v="63"/>
    <x v="14"/>
  </r>
  <r>
    <x v="67"/>
    <x v="1"/>
  </r>
  <r>
    <x v="67"/>
    <x v="1"/>
  </r>
  <r>
    <x v="62"/>
    <x v="1"/>
  </r>
  <r>
    <x v="82"/>
    <x v="0"/>
  </r>
  <r>
    <x v="83"/>
    <x v="0"/>
  </r>
  <r>
    <x v="39"/>
    <x v="8"/>
  </r>
  <r>
    <x v="39"/>
    <x v="6"/>
  </r>
  <r>
    <x v="36"/>
    <x v="5"/>
  </r>
  <r>
    <x v="55"/>
    <x v="7"/>
  </r>
  <r>
    <x v="55"/>
    <x v="7"/>
  </r>
  <r>
    <x v="71"/>
    <x v="5"/>
  </r>
  <r>
    <x v="79"/>
    <x v="2"/>
  </r>
  <r>
    <x v="84"/>
    <x v="8"/>
  </r>
  <r>
    <x v="80"/>
    <x v="5"/>
  </r>
  <r>
    <x v="85"/>
    <x v="0"/>
  </r>
  <r>
    <x v="80"/>
    <x v="0"/>
  </r>
  <r>
    <x v="72"/>
    <x v="0"/>
  </r>
  <r>
    <x v="38"/>
    <x v="7"/>
  </r>
  <r>
    <x v="37"/>
    <x v="7"/>
  </r>
  <r>
    <x v="35"/>
    <x v="1"/>
  </r>
  <r>
    <x v="36"/>
    <x v="0"/>
  </r>
  <r>
    <x v="36"/>
    <x v="1"/>
  </r>
  <r>
    <x v="41"/>
    <x v="0"/>
  </r>
  <r>
    <x v="30"/>
    <x v="0"/>
  </r>
  <r>
    <x v="30"/>
    <x v="0"/>
  </r>
  <r>
    <x v="39"/>
    <x v="1"/>
  </r>
  <r>
    <x v="39"/>
    <x v="1"/>
  </r>
  <r>
    <x v="40"/>
    <x v="5"/>
  </r>
  <r>
    <x v="30"/>
    <x v="14"/>
  </r>
  <r>
    <x v="41"/>
    <x v="7"/>
  </r>
  <r>
    <x v="35"/>
    <x v="7"/>
  </r>
  <r>
    <x v="86"/>
    <x v="2"/>
  </r>
  <r>
    <x v="80"/>
    <x v="9"/>
  </r>
  <r>
    <x v="74"/>
    <x v="17"/>
  </r>
  <r>
    <x v="74"/>
    <x v="12"/>
  </r>
  <r>
    <x v="81"/>
    <x v="3"/>
  </r>
  <r>
    <x v="76"/>
    <x v="12"/>
  </r>
  <r>
    <x v="76"/>
    <x v="12"/>
  </r>
  <r>
    <x v="81"/>
    <x v="18"/>
  </r>
  <r>
    <x v="69"/>
    <x v="9"/>
  </r>
  <r>
    <x v="69"/>
    <x v="8"/>
  </r>
  <r>
    <x v="86"/>
    <x v="6"/>
  </r>
  <r>
    <x v="86"/>
    <x v="0"/>
  </r>
  <r>
    <x v="56"/>
    <x v="1"/>
  </r>
  <r>
    <x v="61"/>
    <x v="7"/>
  </r>
  <r>
    <x v="35"/>
    <x v="14"/>
  </r>
  <r>
    <x v="37"/>
    <x v="1"/>
  </r>
  <r>
    <x v="31"/>
    <x v="1"/>
  </r>
  <r>
    <x v="36"/>
    <x v="14"/>
  </r>
  <r>
    <x v="36"/>
    <x v="8"/>
  </r>
  <r>
    <x v="36"/>
    <x v="7"/>
  </r>
  <r>
    <x v="38"/>
    <x v="0"/>
  </r>
  <r>
    <x v="35"/>
    <x v="5"/>
  </r>
  <r>
    <x v="34"/>
    <x v="6"/>
  </r>
  <r>
    <x v="53"/>
    <x v="9"/>
  </r>
  <r>
    <x v="74"/>
    <x v="10"/>
  </r>
  <r>
    <x v="70"/>
    <x v="17"/>
  </r>
  <r>
    <x v="76"/>
    <x v="11"/>
  </r>
  <r>
    <x v="87"/>
    <x v="12"/>
  </r>
  <r>
    <x v="87"/>
    <x v="4"/>
  </r>
  <r>
    <x v="80"/>
    <x v="9"/>
  </r>
  <r>
    <x v="80"/>
    <x v="9"/>
  </r>
  <r>
    <x v="70"/>
    <x v="4"/>
  </r>
  <r>
    <x v="71"/>
    <x v="3"/>
  </r>
  <r>
    <x v="71"/>
    <x v="9"/>
  </r>
  <r>
    <x v="71"/>
    <x v="11"/>
  </r>
  <r>
    <x v="71"/>
    <x v="4"/>
  </r>
  <r>
    <x v="71"/>
    <x v="11"/>
  </r>
  <r>
    <x v="60"/>
    <x v="11"/>
  </r>
  <r>
    <x v="60"/>
    <x v="11"/>
  </r>
  <r>
    <x v="57"/>
    <x v="4"/>
  </r>
  <r>
    <x v="64"/>
    <x v="6"/>
  </r>
  <r>
    <x v="51"/>
    <x v="3"/>
  </r>
  <r>
    <x v="51"/>
    <x v="3"/>
  </r>
  <r>
    <x v="64"/>
    <x v="4"/>
  </r>
  <r>
    <x v="64"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1"/>
    <x v="1"/>
    <x v="1"/>
    <x v="0"/>
    <x v="1"/>
    <x v="1"/>
    <x v="1"/>
  </r>
  <r>
    <x v="2"/>
    <x v="0"/>
    <x v="0"/>
    <x v="0"/>
    <x v="0"/>
    <x v="1"/>
    <x v="1"/>
    <x v="1"/>
    <x v="0"/>
    <x v="2"/>
    <x v="2"/>
    <x v="2"/>
  </r>
  <r>
    <x v="3"/>
    <x v="0"/>
    <x v="0"/>
    <x v="0"/>
    <x v="0"/>
    <x v="0"/>
    <x v="2"/>
    <x v="0"/>
    <x v="0"/>
    <x v="0"/>
    <x v="3"/>
    <x v="3"/>
  </r>
  <r>
    <x v="4"/>
    <x v="0"/>
    <x v="0"/>
    <x v="0"/>
    <x v="0"/>
    <x v="0"/>
    <x v="2"/>
    <x v="0"/>
    <x v="0"/>
    <x v="3"/>
    <x v="4"/>
    <x v="4"/>
  </r>
  <r>
    <x v="5"/>
    <x v="0"/>
    <x v="0"/>
    <x v="0"/>
    <x v="0"/>
    <x v="0"/>
    <x v="2"/>
    <x v="2"/>
    <x v="1"/>
    <x v="3"/>
    <x v="4"/>
    <x v="4"/>
  </r>
  <r>
    <x v="6"/>
    <x v="0"/>
    <x v="0"/>
    <x v="0"/>
    <x v="0"/>
    <x v="1"/>
    <x v="1"/>
    <x v="1"/>
    <x v="0"/>
    <x v="4"/>
    <x v="5"/>
    <x v="5"/>
  </r>
  <r>
    <x v="7"/>
    <x v="0"/>
    <x v="0"/>
    <x v="0"/>
    <x v="0"/>
    <x v="2"/>
    <x v="3"/>
    <x v="2"/>
    <x v="0"/>
    <x v="5"/>
    <x v="6"/>
    <x v="6"/>
  </r>
  <r>
    <x v="8"/>
    <x v="0"/>
    <x v="0"/>
    <x v="0"/>
    <x v="0"/>
    <x v="0"/>
    <x v="2"/>
    <x v="3"/>
    <x v="0"/>
    <x v="5"/>
    <x v="7"/>
    <x v="7"/>
  </r>
  <r>
    <x v="9"/>
    <x v="0"/>
    <x v="0"/>
    <x v="0"/>
    <x v="1"/>
    <x v="3"/>
    <x v="4"/>
    <x v="4"/>
    <x v="0"/>
    <x v="1"/>
    <x v="8"/>
    <x v="8"/>
  </r>
  <r>
    <x v="10"/>
    <x v="0"/>
    <x v="0"/>
    <x v="0"/>
    <x v="1"/>
    <x v="4"/>
    <x v="4"/>
    <x v="5"/>
    <x v="2"/>
    <x v="6"/>
    <x v="9"/>
    <x v="9"/>
  </r>
  <r>
    <x v="11"/>
    <x v="0"/>
    <x v="0"/>
    <x v="0"/>
    <x v="1"/>
    <x v="5"/>
    <x v="0"/>
    <x v="6"/>
    <x v="3"/>
    <x v="7"/>
    <x v="10"/>
    <x v="10"/>
  </r>
  <r>
    <x v="12"/>
    <x v="0"/>
    <x v="0"/>
    <x v="0"/>
    <x v="1"/>
    <x v="6"/>
    <x v="5"/>
    <x v="7"/>
    <x v="3"/>
    <x v="8"/>
    <x v="11"/>
    <x v="11"/>
  </r>
  <r>
    <x v="13"/>
    <x v="0"/>
    <x v="0"/>
    <x v="0"/>
    <x v="1"/>
    <x v="7"/>
    <x v="6"/>
    <x v="8"/>
    <x v="4"/>
    <x v="9"/>
    <x v="12"/>
    <x v="12"/>
  </r>
  <r>
    <x v="14"/>
    <x v="0"/>
    <x v="0"/>
    <x v="0"/>
    <x v="1"/>
    <x v="7"/>
    <x v="6"/>
    <x v="8"/>
    <x v="3"/>
    <x v="10"/>
    <x v="13"/>
    <x v="13"/>
  </r>
  <r>
    <x v="15"/>
    <x v="0"/>
    <x v="0"/>
    <x v="0"/>
    <x v="1"/>
    <x v="8"/>
    <x v="5"/>
    <x v="9"/>
    <x v="4"/>
    <x v="11"/>
    <x v="14"/>
    <x v="14"/>
  </r>
  <r>
    <x v="16"/>
    <x v="0"/>
    <x v="0"/>
    <x v="0"/>
    <x v="1"/>
    <x v="6"/>
    <x v="7"/>
    <x v="7"/>
    <x v="4"/>
    <x v="12"/>
    <x v="15"/>
    <x v="15"/>
  </r>
  <r>
    <x v="17"/>
    <x v="0"/>
    <x v="0"/>
    <x v="0"/>
    <x v="1"/>
    <x v="8"/>
    <x v="7"/>
    <x v="3"/>
    <x v="3"/>
    <x v="13"/>
    <x v="15"/>
    <x v="16"/>
  </r>
  <r>
    <x v="18"/>
    <x v="0"/>
    <x v="0"/>
    <x v="0"/>
    <x v="1"/>
    <x v="6"/>
    <x v="8"/>
    <x v="7"/>
    <x v="2"/>
    <x v="14"/>
    <x v="16"/>
    <x v="17"/>
  </r>
  <r>
    <x v="19"/>
    <x v="0"/>
    <x v="0"/>
    <x v="0"/>
    <x v="1"/>
    <x v="6"/>
    <x v="8"/>
    <x v="7"/>
    <x v="2"/>
    <x v="15"/>
    <x v="17"/>
    <x v="18"/>
  </r>
  <r>
    <x v="20"/>
    <x v="0"/>
    <x v="0"/>
    <x v="0"/>
    <x v="1"/>
    <x v="9"/>
    <x v="9"/>
    <x v="10"/>
    <x v="2"/>
    <x v="16"/>
    <x v="18"/>
    <x v="9"/>
  </r>
  <r>
    <x v="21"/>
    <x v="0"/>
    <x v="0"/>
    <x v="0"/>
    <x v="1"/>
    <x v="9"/>
    <x v="9"/>
    <x v="10"/>
    <x v="5"/>
    <x v="0"/>
    <x v="17"/>
    <x v="19"/>
  </r>
  <r>
    <x v="22"/>
    <x v="0"/>
    <x v="0"/>
    <x v="0"/>
    <x v="1"/>
    <x v="9"/>
    <x v="10"/>
    <x v="10"/>
    <x v="6"/>
    <x v="16"/>
    <x v="19"/>
    <x v="20"/>
  </r>
  <r>
    <x v="23"/>
    <x v="0"/>
    <x v="0"/>
    <x v="0"/>
    <x v="1"/>
    <x v="7"/>
    <x v="8"/>
    <x v="3"/>
    <x v="4"/>
    <x v="13"/>
    <x v="9"/>
    <x v="21"/>
  </r>
  <r>
    <x v="0"/>
    <x v="0"/>
    <x v="1"/>
    <x v="1"/>
    <x v="1"/>
    <x v="7"/>
    <x v="8"/>
    <x v="8"/>
    <x v="4"/>
    <x v="17"/>
    <x v="0"/>
    <x v="22"/>
  </r>
  <r>
    <x v="1"/>
    <x v="0"/>
    <x v="1"/>
    <x v="1"/>
    <x v="1"/>
    <x v="8"/>
    <x v="10"/>
    <x v="9"/>
    <x v="2"/>
    <x v="5"/>
    <x v="20"/>
    <x v="22"/>
  </r>
  <r>
    <x v="2"/>
    <x v="0"/>
    <x v="1"/>
    <x v="1"/>
    <x v="1"/>
    <x v="6"/>
    <x v="11"/>
    <x v="7"/>
    <x v="3"/>
    <x v="5"/>
    <x v="21"/>
    <x v="23"/>
  </r>
  <r>
    <x v="3"/>
    <x v="0"/>
    <x v="1"/>
    <x v="1"/>
    <x v="1"/>
    <x v="7"/>
    <x v="10"/>
    <x v="8"/>
    <x v="5"/>
    <x v="4"/>
    <x v="22"/>
    <x v="24"/>
  </r>
  <r>
    <x v="4"/>
    <x v="0"/>
    <x v="1"/>
    <x v="1"/>
    <x v="1"/>
    <x v="7"/>
    <x v="10"/>
    <x v="3"/>
    <x v="5"/>
    <x v="4"/>
    <x v="4"/>
    <x v="6"/>
  </r>
  <r>
    <x v="6"/>
    <x v="0"/>
    <x v="1"/>
    <x v="1"/>
    <x v="1"/>
    <x v="6"/>
    <x v="5"/>
    <x v="7"/>
    <x v="4"/>
    <x v="3"/>
    <x v="6"/>
    <x v="5"/>
  </r>
  <r>
    <x v="7"/>
    <x v="0"/>
    <x v="1"/>
    <x v="1"/>
    <x v="1"/>
    <x v="9"/>
    <x v="4"/>
    <x v="10"/>
    <x v="5"/>
    <x v="3"/>
    <x v="4"/>
    <x v="4"/>
  </r>
  <r>
    <x v="8"/>
    <x v="0"/>
    <x v="1"/>
    <x v="1"/>
    <x v="1"/>
    <x v="9"/>
    <x v="12"/>
    <x v="10"/>
    <x v="6"/>
    <x v="3"/>
    <x v="21"/>
    <x v="7"/>
  </r>
  <r>
    <x v="9"/>
    <x v="0"/>
    <x v="1"/>
    <x v="1"/>
    <x v="1"/>
    <x v="4"/>
    <x v="4"/>
    <x v="3"/>
    <x v="6"/>
    <x v="5"/>
    <x v="23"/>
    <x v="25"/>
  </r>
  <r>
    <x v="10"/>
    <x v="0"/>
    <x v="1"/>
    <x v="1"/>
    <x v="1"/>
    <x v="5"/>
    <x v="0"/>
    <x v="4"/>
    <x v="6"/>
    <x v="18"/>
    <x v="24"/>
    <x v="26"/>
  </r>
  <r>
    <x v="11"/>
    <x v="0"/>
    <x v="1"/>
    <x v="1"/>
    <x v="1"/>
    <x v="5"/>
    <x v="12"/>
    <x v="6"/>
    <x v="2"/>
    <x v="19"/>
    <x v="25"/>
    <x v="27"/>
  </r>
  <r>
    <x v="12"/>
    <x v="0"/>
    <x v="1"/>
    <x v="1"/>
    <x v="1"/>
    <x v="5"/>
    <x v="13"/>
    <x v="6"/>
    <x v="4"/>
    <x v="20"/>
    <x v="26"/>
    <x v="15"/>
  </r>
  <r>
    <x v="13"/>
    <x v="0"/>
    <x v="1"/>
    <x v="1"/>
    <x v="1"/>
    <x v="5"/>
    <x v="13"/>
    <x v="4"/>
    <x v="7"/>
    <x v="16"/>
    <x v="27"/>
    <x v="28"/>
  </r>
  <r>
    <x v="14"/>
    <x v="0"/>
    <x v="1"/>
    <x v="1"/>
    <x v="1"/>
    <x v="5"/>
    <x v="4"/>
    <x v="3"/>
    <x v="5"/>
    <x v="17"/>
    <x v="11"/>
    <x v="29"/>
  </r>
  <r>
    <x v="15"/>
    <x v="0"/>
    <x v="1"/>
    <x v="1"/>
    <x v="1"/>
    <x v="10"/>
    <x v="0"/>
    <x v="6"/>
    <x v="8"/>
    <x v="21"/>
    <x v="11"/>
    <x v="30"/>
  </r>
  <r>
    <x v="16"/>
    <x v="0"/>
    <x v="1"/>
    <x v="1"/>
    <x v="1"/>
    <x v="10"/>
    <x v="12"/>
    <x v="6"/>
    <x v="8"/>
    <x v="14"/>
    <x v="28"/>
    <x v="31"/>
  </r>
  <r>
    <x v="17"/>
    <x v="0"/>
    <x v="1"/>
    <x v="1"/>
    <x v="1"/>
    <x v="10"/>
    <x v="14"/>
    <x v="6"/>
    <x v="5"/>
    <x v="18"/>
    <x v="29"/>
    <x v="32"/>
  </r>
  <r>
    <x v="18"/>
    <x v="0"/>
    <x v="1"/>
    <x v="1"/>
    <x v="1"/>
    <x v="5"/>
    <x v="15"/>
    <x v="6"/>
    <x v="9"/>
    <x v="22"/>
    <x v="30"/>
    <x v="26"/>
  </r>
  <r>
    <x v="19"/>
    <x v="0"/>
    <x v="1"/>
    <x v="1"/>
    <x v="1"/>
    <x v="3"/>
    <x v="16"/>
    <x v="0"/>
    <x v="10"/>
    <x v="5"/>
    <x v="31"/>
    <x v="33"/>
  </r>
  <r>
    <x v="20"/>
    <x v="0"/>
    <x v="1"/>
    <x v="1"/>
    <x v="1"/>
    <x v="11"/>
    <x v="17"/>
    <x v="3"/>
    <x v="11"/>
    <x v="2"/>
    <x v="19"/>
    <x v="34"/>
  </r>
  <r>
    <x v="21"/>
    <x v="0"/>
    <x v="1"/>
    <x v="1"/>
    <x v="1"/>
    <x v="12"/>
    <x v="18"/>
    <x v="11"/>
    <x v="9"/>
    <x v="16"/>
    <x v="32"/>
    <x v="35"/>
  </r>
  <r>
    <x v="22"/>
    <x v="0"/>
    <x v="1"/>
    <x v="1"/>
    <x v="0"/>
    <x v="0"/>
    <x v="18"/>
    <x v="12"/>
    <x v="4"/>
    <x v="3"/>
    <x v="33"/>
    <x v="23"/>
  </r>
  <r>
    <x v="23"/>
    <x v="0"/>
    <x v="1"/>
    <x v="1"/>
    <x v="0"/>
    <x v="1"/>
    <x v="19"/>
    <x v="11"/>
    <x v="8"/>
    <x v="3"/>
    <x v="21"/>
    <x v="7"/>
  </r>
  <r>
    <x v="0"/>
    <x v="0"/>
    <x v="2"/>
    <x v="2"/>
    <x v="0"/>
    <x v="1"/>
    <x v="18"/>
    <x v="13"/>
    <x v="11"/>
    <x v="3"/>
    <x v="34"/>
    <x v="36"/>
  </r>
  <r>
    <x v="1"/>
    <x v="0"/>
    <x v="2"/>
    <x v="2"/>
    <x v="0"/>
    <x v="2"/>
    <x v="18"/>
    <x v="3"/>
    <x v="12"/>
    <x v="3"/>
    <x v="6"/>
    <x v="5"/>
  </r>
  <r>
    <x v="4"/>
    <x v="0"/>
    <x v="2"/>
    <x v="2"/>
    <x v="0"/>
    <x v="13"/>
    <x v="19"/>
    <x v="14"/>
    <x v="13"/>
    <x v="3"/>
    <x v="4"/>
    <x v="4"/>
  </r>
  <r>
    <x v="5"/>
    <x v="0"/>
    <x v="2"/>
    <x v="2"/>
    <x v="0"/>
    <x v="13"/>
    <x v="19"/>
    <x v="14"/>
    <x v="3"/>
    <x v="3"/>
    <x v="35"/>
    <x v="6"/>
  </r>
  <r>
    <x v="6"/>
    <x v="0"/>
    <x v="2"/>
    <x v="2"/>
    <x v="0"/>
    <x v="14"/>
    <x v="20"/>
    <x v="15"/>
    <x v="13"/>
    <x v="3"/>
    <x v="10"/>
    <x v="33"/>
  </r>
  <r>
    <x v="7"/>
    <x v="0"/>
    <x v="2"/>
    <x v="2"/>
    <x v="0"/>
    <x v="14"/>
    <x v="20"/>
    <x v="14"/>
    <x v="5"/>
    <x v="5"/>
    <x v="36"/>
    <x v="37"/>
  </r>
  <r>
    <x v="8"/>
    <x v="0"/>
    <x v="2"/>
    <x v="2"/>
    <x v="0"/>
    <x v="14"/>
    <x v="20"/>
    <x v="16"/>
    <x v="3"/>
    <x v="5"/>
    <x v="37"/>
    <x v="38"/>
  </r>
  <r>
    <x v="9"/>
    <x v="0"/>
    <x v="2"/>
    <x v="2"/>
    <x v="0"/>
    <x v="13"/>
    <x v="21"/>
    <x v="14"/>
    <x v="13"/>
    <x v="18"/>
    <x v="38"/>
    <x v="39"/>
  </r>
  <r>
    <x v="10"/>
    <x v="0"/>
    <x v="2"/>
    <x v="2"/>
    <x v="0"/>
    <x v="15"/>
    <x v="21"/>
    <x v="17"/>
    <x v="2"/>
    <x v="16"/>
    <x v="39"/>
    <x v="40"/>
  </r>
  <r>
    <x v="11"/>
    <x v="0"/>
    <x v="2"/>
    <x v="2"/>
    <x v="0"/>
    <x v="2"/>
    <x v="22"/>
    <x v="18"/>
    <x v="9"/>
    <x v="22"/>
    <x v="40"/>
    <x v="41"/>
  </r>
  <r>
    <x v="12"/>
    <x v="0"/>
    <x v="2"/>
    <x v="2"/>
    <x v="0"/>
    <x v="1"/>
    <x v="23"/>
    <x v="12"/>
    <x v="4"/>
    <x v="23"/>
    <x v="41"/>
    <x v="42"/>
  </r>
  <r>
    <x v="13"/>
    <x v="0"/>
    <x v="2"/>
    <x v="2"/>
    <x v="0"/>
    <x v="0"/>
    <x v="23"/>
    <x v="3"/>
    <x v="3"/>
    <x v="1"/>
    <x v="42"/>
    <x v="42"/>
  </r>
  <r>
    <x v="14"/>
    <x v="0"/>
    <x v="2"/>
    <x v="2"/>
    <x v="1"/>
    <x v="12"/>
    <x v="24"/>
    <x v="19"/>
    <x v="3"/>
    <x v="16"/>
    <x v="43"/>
    <x v="43"/>
  </r>
  <r>
    <x v="15"/>
    <x v="0"/>
    <x v="2"/>
    <x v="2"/>
    <x v="1"/>
    <x v="12"/>
    <x v="24"/>
    <x v="19"/>
    <x v="2"/>
    <x v="24"/>
    <x v="29"/>
    <x v="44"/>
  </r>
  <r>
    <x v="16"/>
    <x v="0"/>
    <x v="2"/>
    <x v="2"/>
    <x v="1"/>
    <x v="12"/>
    <x v="24"/>
    <x v="19"/>
    <x v="2"/>
    <x v="14"/>
    <x v="28"/>
    <x v="31"/>
  </r>
  <r>
    <x v="17"/>
    <x v="0"/>
    <x v="2"/>
    <x v="2"/>
    <x v="0"/>
    <x v="0"/>
    <x v="24"/>
    <x v="11"/>
    <x v="6"/>
    <x v="16"/>
    <x v="44"/>
    <x v="45"/>
  </r>
  <r>
    <x v="18"/>
    <x v="0"/>
    <x v="2"/>
    <x v="2"/>
    <x v="0"/>
    <x v="0"/>
    <x v="25"/>
    <x v="2"/>
    <x v="14"/>
    <x v="14"/>
    <x v="45"/>
    <x v="45"/>
  </r>
  <r>
    <x v="19"/>
    <x v="0"/>
    <x v="2"/>
    <x v="2"/>
    <x v="0"/>
    <x v="2"/>
    <x v="19"/>
    <x v="2"/>
    <x v="0"/>
    <x v="1"/>
    <x v="46"/>
    <x v="14"/>
  </r>
  <r>
    <x v="20"/>
    <x v="0"/>
    <x v="2"/>
    <x v="2"/>
    <x v="0"/>
    <x v="2"/>
    <x v="19"/>
    <x v="3"/>
    <x v="14"/>
    <x v="0"/>
    <x v="47"/>
    <x v="46"/>
  </r>
  <r>
    <x v="21"/>
    <x v="0"/>
    <x v="2"/>
    <x v="2"/>
    <x v="0"/>
    <x v="15"/>
    <x v="26"/>
    <x v="13"/>
    <x v="7"/>
    <x v="0"/>
    <x v="47"/>
    <x v="46"/>
  </r>
  <r>
    <x v="22"/>
    <x v="0"/>
    <x v="2"/>
    <x v="2"/>
    <x v="0"/>
    <x v="14"/>
    <x v="27"/>
    <x v="20"/>
    <x v="7"/>
    <x v="3"/>
    <x v="32"/>
    <x v="25"/>
  </r>
  <r>
    <x v="23"/>
    <x v="0"/>
    <x v="2"/>
    <x v="2"/>
    <x v="0"/>
    <x v="15"/>
    <x v="28"/>
    <x v="12"/>
    <x v="14"/>
    <x v="5"/>
    <x v="48"/>
    <x v="47"/>
  </r>
  <r>
    <x v="0"/>
    <x v="0"/>
    <x v="3"/>
    <x v="3"/>
    <x v="0"/>
    <x v="13"/>
    <x v="28"/>
    <x v="3"/>
    <x v="14"/>
    <x v="3"/>
    <x v="34"/>
    <x v="36"/>
  </r>
  <r>
    <x v="1"/>
    <x v="0"/>
    <x v="3"/>
    <x v="3"/>
    <x v="0"/>
    <x v="13"/>
    <x v="29"/>
    <x v="18"/>
    <x v="14"/>
    <x v="3"/>
    <x v="6"/>
    <x v="5"/>
  </r>
  <r>
    <x v="2"/>
    <x v="0"/>
    <x v="3"/>
    <x v="3"/>
    <x v="0"/>
    <x v="14"/>
    <x v="30"/>
    <x v="20"/>
    <x v="7"/>
    <x v="3"/>
    <x v="4"/>
    <x v="4"/>
  </r>
  <r>
    <x v="4"/>
    <x v="0"/>
    <x v="3"/>
    <x v="3"/>
    <x v="0"/>
    <x v="14"/>
    <x v="30"/>
    <x v="18"/>
    <x v="1"/>
    <x v="3"/>
    <x v="6"/>
    <x v="5"/>
  </r>
  <r>
    <x v="5"/>
    <x v="0"/>
    <x v="3"/>
    <x v="3"/>
    <x v="0"/>
    <x v="16"/>
    <x v="31"/>
    <x v="20"/>
    <x v="14"/>
    <x v="3"/>
    <x v="22"/>
    <x v="48"/>
  </r>
  <r>
    <x v="6"/>
    <x v="0"/>
    <x v="3"/>
    <x v="3"/>
    <x v="0"/>
    <x v="16"/>
    <x v="32"/>
    <x v="20"/>
    <x v="14"/>
    <x v="3"/>
    <x v="49"/>
    <x v="9"/>
  </r>
  <r>
    <x v="7"/>
    <x v="0"/>
    <x v="3"/>
    <x v="3"/>
    <x v="0"/>
    <x v="16"/>
    <x v="32"/>
    <x v="20"/>
    <x v="7"/>
    <x v="4"/>
    <x v="50"/>
    <x v="12"/>
  </r>
  <r>
    <x v="8"/>
    <x v="0"/>
    <x v="3"/>
    <x v="3"/>
    <x v="0"/>
    <x v="14"/>
    <x v="27"/>
    <x v="20"/>
    <x v="8"/>
    <x v="4"/>
    <x v="51"/>
    <x v="49"/>
  </r>
  <r>
    <x v="9"/>
    <x v="0"/>
    <x v="3"/>
    <x v="3"/>
    <x v="0"/>
    <x v="13"/>
    <x v="26"/>
    <x v="20"/>
    <x v="6"/>
    <x v="4"/>
    <x v="52"/>
    <x v="50"/>
  </r>
  <r>
    <x v="10"/>
    <x v="0"/>
    <x v="3"/>
    <x v="3"/>
    <x v="0"/>
    <x v="13"/>
    <x v="27"/>
    <x v="14"/>
    <x v="9"/>
    <x v="2"/>
    <x v="53"/>
    <x v="51"/>
  </r>
  <r>
    <x v="11"/>
    <x v="0"/>
    <x v="3"/>
    <x v="3"/>
    <x v="0"/>
    <x v="1"/>
    <x v="33"/>
    <x v="12"/>
    <x v="4"/>
    <x v="18"/>
    <x v="54"/>
    <x v="52"/>
  </r>
  <r>
    <x v="12"/>
    <x v="0"/>
    <x v="3"/>
    <x v="3"/>
    <x v="0"/>
    <x v="1"/>
    <x v="33"/>
    <x v="11"/>
    <x v="8"/>
    <x v="6"/>
    <x v="43"/>
    <x v="53"/>
  </r>
  <r>
    <x v="13"/>
    <x v="0"/>
    <x v="3"/>
    <x v="3"/>
    <x v="0"/>
    <x v="0"/>
    <x v="34"/>
    <x v="11"/>
    <x v="5"/>
    <x v="25"/>
    <x v="55"/>
    <x v="54"/>
  </r>
  <r>
    <x v="14"/>
    <x v="0"/>
    <x v="3"/>
    <x v="3"/>
    <x v="1"/>
    <x v="12"/>
    <x v="35"/>
    <x v="2"/>
    <x v="6"/>
    <x v="14"/>
    <x v="25"/>
    <x v="55"/>
  </r>
  <r>
    <x v="15"/>
    <x v="0"/>
    <x v="3"/>
    <x v="3"/>
    <x v="1"/>
    <x v="17"/>
    <x v="35"/>
    <x v="1"/>
    <x v="2"/>
    <x v="26"/>
    <x v="41"/>
    <x v="32"/>
  </r>
  <r>
    <x v="16"/>
    <x v="0"/>
    <x v="3"/>
    <x v="3"/>
    <x v="1"/>
    <x v="11"/>
    <x v="36"/>
    <x v="0"/>
    <x v="2"/>
    <x v="13"/>
    <x v="56"/>
    <x v="56"/>
  </r>
  <r>
    <x v="17"/>
    <x v="0"/>
    <x v="3"/>
    <x v="3"/>
    <x v="1"/>
    <x v="17"/>
    <x v="37"/>
    <x v="1"/>
    <x v="6"/>
    <x v="22"/>
    <x v="57"/>
    <x v="57"/>
  </r>
  <r>
    <x v="18"/>
    <x v="0"/>
    <x v="3"/>
    <x v="3"/>
    <x v="1"/>
    <x v="12"/>
    <x v="37"/>
    <x v="2"/>
    <x v="5"/>
    <x v="0"/>
    <x v="58"/>
    <x v="58"/>
  </r>
  <r>
    <x v="19"/>
    <x v="0"/>
    <x v="3"/>
    <x v="3"/>
    <x v="0"/>
    <x v="0"/>
    <x v="37"/>
    <x v="2"/>
    <x v="14"/>
    <x v="4"/>
    <x v="59"/>
    <x v="59"/>
  </r>
  <r>
    <x v="20"/>
    <x v="0"/>
    <x v="3"/>
    <x v="3"/>
    <x v="0"/>
    <x v="0"/>
    <x v="37"/>
    <x v="2"/>
    <x v="14"/>
    <x v="5"/>
    <x v="42"/>
    <x v="60"/>
  </r>
  <r>
    <x v="21"/>
    <x v="0"/>
    <x v="3"/>
    <x v="3"/>
    <x v="0"/>
    <x v="1"/>
    <x v="26"/>
    <x v="1"/>
    <x v="0"/>
    <x v="3"/>
    <x v="41"/>
    <x v="61"/>
  </r>
  <r>
    <x v="22"/>
    <x v="0"/>
    <x v="3"/>
    <x v="3"/>
    <x v="0"/>
    <x v="1"/>
    <x v="26"/>
    <x v="2"/>
    <x v="1"/>
    <x v="5"/>
    <x v="60"/>
    <x v="17"/>
  </r>
  <r>
    <x v="23"/>
    <x v="0"/>
    <x v="3"/>
    <x v="3"/>
    <x v="0"/>
    <x v="2"/>
    <x v="27"/>
    <x v="11"/>
    <x v="1"/>
    <x v="4"/>
    <x v="33"/>
    <x v="62"/>
  </r>
  <r>
    <x v="0"/>
    <x v="0"/>
    <x v="4"/>
    <x v="4"/>
    <x v="0"/>
    <x v="2"/>
    <x v="26"/>
    <x v="2"/>
    <x v="0"/>
    <x v="3"/>
    <x v="8"/>
    <x v="24"/>
  </r>
  <r>
    <x v="1"/>
    <x v="0"/>
    <x v="4"/>
    <x v="4"/>
    <x v="0"/>
    <x v="13"/>
    <x v="32"/>
    <x v="13"/>
    <x v="1"/>
    <x v="3"/>
    <x v="8"/>
    <x v="24"/>
  </r>
  <r>
    <x v="2"/>
    <x v="0"/>
    <x v="4"/>
    <x v="4"/>
    <x v="0"/>
    <x v="13"/>
    <x v="32"/>
    <x v="13"/>
    <x v="1"/>
    <x v="3"/>
    <x v="6"/>
    <x v="5"/>
  </r>
  <r>
    <x v="4"/>
    <x v="0"/>
    <x v="4"/>
    <x v="4"/>
    <x v="0"/>
    <x v="0"/>
    <x v="37"/>
    <x v="11"/>
    <x v="6"/>
    <x v="3"/>
    <x v="6"/>
    <x v="5"/>
  </r>
  <r>
    <x v="5"/>
    <x v="0"/>
    <x v="4"/>
    <x v="4"/>
    <x v="0"/>
    <x v="1"/>
    <x v="19"/>
    <x v="11"/>
    <x v="8"/>
    <x v="3"/>
    <x v="35"/>
    <x v="6"/>
  </r>
  <r>
    <x v="6"/>
    <x v="0"/>
    <x v="4"/>
    <x v="4"/>
    <x v="0"/>
    <x v="2"/>
    <x v="19"/>
    <x v="13"/>
    <x v="6"/>
    <x v="3"/>
    <x v="39"/>
    <x v="63"/>
  </r>
  <r>
    <x v="7"/>
    <x v="0"/>
    <x v="4"/>
    <x v="4"/>
    <x v="0"/>
    <x v="15"/>
    <x v="21"/>
    <x v="18"/>
    <x v="5"/>
    <x v="5"/>
    <x v="61"/>
    <x v="39"/>
  </r>
  <r>
    <x v="8"/>
    <x v="0"/>
    <x v="4"/>
    <x v="4"/>
    <x v="0"/>
    <x v="2"/>
    <x v="22"/>
    <x v="18"/>
    <x v="4"/>
    <x v="0"/>
    <x v="62"/>
    <x v="64"/>
  </r>
  <r>
    <x v="9"/>
    <x v="0"/>
    <x v="4"/>
    <x v="4"/>
    <x v="0"/>
    <x v="1"/>
    <x v="38"/>
    <x v="13"/>
    <x v="9"/>
    <x v="15"/>
    <x v="63"/>
    <x v="65"/>
  </r>
  <r>
    <x v="10"/>
    <x v="0"/>
    <x v="4"/>
    <x v="4"/>
    <x v="0"/>
    <x v="1"/>
    <x v="38"/>
    <x v="13"/>
    <x v="9"/>
    <x v="17"/>
    <x v="42"/>
    <x v="52"/>
  </r>
  <r>
    <x v="11"/>
    <x v="0"/>
    <x v="4"/>
    <x v="4"/>
    <x v="1"/>
    <x v="12"/>
    <x v="39"/>
    <x v="11"/>
    <x v="9"/>
    <x v="6"/>
    <x v="60"/>
    <x v="66"/>
  </r>
  <r>
    <x v="12"/>
    <x v="0"/>
    <x v="4"/>
    <x v="4"/>
    <x v="1"/>
    <x v="12"/>
    <x v="39"/>
    <x v="11"/>
    <x v="9"/>
    <x v="2"/>
    <x v="64"/>
    <x v="67"/>
  </r>
  <r>
    <x v="13"/>
    <x v="0"/>
    <x v="4"/>
    <x v="4"/>
    <x v="1"/>
    <x v="17"/>
    <x v="24"/>
    <x v="2"/>
    <x v="4"/>
    <x v="15"/>
    <x v="65"/>
    <x v="68"/>
  </r>
  <r>
    <x v="14"/>
    <x v="0"/>
    <x v="4"/>
    <x v="4"/>
    <x v="1"/>
    <x v="11"/>
    <x v="40"/>
    <x v="0"/>
    <x v="5"/>
    <x v="22"/>
    <x v="15"/>
    <x v="69"/>
  </r>
  <r>
    <x v="15"/>
    <x v="0"/>
    <x v="4"/>
    <x v="4"/>
    <x v="1"/>
    <x v="11"/>
    <x v="40"/>
    <x v="0"/>
    <x v="5"/>
    <x v="18"/>
    <x v="11"/>
    <x v="69"/>
  </r>
  <r>
    <x v="16"/>
    <x v="0"/>
    <x v="4"/>
    <x v="4"/>
    <x v="1"/>
    <x v="11"/>
    <x v="40"/>
    <x v="21"/>
    <x v="1"/>
    <x v="17"/>
    <x v="66"/>
    <x v="70"/>
  </r>
  <r>
    <x v="17"/>
    <x v="0"/>
    <x v="4"/>
    <x v="4"/>
    <x v="0"/>
    <x v="0"/>
    <x v="41"/>
    <x v="11"/>
    <x v="5"/>
    <x v="17"/>
    <x v="67"/>
    <x v="71"/>
  </r>
  <r>
    <x v="18"/>
    <x v="0"/>
    <x v="4"/>
    <x v="4"/>
    <x v="0"/>
    <x v="0"/>
    <x v="41"/>
    <x v="19"/>
    <x v="7"/>
    <x v="0"/>
    <x v="68"/>
    <x v="72"/>
  </r>
  <r>
    <x v="19"/>
    <x v="0"/>
    <x v="4"/>
    <x v="4"/>
    <x v="0"/>
    <x v="0"/>
    <x v="41"/>
    <x v="2"/>
    <x v="14"/>
    <x v="2"/>
    <x v="69"/>
    <x v="73"/>
  </r>
  <r>
    <x v="20"/>
    <x v="0"/>
    <x v="4"/>
    <x v="4"/>
    <x v="0"/>
    <x v="1"/>
    <x v="19"/>
    <x v="11"/>
    <x v="8"/>
    <x v="18"/>
    <x v="70"/>
    <x v="70"/>
  </r>
  <r>
    <x v="21"/>
    <x v="0"/>
    <x v="4"/>
    <x v="4"/>
    <x v="0"/>
    <x v="2"/>
    <x v="33"/>
    <x v="13"/>
    <x v="5"/>
    <x v="0"/>
    <x v="71"/>
    <x v="74"/>
  </r>
  <r>
    <x v="22"/>
    <x v="0"/>
    <x v="4"/>
    <x v="4"/>
    <x v="0"/>
    <x v="15"/>
    <x v="28"/>
    <x v="13"/>
    <x v="7"/>
    <x v="5"/>
    <x v="40"/>
    <x v="51"/>
  </r>
  <r>
    <x v="23"/>
    <x v="0"/>
    <x v="4"/>
    <x v="4"/>
    <x v="0"/>
    <x v="2"/>
    <x v="19"/>
    <x v="2"/>
    <x v="0"/>
    <x v="5"/>
    <x v="72"/>
    <x v="75"/>
  </r>
  <r>
    <x v="0"/>
    <x v="0"/>
    <x v="5"/>
    <x v="5"/>
    <x v="0"/>
    <x v="15"/>
    <x v="28"/>
    <x v="19"/>
    <x v="0"/>
    <x v="3"/>
    <x v="48"/>
    <x v="62"/>
  </r>
  <r>
    <x v="1"/>
    <x v="0"/>
    <x v="5"/>
    <x v="5"/>
    <x v="0"/>
    <x v="13"/>
    <x v="26"/>
    <x v="11"/>
    <x v="0"/>
    <x v="3"/>
    <x v="22"/>
    <x v="48"/>
  </r>
  <r>
    <x v="2"/>
    <x v="0"/>
    <x v="5"/>
    <x v="5"/>
    <x v="0"/>
    <x v="13"/>
    <x v="26"/>
    <x v="11"/>
    <x v="0"/>
    <x v="3"/>
    <x v="6"/>
    <x v="5"/>
  </r>
  <r>
    <x v="4"/>
    <x v="0"/>
    <x v="5"/>
    <x v="5"/>
    <x v="0"/>
    <x v="13"/>
    <x v="26"/>
    <x v="13"/>
    <x v="1"/>
    <x v="3"/>
    <x v="4"/>
    <x v="4"/>
  </r>
  <r>
    <x v="5"/>
    <x v="0"/>
    <x v="5"/>
    <x v="5"/>
    <x v="0"/>
    <x v="14"/>
    <x v="27"/>
    <x v="18"/>
    <x v="1"/>
    <x v="3"/>
    <x v="22"/>
    <x v="48"/>
  </r>
  <r>
    <x v="6"/>
    <x v="0"/>
    <x v="5"/>
    <x v="5"/>
    <x v="0"/>
    <x v="14"/>
    <x v="30"/>
    <x v="17"/>
    <x v="14"/>
    <x v="3"/>
    <x v="49"/>
    <x v="9"/>
  </r>
  <r>
    <x v="7"/>
    <x v="0"/>
    <x v="5"/>
    <x v="5"/>
    <x v="0"/>
    <x v="13"/>
    <x v="29"/>
    <x v="11"/>
    <x v="0"/>
    <x v="3"/>
    <x v="73"/>
    <x v="76"/>
  </r>
  <r>
    <x v="8"/>
    <x v="0"/>
    <x v="5"/>
    <x v="5"/>
    <x v="0"/>
    <x v="13"/>
    <x v="29"/>
    <x v="11"/>
    <x v="0"/>
    <x v="0"/>
    <x v="74"/>
    <x v="77"/>
  </r>
  <r>
    <x v="9"/>
    <x v="0"/>
    <x v="5"/>
    <x v="5"/>
    <x v="0"/>
    <x v="15"/>
    <x v="33"/>
    <x v="19"/>
    <x v="0"/>
    <x v="15"/>
    <x v="75"/>
    <x v="78"/>
  </r>
  <r>
    <x v="10"/>
    <x v="0"/>
    <x v="5"/>
    <x v="5"/>
    <x v="0"/>
    <x v="2"/>
    <x v="19"/>
    <x v="2"/>
    <x v="0"/>
    <x v="0"/>
    <x v="76"/>
    <x v="79"/>
  </r>
  <r>
    <x v="11"/>
    <x v="0"/>
    <x v="5"/>
    <x v="5"/>
    <x v="0"/>
    <x v="1"/>
    <x v="18"/>
    <x v="2"/>
    <x v="1"/>
    <x v="4"/>
    <x v="77"/>
    <x v="29"/>
  </r>
  <r>
    <x v="12"/>
    <x v="0"/>
    <x v="5"/>
    <x v="5"/>
    <x v="1"/>
    <x v="12"/>
    <x v="23"/>
    <x v="0"/>
    <x v="0"/>
    <x v="15"/>
    <x v="78"/>
    <x v="11"/>
  </r>
  <r>
    <x v="13"/>
    <x v="0"/>
    <x v="5"/>
    <x v="5"/>
    <x v="1"/>
    <x v="12"/>
    <x v="23"/>
    <x v="1"/>
    <x v="14"/>
    <x v="6"/>
    <x v="11"/>
    <x v="16"/>
  </r>
  <r>
    <x v="14"/>
    <x v="0"/>
    <x v="5"/>
    <x v="5"/>
    <x v="1"/>
    <x v="17"/>
    <x v="42"/>
    <x v="1"/>
    <x v="8"/>
    <x v="16"/>
    <x v="79"/>
    <x v="27"/>
  </r>
  <r>
    <x v="15"/>
    <x v="0"/>
    <x v="5"/>
    <x v="5"/>
    <x v="1"/>
    <x v="17"/>
    <x v="42"/>
    <x v="1"/>
    <x v="0"/>
    <x v="1"/>
    <x v="25"/>
    <x v="69"/>
  </r>
  <r>
    <x v="16"/>
    <x v="0"/>
    <x v="5"/>
    <x v="5"/>
    <x v="1"/>
    <x v="12"/>
    <x v="41"/>
    <x v="2"/>
    <x v="8"/>
    <x v="6"/>
    <x v="64"/>
    <x v="80"/>
  </r>
  <r>
    <x v="17"/>
    <x v="0"/>
    <x v="5"/>
    <x v="5"/>
    <x v="0"/>
    <x v="1"/>
    <x v="33"/>
    <x v="11"/>
    <x v="8"/>
    <x v="14"/>
    <x v="80"/>
    <x v="81"/>
  </r>
  <r>
    <x v="18"/>
    <x v="0"/>
    <x v="5"/>
    <x v="5"/>
    <x v="0"/>
    <x v="1"/>
    <x v="33"/>
    <x v="11"/>
    <x v="7"/>
    <x v="2"/>
    <x v="81"/>
    <x v="82"/>
  </r>
  <r>
    <x v="19"/>
    <x v="0"/>
    <x v="5"/>
    <x v="5"/>
    <x v="0"/>
    <x v="1"/>
    <x v="28"/>
    <x v="2"/>
    <x v="1"/>
    <x v="0"/>
    <x v="63"/>
    <x v="59"/>
  </r>
  <r>
    <x v="20"/>
    <x v="0"/>
    <x v="5"/>
    <x v="5"/>
    <x v="0"/>
    <x v="2"/>
    <x v="33"/>
    <x v="12"/>
    <x v="8"/>
    <x v="0"/>
    <x v="43"/>
    <x v="83"/>
  </r>
  <r>
    <x v="21"/>
    <x v="0"/>
    <x v="5"/>
    <x v="5"/>
    <x v="0"/>
    <x v="1"/>
    <x v="28"/>
    <x v="12"/>
    <x v="6"/>
    <x v="3"/>
    <x v="41"/>
    <x v="61"/>
  </r>
  <r>
    <x v="22"/>
    <x v="0"/>
    <x v="5"/>
    <x v="5"/>
    <x v="0"/>
    <x v="1"/>
    <x v="33"/>
    <x v="12"/>
    <x v="3"/>
    <x v="5"/>
    <x v="82"/>
    <x v="46"/>
  </r>
  <r>
    <x v="23"/>
    <x v="0"/>
    <x v="5"/>
    <x v="5"/>
    <x v="0"/>
    <x v="2"/>
    <x v="29"/>
    <x v="13"/>
    <x v="5"/>
    <x v="17"/>
    <x v="23"/>
    <x v="84"/>
  </r>
  <r>
    <x v="0"/>
    <x v="0"/>
    <x v="6"/>
    <x v="6"/>
    <x v="0"/>
    <x v="2"/>
    <x v="26"/>
    <x v="13"/>
    <x v="5"/>
    <x v="17"/>
    <x v="0"/>
    <x v="22"/>
  </r>
  <r>
    <x v="1"/>
    <x v="0"/>
    <x v="6"/>
    <x v="6"/>
    <x v="0"/>
    <x v="2"/>
    <x v="27"/>
    <x v="13"/>
    <x v="6"/>
    <x v="4"/>
    <x v="34"/>
    <x v="85"/>
  </r>
  <r>
    <x v="2"/>
    <x v="0"/>
    <x v="6"/>
    <x v="6"/>
    <x v="0"/>
    <x v="2"/>
    <x v="27"/>
    <x v="13"/>
    <x v="6"/>
    <x v="3"/>
    <x v="4"/>
    <x v="4"/>
  </r>
  <r>
    <x v="4"/>
    <x v="0"/>
    <x v="6"/>
    <x v="6"/>
    <x v="0"/>
    <x v="2"/>
    <x v="27"/>
    <x v="12"/>
    <x v="7"/>
    <x v="3"/>
    <x v="4"/>
    <x v="4"/>
  </r>
  <r>
    <x v="5"/>
    <x v="0"/>
    <x v="6"/>
    <x v="6"/>
    <x v="0"/>
    <x v="1"/>
    <x v="28"/>
    <x v="1"/>
    <x v="0"/>
    <x v="3"/>
    <x v="34"/>
    <x v="36"/>
  </r>
  <r>
    <x v="6"/>
    <x v="0"/>
    <x v="6"/>
    <x v="6"/>
    <x v="0"/>
    <x v="2"/>
    <x v="27"/>
    <x v="2"/>
    <x v="0"/>
    <x v="1"/>
    <x v="16"/>
    <x v="19"/>
  </r>
  <r>
    <x v="7"/>
    <x v="0"/>
    <x v="6"/>
    <x v="6"/>
    <x v="0"/>
    <x v="2"/>
    <x v="27"/>
    <x v="12"/>
    <x v="7"/>
    <x v="1"/>
    <x v="83"/>
    <x v="11"/>
  </r>
  <r>
    <x v="8"/>
    <x v="0"/>
    <x v="6"/>
    <x v="6"/>
    <x v="0"/>
    <x v="2"/>
    <x v="33"/>
    <x v="13"/>
    <x v="2"/>
    <x v="20"/>
    <x v="84"/>
    <x v="86"/>
  </r>
  <r>
    <x v="9"/>
    <x v="0"/>
    <x v="6"/>
    <x v="6"/>
    <x v="0"/>
    <x v="2"/>
    <x v="19"/>
    <x v="18"/>
    <x v="4"/>
    <x v="14"/>
    <x v="85"/>
    <x v="87"/>
  </r>
  <r>
    <x v="10"/>
    <x v="0"/>
    <x v="6"/>
    <x v="6"/>
    <x v="0"/>
    <x v="1"/>
    <x v="38"/>
    <x v="13"/>
    <x v="9"/>
    <x v="19"/>
    <x v="12"/>
    <x v="55"/>
  </r>
  <r>
    <x v="11"/>
    <x v="0"/>
    <x v="6"/>
    <x v="6"/>
    <x v="0"/>
    <x v="2"/>
    <x v="22"/>
    <x v="13"/>
    <x v="6"/>
    <x v="21"/>
    <x v="41"/>
    <x v="16"/>
  </r>
  <r>
    <x v="12"/>
    <x v="0"/>
    <x v="6"/>
    <x v="6"/>
    <x v="0"/>
    <x v="2"/>
    <x v="38"/>
    <x v="13"/>
    <x v="2"/>
    <x v="14"/>
    <x v="54"/>
    <x v="29"/>
  </r>
  <r>
    <x v="13"/>
    <x v="0"/>
    <x v="6"/>
    <x v="6"/>
    <x v="0"/>
    <x v="2"/>
    <x v="38"/>
    <x v="18"/>
    <x v="3"/>
    <x v="14"/>
    <x v="27"/>
    <x v="88"/>
  </r>
  <r>
    <x v="14"/>
    <x v="0"/>
    <x v="6"/>
    <x v="6"/>
    <x v="0"/>
    <x v="2"/>
    <x v="22"/>
    <x v="13"/>
    <x v="2"/>
    <x v="18"/>
    <x v="30"/>
    <x v="89"/>
  </r>
  <r>
    <x v="15"/>
    <x v="0"/>
    <x v="6"/>
    <x v="6"/>
    <x v="0"/>
    <x v="2"/>
    <x v="38"/>
    <x v="12"/>
    <x v="8"/>
    <x v="14"/>
    <x v="36"/>
    <x v="44"/>
  </r>
  <r>
    <x v="16"/>
    <x v="0"/>
    <x v="6"/>
    <x v="6"/>
    <x v="0"/>
    <x v="2"/>
    <x v="38"/>
    <x v="12"/>
    <x v="8"/>
    <x v="2"/>
    <x v="70"/>
    <x v="90"/>
  </r>
  <r>
    <x v="17"/>
    <x v="0"/>
    <x v="6"/>
    <x v="6"/>
    <x v="0"/>
    <x v="2"/>
    <x v="38"/>
    <x v="2"/>
    <x v="0"/>
    <x v="14"/>
    <x v="86"/>
    <x v="91"/>
  </r>
  <r>
    <x v="18"/>
    <x v="0"/>
    <x v="6"/>
    <x v="6"/>
    <x v="0"/>
    <x v="2"/>
    <x v="22"/>
    <x v="11"/>
    <x v="1"/>
    <x v="18"/>
    <x v="75"/>
    <x v="92"/>
  </r>
  <r>
    <x v="19"/>
    <x v="0"/>
    <x v="6"/>
    <x v="6"/>
    <x v="0"/>
    <x v="13"/>
    <x v="28"/>
    <x v="13"/>
    <x v="1"/>
    <x v="0"/>
    <x v="50"/>
    <x v="76"/>
  </r>
  <r>
    <x v="20"/>
    <x v="0"/>
    <x v="6"/>
    <x v="6"/>
    <x v="0"/>
    <x v="15"/>
    <x v="19"/>
    <x v="12"/>
    <x v="14"/>
    <x v="5"/>
    <x v="54"/>
    <x v="41"/>
  </r>
  <r>
    <x v="21"/>
    <x v="0"/>
    <x v="6"/>
    <x v="6"/>
    <x v="0"/>
    <x v="15"/>
    <x v="19"/>
    <x v="13"/>
    <x v="7"/>
    <x v="3"/>
    <x v="87"/>
    <x v="21"/>
  </r>
  <r>
    <x v="22"/>
    <x v="0"/>
    <x v="6"/>
    <x v="6"/>
    <x v="0"/>
    <x v="15"/>
    <x v="21"/>
    <x v="13"/>
    <x v="8"/>
    <x v="4"/>
    <x v="60"/>
    <x v="9"/>
  </r>
  <r>
    <x v="23"/>
    <x v="0"/>
    <x v="6"/>
    <x v="6"/>
    <x v="0"/>
    <x v="15"/>
    <x v="33"/>
    <x v="13"/>
    <x v="8"/>
    <x v="5"/>
    <x v="88"/>
    <x v="93"/>
  </r>
  <r>
    <x v="0"/>
    <x v="0"/>
    <x v="0"/>
    <x v="0"/>
    <x v="0"/>
    <x v="15"/>
    <x v="33"/>
    <x v="13"/>
    <x v="8"/>
    <x v="5"/>
    <x v="9"/>
    <x v="94"/>
  </r>
  <r>
    <x v="1"/>
    <x v="0"/>
    <x v="0"/>
    <x v="0"/>
    <x v="0"/>
    <x v="15"/>
    <x v="28"/>
    <x v="12"/>
    <x v="1"/>
    <x v="5"/>
    <x v="89"/>
    <x v="0"/>
  </r>
  <r>
    <x v="2"/>
    <x v="0"/>
    <x v="0"/>
    <x v="0"/>
    <x v="0"/>
    <x v="15"/>
    <x v="28"/>
    <x v="19"/>
    <x v="0"/>
    <x v="0"/>
    <x v="0"/>
    <x v="0"/>
  </r>
  <r>
    <x v="3"/>
    <x v="0"/>
    <x v="0"/>
    <x v="0"/>
    <x v="0"/>
    <x v="15"/>
    <x v="28"/>
    <x v="13"/>
    <x v="8"/>
    <x v="3"/>
    <x v="7"/>
    <x v="85"/>
  </r>
  <r>
    <x v="4"/>
    <x v="0"/>
    <x v="0"/>
    <x v="0"/>
    <x v="0"/>
    <x v="15"/>
    <x v="28"/>
    <x v="13"/>
    <x v="8"/>
    <x v="3"/>
    <x v="4"/>
    <x v="4"/>
  </r>
  <r>
    <x v="5"/>
    <x v="0"/>
    <x v="0"/>
    <x v="0"/>
    <x v="0"/>
    <x v="13"/>
    <x v="32"/>
    <x v="17"/>
    <x v="8"/>
    <x v="3"/>
    <x v="34"/>
    <x v="36"/>
  </r>
  <r>
    <x v="6"/>
    <x v="0"/>
    <x v="0"/>
    <x v="0"/>
    <x v="0"/>
    <x v="13"/>
    <x v="32"/>
    <x v="17"/>
    <x v="8"/>
    <x v="3"/>
    <x v="6"/>
    <x v="5"/>
  </r>
  <r>
    <x v="7"/>
    <x v="0"/>
    <x v="0"/>
    <x v="0"/>
    <x v="0"/>
    <x v="13"/>
    <x v="32"/>
    <x v="18"/>
    <x v="14"/>
    <x v="5"/>
    <x v="21"/>
    <x v="23"/>
  </r>
  <r>
    <x v="8"/>
    <x v="0"/>
    <x v="0"/>
    <x v="0"/>
    <x v="0"/>
    <x v="13"/>
    <x v="43"/>
    <x v="18"/>
    <x v="14"/>
    <x v="3"/>
    <x v="89"/>
    <x v="93"/>
  </r>
  <r>
    <x v="9"/>
    <x v="0"/>
    <x v="0"/>
    <x v="0"/>
    <x v="0"/>
    <x v="13"/>
    <x v="43"/>
    <x v="18"/>
    <x v="14"/>
    <x v="3"/>
    <x v="32"/>
    <x v="25"/>
  </r>
  <r>
    <x v="10"/>
    <x v="0"/>
    <x v="0"/>
    <x v="0"/>
    <x v="0"/>
    <x v="15"/>
    <x v="1"/>
    <x v="13"/>
    <x v="8"/>
    <x v="2"/>
    <x v="90"/>
    <x v="42"/>
  </r>
  <r>
    <x v="11"/>
    <x v="0"/>
    <x v="0"/>
    <x v="0"/>
    <x v="0"/>
    <x v="2"/>
    <x v="27"/>
    <x v="18"/>
    <x v="13"/>
    <x v="4"/>
    <x v="91"/>
    <x v="69"/>
  </r>
  <r>
    <x v="12"/>
    <x v="0"/>
    <x v="0"/>
    <x v="0"/>
    <x v="0"/>
    <x v="2"/>
    <x v="29"/>
    <x v="18"/>
    <x v="11"/>
    <x v="1"/>
    <x v="92"/>
    <x v="95"/>
  </r>
  <r>
    <x v="13"/>
    <x v="0"/>
    <x v="0"/>
    <x v="0"/>
    <x v="0"/>
    <x v="2"/>
    <x v="18"/>
    <x v="18"/>
    <x v="9"/>
    <x v="18"/>
    <x v="73"/>
    <x v="96"/>
  </r>
  <r>
    <x v="14"/>
    <x v="0"/>
    <x v="0"/>
    <x v="0"/>
    <x v="0"/>
    <x v="2"/>
    <x v="25"/>
    <x v="17"/>
    <x v="15"/>
    <x v="6"/>
    <x v="93"/>
    <x v="76"/>
  </r>
  <r>
    <x v="15"/>
    <x v="0"/>
    <x v="0"/>
    <x v="0"/>
    <x v="0"/>
    <x v="2"/>
    <x v="25"/>
    <x v="17"/>
    <x v="10"/>
    <x v="2"/>
    <x v="94"/>
    <x v="30"/>
  </r>
  <r>
    <x v="16"/>
    <x v="0"/>
    <x v="0"/>
    <x v="0"/>
    <x v="0"/>
    <x v="15"/>
    <x v="44"/>
    <x v="14"/>
    <x v="10"/>
    <x v="1"/>
    <x v="56"/>
    <x v="31"/>
  </r>
  <r>
    <x v="17"/>
    <x v="0"/>
    <x v="0"/>
    <x v="0"/>
    <x v="0"/>
    <x v="13"/>
    <x v="38"/>
    <x v="16"/>
    <x v="16"/>
    <x v="2"/>
    <x v="27"/>
    <x v="83"/>
  </r>
  <r>
    <x v="18"/>
    <x v="0"/>
    <x v="0"/>
    <x v="0"/>
    <x v="0"/>
    <x v="14"/>
    <x v="17"/>
    <x v="16"/>
    <x v="4"/>
    <x v="0"/>
    <x v="15"/>
    <x v="97"/>
  </r>
  <r>
    <x v="19"/>
    <x v="0"/>
    <x v="0"/>
    <x v="0"/>
    <x v="0"/>
    <x v="14"/>
    <x v="42"/>
    <x v="16"/>
    <x v="2"/>
    <x v="17"/>
    <x v="16"/>
    <x v="33"/>
  </r>
  <r>
    <x v="20"/>
    <x v="0"/>
    <x v="0"/>
    <x v="0"/>
    <x v="0"/>
    <x v="16"/>
    <x v="42"/>
    <x v="16"/>
    <x v="2"/>
    <x v="3"/>
    <x v="95"/>
    <x v="20"/>
  </r>
  <r>
    <x v="21"/>
    <x v="0"/>
    <x v="0"/>
    <x v="0"/>
    <x v="0"/>
    <x v="16"/>
    <x v="17"/>
    <x v="15"/>
    <x v="11"/>
    <x v="4"/>
    <x v="96"/>
    <x v="18"/>
  </r>
  <r>
    <x v="22"/>
    <x v="0"/>
    <x v="0"/>
    <x v="0"/>
    <x v="0"/>
    <x v="16"/>
    <x v="42"/>
    <x v="15"/>
    <x v="13"/>
    <x v="5"/>
    <x v="39"/>
    <x v="19"/>
  </r>
  <r>
    <x v="23"/>
    <x v="0"/>
    <x v="0"/>
    <x v="0"/>
    <x v="0"/>
    <x v="18"/>
    <x v="17"/>
    <x v="22"/>
    <x v="10"/>
    <x v="3"/>
    <x v="97"/>
    <x v="34"/>
  </r>
  <r>
    <x v="0"/>
    <x v="0"/>
    <x v="1"/>
    <x v="1"/>
    <x v="0"/>
    <x v="18"/>
    <x v="16"/>
    <x v="23"/>
    <x v="13"/>
    <x v="5"/>
    <x v="9"/>
    <x v="94"/>
  </r>
  <r>
    <x v="1"/>
    <x v="0"/>
    <x v="1"/>
    <x v="1"/>
    <x v="0"/>
    <x v="18"/>
    <x v="16"/>
    <x v="22"/>
    <x v="17"/>
    <x v="3"/>
    <x v="98"/>
    <x v="47"/>
  </r>
  <r>
    <x v="2"/>
    <x v="0"/>
    <x v="1"/>
    <x v="1"/>
    <x v="0"/>
    <x v="18"/>
    <x v="15"/>
    <x v="22"/>
    <x v="17"/>
    <x v="3"/>
    <x v="48"/>
    <x v="62"/>
  </r>
  <r>
    <x v="3"/>
    <x v="0"/>
    <x v="1"/>
    <x v="1"/>
    <x v="0"/>
    <x v="18"/>
    <x v="15"/>
    <x v="23"/>
    <x v="12"/>
    <x v="3"/>
    <x v="22"/>
    <x v="48"/>
  </r>
  <r>
    <x v="4"/>
    <x v="0"/>
    <x v="1"/>
    <x v="1"/>
    <x v="0"/>
    <x v="19"/>
    <x v="45"/>
    <x v="24"/>
    <x v="5"/>
    <x v="3"/>
    <x v="4"/>
    <x v="4"/>
  </r>
  <r>
    <x v="5"/>
    <x v="0"/>
    <x v="1"/>
    <x v="1"/>
    <x v="0"/>
    <x v="19"/>
    <x v="45"/>
    <x v="24"/>
    <x v="5"/>
    <x v="3"/>
    <x v="4"/>
    <x v="4"/>
  </r>
  <r>
    <x v="6"/>
    <x v="0"/>
    <x v="1"/>
    <x v="1"/>
    <x v="0"/>
    <x v="18"/>
    <x v="36"/>
    <x v="24"/>
    <x v="3"/>
    <x v="3"/>
    <x v="4"/>
    <x v="4"/>
  </r>
  <r>
    <x v="7"/>
    <x v="0"/>
    <x v="1"/>
    <x v="1"/>
    <x v="0"/>
    <x v="19"/>
    <x v="45"/>
    <x v="24"/>
    <x v="5"/>
    <x v="5"/>
    <x v="34"/>
    <x v="24"/>
  </r>
  <r>
    <x v="8"/>
    <x v="0"/>
    <x v="1"/>
    <x v="1"/>
    <x v="0"/>
    <x v="18"/>
    <x v="36"/>
    <x v="24"/>
    <x v="3"/>
    <x v="3"/>
    <x v="3"/>
    <x v="98"/>
  </r>
  <r>
    <x v="9"/>
    <x v="0"/>
    <x v="1"/>
    <x v="1"/>
    <x v="0"/>
    <x v="16"/>
    <x v="15"/>
    <x v="23"/>
    <x v="18"/>
    <x v="3"/>
    <x v="23"/>
    <x v="75"/>
  </r>
  <r>
    <x v="10"/>
    <x v="0"/>
    <x v="1"/>
    <x v="1"/>
    <x v="0"/>
    <x v="14"/>
    <x v="21"/>
    <x v="15"/>
    <x v="13"/>
    <x v="3"/>
    <x v="47"/>
    <x v="99"/>
  </r>
  <r>
    <x v="11"/>
    <x v="0"/>
    <x v="1"/>
    <x v="1"/>
    <x v="0"/>
    <x v="13"/>
    <x v="22"/>
    <x v="16"/>
    <x v="18"/>
    <x v="4"/>
    <x v="12"/>
    <x v="99"/>
  </r>
  <r>
    <x v="12"/>
    <x v="0"/>
    <x v="1"/>
    <x v="1"/>
    <x v="0"/>
    <x v="15"/>
    <x v="38"/>
    <x v="14"/>
    <x v="10"/>
    <x v="17"/>
    <x v="55"/>
    <x v="56"/>
  </r>
  <r>
    <x v="13"/>
    <x v="0"/>
    <x v="1"/>
    <x v="1"/>
    <x v="0"/>
    <x v="2"/>
    <x v="46"/>
    <x v="17"/>
    <x v="10"/>
    <x v="15"/>
    <x v="94"/>
    <x v="28"/>
  </r>
  <r>
    <x v="14"/>
    <x v="0"/>
    <x v="1"/>
    <x v="1"/>
    <x v="0"/>
    <x v="1"/>
    <x v="25"/>
    <x v="18"/>
    <x v="17"/>
    <x v="1"/>
    <x v="27"/>
    <x v="44"/>
  </r>
  <r>
    <x v="15"/>
    <x v="0"/>
    <x v="1"/>
    <x v="1"/>
    <x v="0"/>
    <x v="1"/>
    <x v="23"/>
    <x v="13"/>
    <x v="11"/>
    <x v="2"/>
    <x v="99"/>
    <x v="100"/>
  </r>
  <r>
    <x v="16"/>
    <x v="0"/>
    <x v="1"/>
    <x v="1"/>
    <x v="0"/>
    <x v="2"/>
    <x v="46"/>
    <x v="17"/>
    <x v="10"/>
    <x v="23"/>
    <x v="55"/>
    <x v="101"/>
  </r>
  <r>
    <x v="17"/>
    <x v="0"/>
    <x v="1"/>
    <x v="1"/>
    <x v="0"/>
    <x v="15"/>
    <x v="38"/>
    <x v="20"/>
    <x v="13"/>
    <x v="0"/>
    <x v="79"/>
    <x v="69"/>
  </r>
  <r>
    <x v="18"/>
    <x v="0"/>
    <x v="1"/>
    <x v="1"/>
    <x v="0"/>
    <x v="13"/>
    <x v="22"/>
    <x v="14"/>
    <x v="9"/>
    <x v="17"/>
    <x v="100"/>
    <x v="61"/>
  </r>
  <r>
    <x v="19"/>
    <x v="0"/>
    <x v="1"/>
    <x v="1"/>
    <x v="0"/>
    <x v="13"/>
    <x v="21"/>
    <x v="14"/>
    <x v="9"/>
    <x v="5"/>
    <x v="71"/>
    <x v="102"/>
  </r>
  <r>
    <x v="20"/>
    <x v="0"/>
    <x v="1"/>
    <x v="1"/>
    <x v="0"/>
    <x v="14"/>
    <x v="15"/>
    <x v="16"/>
    <x v="2"/>
    <x v="3"/>
    <x v="101"/>
    <x v="103"/>
  </r>
  <r>
    <x v="21"/>
    <x v="0"/>
    <x v="1"/>
    <x v="1"/>
    <x v="0"/>
    <x v="14"/>
    <x v="15"/>
    <x v="15"/>
    <x v="12"/>
    <x v="5"/>
    <x v="23"/>
    <x v="25"/>
  </r>
  <r>
    <x v="22"/>
    <x v="0"/>
    <x v="1"/>
    <x v="1"/>
    <x v="0"/>
    <x v="14"/>
    <x v="15"/>
    <x v="16"/>
    <x v="4"/>
    <x v="2"/>
    <x v="3"/>
    <x v="93"/>
  </r>
  <r>
    <x v="23"/>
    <x v="0"/>
    <x v="1"/>
    <x v="1"/>
    <x v="0"/>
    <x v="16"/>
    <x v="20"/>
    <x v="14"/>
    <x v="5"/>
    <x v="3"/>
    <x v="8"/>
    <x v="24"/>
  </r>
  <r>
    <x v="0"/>
    <x v="0"/>
    <x v="2"/>
    <x v="2"/>
    <x v="0"/>
    <x v="16"/>
    <x v="20"/>
    <x v="16"/>
    <x v="3"/>
    <x v="4"/>
    <x v="35"/>
    <x v="36"/>
  </r>
  <r>
    <x v="1"/>
    <x v="0"/>
    <x v="2"/>
    <x v="2"/>
    <x v="0"/>
    <x v="16"/>
    <x v="20"/>
    <x v="16"/>
    <x v="3"/>
    <x v="5"/>
    <x v="5"/>
    <x v="4"/>
  </r>
  <r>
    <x v="2"/>
    <x v="0"/>
    <x v="2"/>
    <x v="2"/>
    <x v="0"/>
    <x v="16"/>
    <x v="20"/>
    <x v="16"/>
    <x v="6"/>
    <x v="3"/>
    <x v="35"/>
    <x v="6"/>
  </r>
  <r>
    <x v="3"/>
    <x v="0"/>
    <x v="2"/>
    <x v="2"/>
    <x v="0"/>
    <x v="16"/>
    <x v="20"/>
    <x v="16"/>
    <x v="6"/>
    <x v="3"/>
    <x v="4"/>
    <x v="4"/>
  </r>
  <r>
    <x v="4"/>
    <x v="0"/>
    <x v="2"/>
    <x v="2"/>
    <x v="0"/>
    <x v="18"/>
    <x v="47"/>
    <x v="16"/>
    <x v="7"/>
    <x v="5"/>
    <x v="6"/>
    <x v="6"/>
  </r>
  <r>
    <x v="5"/>
    <x v="0"/>
    <x v="2"/>
    <x v="2"/>
    <x v="0"/>
    <x v="18"/>
    <x v="47"/>
    <x v="15"/>
    <x v="2"/>
    <x v="3"/>
    <x v="35"/>
    <x v="6"/>
  </r>
  <r>
    <x v="6"/>
    <x v="0"/>
    <x v="2"/>
    <x v="2"/>
    <x v="0"/>
    <x v="16"/>
    <x v="20"/>
    <x v="16"/>
    <x v="3"/>
    <x v="3"/>
    <x v="17"/>
    <x v="35"/>
  </r>
  <r>
    <x v="7"/>
    <x v="0"/>
    <x v="2"/>
    <x v="2"/>
    <x v="0"/>
    <x v="16"/>
    <x v="20"/>
    <x v="16"/>
    <x v="6"/>
    <x v="4"/>
    <x v="102"/>
    <x v="43"/>
  </r>
  <r>
    <x v="8"/>
    <x v="0"/>
    <x v="2"/>
    <x v="2"/>
    <x v="0"/>
    <x v="16"/>
    <x v="20"/>
    <x v="16"/>
    <x v="3"/>
    <x v="17"/>
    <x v="103"/>
    <x v="104"/>
  </r>
  <r>
    <x v="9"/>
    <x v="0"/>
    <x v="2"/>
    <x v="2"/>
    <x v="0"/>
    <x v="14"/>
    <x v="20"/>
    <x v="16"/>
    <x v="2"/>
    <x v="4"/>
    <x v="50"/>
    <x v="12"/>
  </r>
  <r>
    <x v="10"/>
    <x v="0"/>
    <x v="2"/>
    <x v="2"/>
    <x v="0"/>
    <x v="14"/>
    <x v="20"/>
    <x v="16"/>
    <x v="4"/>
    <x v="3"/>
    <x v="17"/>
    <x v="35"/>
  </r>
  <r>
    <x v="11"/>
    <x v="0"/>
    <x v="2"/>
    <x v="2"/>
    <x v="0"/>
    <x v="13"/>
    <x v="19"/>
    <x v="14"/>
    <x v="3"/>
    <x v="4"/>
    <x v="95"/>
    <x v="33"/>
  </r>
  <r>
    <x v="12"/>
    <x v="0"/>
    <x v="2"/>
    <x v="2"/>
    <x v="0"/>
    <x v="2"/>
    <x v="22"/>
    <x v="18"/>
    <x v="3"/>
    <x v="2"/>
    <x v="12"/>
    <x v="46"/>
  </r>
  <r>
    <x v="13"/>
    <x v="0"/>
    <x v="2"/>
    <x v="2"/>
    <x v="0"/>
    <x v="2"/>
    <x v="22"/>
    <x v="18"/>
    <x v="3"/>
    <x v="17"/>
    <x v="54"/>
    <x v="60"/>
  </r>
  <r>
    <x v="14"/>
    <x v="0"/>
    <x v="2"/>
    <x v="2"/>
    <x v="0"/>
    <x v="2"/>
    <x v="22"/>
    <x v="13"/>
    <x v="6"/>
    <x v="3"/>
    <x v="12"/>
    <x v="105"/>
  </r>
  <r>
    <x v="15"/>
    <x v="0"/>
    <x v="2"/>
    <x v="2"/>
    <x v="0"/>
    <x v="2"/>
    <x v="22"/>
    <x v="13"/>
    <x v="6"/>
    <x v="4"/>
    <x v="30"/>
    <x v="79"/>
  </r>
  <r>
    <x v="16"/>
    <x v="0"/>
    <x v="2"/>
    <x v="2"/>
    <x v="0"/>
    <x v="2"/>
    <x v="22"/>
    <x v="12"/>
    <x v="7"/>
    <x v="17"/>
    <x v="14"/>
    <x v="30"/>
  </r>
  <r>
    <x v="17"/>
    <x v="0"/>
    <x v="2"/>
    <x v="2"/>
    <x v="0"/>
    <x v="2"/>
    <x v="22"/>
    <x v="11"/>
    <x v="14"/>
    <x v="17"/>
    <x v="104"/>
    <x v="106"/>
  </r>
  <r>
    <x v="18"/>
    <x v="0"/>
    <x v="2"/>
    <x v="2"/>
    <x v="0"/>
    <x v="2"/>
    <x v="22"/>
    <x v="13"/>
    <x v="6"/>
    <x v="5"/>
    <x v="105"/>
    <x v="107"/>
  </r>
  <r>
    <x v="19"/>
    <x v="0"/>
    <x v="2"/>
    <x v="2"/>
    <x v="0"/>
    <x v="13"/>
    <x v="19"/>
    <x v="17"/>
    <x v="8"/>
    <x v="0"/>
    <x v="50"/>
    <x v="76"/>
  </r>
  <r>
    <x v="20"/>
    <x v="0"/>
    <x v="2"/>
    <x v="2"/>
    <x v="0"/>
    <x v="13"/>
    <x v="20"/>
    <x v="17"/>
    <x v="8"/>
    <x v="5"/>
    <x v="26"/>
    <x v="30"/>
  </r>
  <r>
    <x v="21"/>
    <x v="0"/>
    <x v="2"/>
    <x v="2"/>
    <x v="0"/>
    <x v="14"/>
    <x v="29"/>
    <x v="14"/>
    <x v="5"/>
    <x v="5"/>
    <x v="53"/>
    <x v="103"/>
  </r>
  <r>
    <x v="22"/>
    <x v="0"/>
    <x v="2"/>
    <x v="2"/>
    <x v="0"/>
    <x v="14"/>
    <x v="29"/>
    <x v="20"/>
    <x v="8"/>
    <x v="4"/>
    <x v="97"/>
    <x v="108"/>
  </r>
  <r>
    <x v="23"/>
    <x v="0"/>
    <x v="2"/>
    <x v="2"/>
    <x v="0"/>
    <x v="14"/>
    <x v="29"/>
    <x v="20"/>
    <x v="8"/>
    <x v="3"/>
    <x v="72"/>
    <x v="109"/>
  </r>
  <r>
    <x v="0"/>
    <x v="0"/>
    <x v="3"/>
    <x v="3"/>
    <x v="0"/>
    <x v="14"/>
    <x v="29"/>
    <x v="17"/>
    <x v="14"/>
    <x v="4"/>
    <x v="3"/>
    <x v="47"/>
  </r>
  <r>
    <x v="1"/>
    <x v="0"/>
    <x v="3"/>
    <x v="3"/>
    <x v="0"/>
    <x v="14"/>
    <x v="29"/>
    <x v="20"/>
    <x v="8"/>
    <x v="3"/>
    <x v="35"/>
    <x v="6"/>
  </r>
  <r>
    <x v="2"/>
    <x v="0"/>
    <x v="3"/>
    <x v="3"/>
    <x v="0"/>
    <x v="13"/>
    <x v="28"/>
    <x v="20"/>
    <x v="5"/>
    <x v="3"/>
    <x v="35"/>
    <x v="6"/>
  </r>
  <r>
    <x v="5"/>
    <x v="0"/>
    <x v="3"/>
    <x v="3"/>
    <x v="0"/>
    <x v="13"/>
    <x v="28"/>
    <x v="18"/>
    <x v="7"/>
    <x v="3"/>
    <x v="8"/>
    <x v="24"/>
  </r>
  <r>
    <x v="6"/>
    <x v="0"/>
    <x v="3"/>
    <x v="3"/>
    <x v="0"/>
    <x v="13"/>
    <x v="28"/>
    <x v="18"/>
    <x v="7"/>
    <x v="3"/>
    <x v="2"/>
    <x v="110"/>
  </r>
  <r>
    <x v="7"/>
    <x v="0"/>
    <x v="3"/>
    <x v="3"/>
    <x v="0"/>
    <x v="13"/>
    <x v="28"/>
    <x v="11"/>
    <x v="0"/>
    <x v="4"/>
    <x v="106"/>
    <x v="111"/>
  </r>
  <r>
    <x v="8"/>
    <x v="0"/>
    <x v="3"/>
    <x v="3"/>
    <x v="0"/>
    <x v="15"/>
    <x v="33"/>
    <x v="12"/>
    <x v="1"/>
    <x v="0"/>
    <x v="107"/>
    <x v="112"/>
  </r>
  <r>
    <x v="9"/>
    <x v="0"/>
    <x v="3"/>
    <x v="3"/>
    <x v="0"/>
    <x v="15"/>
    <x v="33"/>
    <x v="13"/>
    <x v="8"/>
    <x v="0"/>
    <x v="69"/>
    <x v="113"/>
  </r>
  <r>
    <x v="10"/>
    <x v="0"/>
    <x v="3"/>
    <x v="3"/>
    <x v="0"/>
    <x v="2"/>
    <x v="33"/>
    <x v="12"/>
    <x v="8"/>
    <x v="0"/>
    <x v="82"/>
    <x v="60"/>
  </r>
  <r>
    <x v="11"/>
    <x v="0"/>
    <x v="3"/>
    <x v="3"/>
    <x v="0"/>
    <x v="2"/>
    <x v="19"/>
    <x v="12"/>
    <x v="7"/>
    <x v="17"/>
    <x v="17"/>
    <x v="17"/>
  </r>
  <r>
    <x v="12"/>
    <x v="0"/>
    <x v="3"/>
    <x v="3"/>
    <x v="0"/>
    <x v="2"/>
    <x v="33"/>
    <x v="11"/>
    <x v="14"/>
    <x v="4"/>
    <x v="11"/>
    <x v="52"/>
  </r>
  <r>
    <x v="13"/>
    <x v="0"/>
    <x v="3"/>
    <x v="3"/>
    <x v="0"/>
    <x v="2"/>
    <x v="29"/>
    <x v="11"/>
    <x v="1"/>
    <x v="15"/>
    <x v="24"/>
    <x v="46"/>
  </r>
  <r>
    <x v="14"/>
    <x v="0"/>
    <x v="3"/>
    <x v="3"/>
    <x v="0"/>
    <x v="2"/>
    <x v="29"/>
    <x v="11"/>
    <x v="1"/>
    <x v="0"/>
    <x v="91"/>
    <x v="55"/>
  </r>
  <r>
    <x v="15"/>
    <x v="0"/>
    <x v="3"/>
    <x v="3"/>
    <x v="0"/>
    <x v="13"/>
    <x v="1"/>
    <x v="13"/>
    <x v="1"/>
    <x v="4"/>
    <x v="108"/>
    <x v="105"/>
  </r>
  <r>
    <x v="16"/>
    <x v="0"/>
    <x v="3"/>
    <x v="3"/>
    <x v="0"/>
    <x v="13"/>
    <x v="3"/>
    <x v="20"/>
    <x v="6"/>
    <x v="17"/>
    <x v="109"/>
    <x v="31"/>
  </r>
  <r>
    <x v="17"/>
    <x v="0"/>
    <x v="3"/>
    <x v="3"/>
    <x v="0"/>
    <x v="13"/>
    <x v="3"/>
    <x v="20"/>
    <x v="6"/>
    <x v="15"/>
    <x v="110"/>
    <x v="114"/>
  </r>
  <r>
    <x v="18"/>
    <x v="0"/>
    <x v="3"/>
    <x v="3"/>
    <x v="0"/>
    <x v="13"/>
    <x v="43"/>
    <x v="18"/>
    <x v="14"/>
    <x v="5"/>
    <x v="111"/>
    <x v="76"/>
  </r>
  <r>
    <x v="19"/>
    <x v="0"/>
    <x v="3"/>
    <x v="3"/>
    <x v="0"/>
    <x v="13"/>
    <x v="43"/>
    <x v="11"/>
    <x v="0"/>
    <x v="3"/>
    <x v="82"/>
    <x v="41"/>
  </r>
  <r>
    <x v="20"/>
    <x v="0"/>
    <x v="3"/>
    <x v="3"/>
    <x v="0"/>
    <x v="13"/>
    <x v="43"/>
    <x v="20"/>
    <x v="5"/>
    <x v="3"/>
    <x v="1"/>
    <x v="2"/>
  </r>
  <r>
    <x v="21"/>
    <x v="0"/>
    <x v="3"/>
    <x v="3"/>
    <x v="0"/>
    <x v="13"/>
    <x v="3"/>
    <x v="13"/>
    <x v="1"/>
    <x v="3"/>
    <x v="32"/>
    <x v="25"/>
  </r>
  <r>
    <x v="22"/>
    <x v="0"/>
    <x v="3"/>
    <x v="3"/>
    <x v="0"/>
    <x v="13"/>
    <x v="43"/>
    <x v="18"/>
    <x v="14"/>
    <x v="5"/>
    <x v="95"/>
    <x v="115"/>
  </r>
  <r>
    <x v="23"/>
    <x v="0"/>
    <x v="3"/>
    <x v="3"/>
    <x v="0"/>
    <x v="13"/>
    <x v="43"/>
    <x v="13"/>
    <x v="1"/>
    <x v="5"/>
    <x v="72"/>
    <x v="75"/>
  </r>
  <r>
    <x v="0"/>
    <x v="0"/>
    <x v="4"/>
    <x v="4"/>
    <x v="0"/>
    <x v="13"/>
    <x v="3"/>
    <x v="13"/>
    <x v="1"/>
    <x v="3"/>
    <x v="7"/>
    <x v="85"/>
  </r>
  <r>
    <x v="1"/>
    <x v="0"/>
    <x v="4"/>
    <x v="4"/>
    <x v="0"/>
    <x v="13"/>
    <x v="3"/>
    <x v="18"/>
    <x v="14"/>
    <x v="3"/>
    <x v="8"/>
    <x v="24"/>
  </r>
  <r>
    <x v="2"/>
    <x v="0"/>
    <x v="4"/>
    <x v="4"/>
    <x v="0"/>
    <x v="14"/>
    <x v="3"/>
    <x v="20"/>
    <x v="7"/>
    <x v="3"/>
    <x v="4"/>
    <x v="4"/>
  </r>
  <r>
    <x v="5"/>
    <x v="0"/>
    <x v="4"/>
    <x v="4"/>
    <x v="0"/>
    <x v="14"/>
    <x v="3"/>
    <x v="20"/>
    <x v="8"/>
    <x v="3"/>
    <x v="34"/>
    <x v="36"/>
  </r>
  <r>
    <x v="6"/>
    <x v="0"/>
    <x v="4"/>
    <x v="4"/>
    <x v="0"/>
    <x v="16"/>
    <x v="43"/>
    <x v="20"/>
    <x v="7"/>
    <x v="3"/>
    <x v="20"/>
    <x v="0"/>
  </r>
  <r>
    <x v="7"/>
    <x v="0"/>
    <x v="4"/>
    <x v="4"/>
    <x v="0"/>
    <x v="14"/>
    <x v="27"/>
    <x v="20"/>
    <x v="7"/>
    <x v="3"/>
    <x v="25"/>
    <x v="60"/>
  </r>
  <r>
    <x v="8"/>
    <x v="0"/>
    <x v="4"/>
    <x v="4"/>
    <x v="0"/>
    <x v="13"/>
    <x v="29"/>
    <x v="17"/>
    <x v="8"/>
    <x v="0"/>
    <x v="85"/>
    <x v="116"/>
  </r>
  <r>
    <x v="9"/>
    <x v="0"/>
    <x v="4"/>
    <x v="4"/>
    <x v="0"/>
    <x v="13"/>
    <x v="29"/>
    <x v="14"/>
    <x v="9"/>
    <x v="0"/>
    <x v="78"/>
    <x v="117"/>
  </r>
  <r>
    <x v="10"/>
    <x v="0"/>
    <x v="4"/>
    <x v="4"/>
    <x v="0"/>
    <x v="15"/>
    <x v="28"/>
    <x v="18"/>
    <x v="6"/>
    <x v="3"/>
    <x v="87"/>
    <x v="21"/>
  </r>
  <r>
    <x v="11"/>
    <x v="0"/>
    <x v="4"/>
    <x v="4"/>
    <x v="0"/>
    <x v="2"/>
    <x v="33"/>
    <x v="18"/>
    <x v="13"/>
    <x v="0"/>
    <x v="1"/>
    <x v="17"/>
  </r>
  <r>
    <x v="12"/>
    <x v="0"/>
    <x v="4"/>
    <x v="4"/>
    <x v="0"/>
    <x v="2"/>
    <x v="19"/>
    <x v="20"/>
    <x v="19"/>
    <x v="0"/>
    <x v="15"/>
    <x v="97"/>
  </r>
  <r>
    <x v="13"/>
    <x v="0"/>
    <x v="4"/>
    <x v="4"/>
    <x v="0"/>
    <x v="1"/>
    <x v="18"/>
    <x v="13"/>
    <x v="11"/>
    <x v="3"/>
    <x v="47"/>
    <x v="99"/>
  </r>
  <r>
    <x v="14"/>
    <x v="0"/>
    <x v="4"/>
    <x v="4"/>
    <x v="0"/>
    <x v="2"/>
    <x v="19"/>
    <x v="18"/>
    <x v="9"/>
    <x v="3"/>
    <x v="100"/>
    <x v="40"/>
  </r>
  <r>
    <x v="15"/>
    <x v="0"/>
    <x v="4"/>
    <x v="4"/>
    <x v="0"/>
    <x v="2"/>
    <x v="19"/>
    <x v="17"/>
    <x v="12"/>
    <x v="5"/>
    <x v="41"/>
    <x v="99"/>
  </r>
  <r>
    <x v="16"/>
    <x v="0"/>
    <x v="4"/>
    <x v="4"/>
    <x v="0"/>
    <x v="1"/>
    <x v="18"/>
    <x v="13"/>
    <x v="9"/>
    <x v="2"/>
    <x v="36"/>
    <x v="118"/>
  </r>
  <r>
    <x v="17"/>
    <x v="0"/>
    <x v="4"/>
    <x v="4"/>
    <x v="0"/>
    <x v="2"/>
    <x v="19"/>
    <x v="18"/>
    <x v="11"/>
    <x v="3"/>
    <x v="112"/>
    <x v="119"/>
  </r>
  <r>
    <x v="18"/>
    <x v="0"/>
    <x v="4"/>
    <x v="4"/>
    <x v="0"/>
    <x v="2"/>
    <x v="19"/>
    <x v="20"/>
    <x v="18"/>
    <x v="4"/>
    <x v="113"/>
    <x v="120"/>
  </r>
  <r>
    <x v="19"/>
    <x v="0"/>
    <x v="4"/>
    <x v="4"/>
    <x v="0"/>
    <x v="15"/>
    <x v="19"/>
    <x v="20"/>
    <x v="12"/>
    <x v="5"/>
    <x v="70"/>
    <x v="56"/>
  </r>
  <r>
    <x v="20"/>
    <x v="0"/>
    <x v="4"/>
    <x v="4"/>
    <x v="0"/>
    <x v="13"/>
    <x v="20"/>
    <x v="14"/>
    <x v="9"/>
    <x v="4"/>
    <x v="25"/>
    <x v="10"/>
  </r>
  <r>
    <x v="21"/>
    <x v="0"/>
    <x v="4"/>
    <x v="4"/>
    <x v="0"/>
    <x v="13"/>
    <x v="28"/>
    <x v="14"/>
    <x v="9"/>
    <x v="3"/>
    <x v="77"/>
    <x v="52"/>
  </r>
  <r>
    <x v="22"/>
    <x v="0"/>
    <x v="4"/>
    <x v="4"/>
    <x v="0"/>
    <x v="13"/>
    <x v="28"/>
    <x v="16"/>
    <x v="10"/>
    <x v="5"/>
    <x v="1"/>
    <x v="63"/>
  </r>
  <r>
    <x v="23"/>
    <x v="0"/>
    <x v="4"/>
    <x v="4"/>
    <x v="0"/>
    <x v="14"/>
    <x v="29"/>
    <x v="15"/>
    <x v="12"/>
    <x v="5"/>
    <x v="23"/>
    <x v="25"/>
  </r>
  <r>
    <x v="0"/>
    <x v="0"/>
    <x v="5"/>
    <x v="5"/>
    <x v="0"/>
    <x v="14"/>
    <x v="29"/>
    <x v="16"/>
    <x v="3"/>
    <x v="5"/>
    <x v="8"/>
    <x v="85"/>
  </r>
  <r>
    <x v="1"/>
    <x v="0"/>
    <x v="5"/>
    <x v="5"/>
    <x v="0"/>
    <x v="14"/>
    <x v="20"/>
    <x v="16"/>
    <x v="3"/>
    <x v="3"/>
    <x v="6"/>
    <x v="5"/>
  </r>
  <r>
    <x v="2"/>
    <x v="0"/>
    <x v="5"/>
    <x v="5"/>
    <x v="0"/>
    <x v="14"/>
    <x v="20"/>
    <x v="16"/>
    <x v="11"/>
    <x v="3"/>
    <x v="6"/>
    <x v="5"/>
  </r>
  <r>
    <x v="3"/>
    <x v="0"/>
    <x v="5"/>
    <x v="5"/>
    <x v="0"/>
    <x v="14"/>
    <x v="20"/>
    <x v="16"/>
    <x v="9"/>
    <x v="3"/>
    <x v="35"/>
    <x v="6"/>
  </r>
  <r>
    <x v="4"/>
    <x v="0"/>
    <x v="5"/>
    <x v="5"/>
    <x v="0"/>
    <x v="14"/>
    <x v="20"/>
    <x v="16"/>
    <x v="2"/>
    <x v="3"/>
    <x v="22"/>
    <x v="48"/>
  </r>
  <r>
    <x v="5"/>
    <x v="0"/>
    <x v="5"/>
    <x v="5"/>
    <x v="0"/>
    <x v="14"/>
    <x v="20"/>
    <x v="16"/>
    <x v="4"/>
    <x v="3"/>
    <x v="35"/>
    <x v="6"/>
  </r>
  <r>
    <x v="6"/>
    <x v="0"/>
    <x v="5"/>
    <x v="5"/>
    <x v="0"/>
    <x v="16"/>
    <x v="47"/>
    <x v="20"/>
    <x v="7"/>
    <x v="3"/>
    <x v="95"/>
    <x v="20"/>
  </r>
  <r>
    <x v="7"/>
    <x v="0"/>
    <x v="5"/>
    <x v="5"/>
    <x v="0"/>
    <x v="16"/>
    <x v="47"/>
    <x v="20"/>
    <x v="7"/>
    <x v="3"/>
    <x v="109"/>
    <x v="44"/>
  </r>
  <r>
    <x v="8"/>
    <x v="0"/>
    <x v="5"/>
    <x v="5"/>
    <x v="0"/>
    <x v="14"/>
    <x v="20"/>
    <x v="14"/>
    <x v="5"/>
    <x v="2"/>
    <x v="114"/>
    <x v="121"/>
  </r>
  <r>
    <x v="9"/>
    <x v="0"/>
    <x v="5"/>
    <x v="5"/>
    <x v="0"/>
    <x v="14"/>
    <x v="20"/>
    <x v="16"/>
    <x v="9"/>
    <x v="4"/>
    <x v="115"/>
    <x v="119"/>
  </r>
  <r>
    <x v="10"/>
    <x v="0"/>
    <x v="5"/>
    <x v="5"/>
    <x v="0"/>
    <x v="13"/>
    <x v="20"/>
    <x v="14"/>
    <x v="11"/>
    <x v="4"/>
    <x v="49"/>
    <x v="103"/>
  </r>
  <r>
    <x v="11"/>
    <x v="0"/>
    <x v="5"/>
    <x v="5"/>
    <x v="0"/>
    <x v="2"/>
    <x v="18"/>
    <x v="17"/>
    <x v="10"/>
    <x v="17"/>
    <x v="39"/>
    <x v="18"/>
  </r>
  <r>
    <x v="12"/>
    <x v="0"/>
    <x v="5"/>
    <x v="5"/>
    <x v="0"/>
    <x v="2"/>
    <x v="18"/>
    <x v="17"/>
    <x v="12"/>
    <x v="0"/>
    <x v="47"/>
    <x v="46"/>
  </r>
  <r>
    <x v="13"/>
    <x v="0"/>
    <x v="5"/>
    <x v="5"/>
    <x v="0"/>
    <x v="1"/>
    <x v="48"/>
    <x v="13"/>
    <x v="10"/>
    <x v="4"/>
    <x v="38"/>
    <x v="56"/>
  </r>
  <r>
    <x v="14"/>
    <x v="0"/>
    <x v="5"/>
    <x v="5"/>
    <x v="0"/>
    <x v="1"/>
    <x v="48"/>
    <x v="13"/>
    <x v="13"/>
    <x v="0"/>
    <x v="87"/>
    <x v="51"/>
  </r>
  <r>
    <x v="15"/>
    <x v="0"/>
    <x v="5"/>
    <x v="5"/>
    <x v="0"/>
    <x v="0"/>
    <x v="41"/>
    <x v="12"/>
    <x v="4"/>
    <x v="2"/>
    <x v="11"/>
    <x v="122"/>
  </r>
  <r>
    <x v="16"/>
    <x v="0"/>
    <x v="5"/>
    <x v="5"/>
    <x v="0"/>
    <x v="0"/>
    <x v="41"/>
    <x v="12"/>
    <x v="11"/>
    <x v="4"/>
    <x v="83"/>
    <x v="53"/>
  </r>
  <r>
    <x v="17"/>
    <x v="0"/>
    <x v="5"/>
    <x v="5"/>
    <x v="0"/>
    <x v="2"/>
    <x v="22"/>
    <x v="18"/>
    <x v="3"/>
    <x v="17"/>
    <x v="81"/>
    <x v="123"/>
  </r>
  <r>
    <x v="18"/>
    <x v="0"/>
    <x v="5"/>
    <x v="5"/>
    <x v="0"/>
    <x v="2"/>
    <x v="22"/>
    <x v="18"/>
    <x v="9"/>
    <x v="0"/>
    <x v="116"/>
    <x v="124"/>
  </r>
  <r>
    <x v="19"/>
    <x v="0"/>
    <x v="5"/>
    <x v="5"/>
    <x v="0"/>
    <x v="13"/>
    <x v="19"/>
    <x v="20"/>
    <x v="2"/>
    <x v="5"/>
    <x v="52"/>
    <x v="111"/>
  </r>
  <r>
    <x v="20"/>
    <x v="0"/>
    <x v="5"/>
    <x v="5"/>
    <x v="0"/>
    <x v="13"/>
    <x v="19"/>
    <x v="20"/>
    <x v="6"/>
    <x v="3"/>
    <x v="27"/>
    <x v="37"/>
  </r>
  <r>
    <x v="21"/>
    <x v="0"/>
    <x v="5"/>
    <x v="5"/>
    <x v="0"/>
    <x v="14"/>
    <x v="15"/>
    <x v="16"/>
    <x v="4"/>
    <x v="3"/>
    <x v="71"/>
    <x v="1"/>
  </r>
  <r>
    <x v="22"/>
    <x v="0"/>
    <x v="5"/>
    <x v="5"/>
    <x v="0"/>
    <x v="14"/>
    <x v="15"/>
    <x v="16"/>
    <x v="9"/>
    <x v="3"/>
    <x v="10"/>
    <x v="33"/>
  </r>
  <r>
    <x v="23"/>
    <x v="0"/>
    <x v="5"/>
    <x v="5"/>
    <x v="0"/>
    <x v="16"/>
    <x v="20"/>
    <x v="14"/>
    <x v="5"/>
    <x v="5"/>
    <x v="88"/>
    <x v="93"/>
  </r>
  <r>
    <x v="0"/>
    <x v="0"/>
    <x v="6"/>
    <x v="6"/>
    <x v="0"/>
    <x v="16"/>
    <x v="20"/>
    <x v="14"/>
    <x v="5"/>
    <x v="3"/>
    <x v="88"/>
    <x v="8"/>
  </r>
  <r>
    <x v="1"/>
    <x v="0"/>
    <x v="6"/>
    <x v="6"/>
    <x v="0"/>
    <x v="18"/>
    <x v="47"/>
    <x v="16"/>
    <x v="8"/>
    <x v="3"/>
    <x v="34"/>
    <x v="36"/>
  </r>
  <r>
    <x v="2"/>
    <x v="0"/>
    <x v="6"/>
    <x v="6"/>
    <x v="0"/>
    <x v="18"/>
    <x v="47"/>
    <x v="16"/>
    <x v="7"/>
    <x v="3"/>
    <x v="4"/>
    <x v="4"/>
  </r>
  <r>
    <x v="3"/>
    <x v="0"/>
    <x v="6"/>
    <x v="6"/>
    <x v="0"/>
    <x v="18"/>
    <x v="47"/>
    <x v="14"/>
    <x v="14"/>
    <x v="3"/>
    <x v="4"/>
    <x v="4"/>
  </r>
  <r>
    <x v="5"/>
    <x v="0"/>
    <x v="6"/>
    <x v="6"/>
    <x v="0"/>
    <x v="18"/>
    <x v="47"/>
    <x v="14"/>
    <x v="1"/>
    <x v="3"/>
    <x v="21"/>
    <x v="7"/>
  </r>
  <r>
    <x v="6"/>
    <x v="0"/>
    <x v="6"/>
    <x v="6"/>
    <x v="0"/>
    <x v="18"/>
    <x v="47"/>
    <x v="18"/>
    <x v="0"/>
    <x v="3"/>
    <x v="19"/>
    <x v="22"/>
  </r>
  <r>
    <x v="7"/>
    <x v="0"/>
    <x v="6"/>
    <x v="6"/>
    <x v="0"/>
    <x v="18"/>
    <x v="32"/>
    <x v="16"/>
    <x v="8"/>
    <x v="3"/>
    <x v="14"/>
    <x v="27"/>
  </r>
  <r>
    <x v="8"/>
    <x v="0"/>
    <x v="6"/>
    <x v="6"/>
    <x v="0"/>
    <x v="16"/>
    <x v="31"/>
    <x v="17"/>
    <x v="0"/>
    <x v="4"/>
    <x v="117"/>
    <x v="125"/>
  </r>
  <r>
    <x v="9"/>
    <x v="0"/>
    <x v="6"/>
    <x v="6"/>
    <x v="0"/>
    <x v="14"/>
    <x v="27"/>
    <x v="20"/>
    <x v="7"/>
    <x v="3"/>
    <x v="118"/>
    <x v="126"/>
  </r>
  <r>
    <x v="10"/>
    <x v="0"/>
    <x v="6"/>
    <x v="6"/>
    <x v="0"/>
    <x v="15"/>
    <x v="28"/>
    <x v="18"/>
    <x v="5"/>
    <x v="17"/>
    <x v="71"/>
    <x v="40"/>
  </r>
  <r>
    <x v="11"/>
    <x v="0"/>
    <x v="6"/>
    <x v="6"/>
    <x v="0"/>
    <x v="15"/>
    <x v="33"/>
    <x v="17"/>
    <x v="3"/>
    <x v="15"/>
    <x v="12"/>
    <x v="26"/>
  </r>
  <r>
    <x v="12"/>
    <x v="0"/>
    <x v="6"/>
    <x v="6"/>
    <x v="0"/>
    <x v="2"/>
    <x v="18"/>
    <x v="13"/>
    <x v="2"/>
    <x v="4"/>
    <x v="79"/>
    <x v="42"/>
  </r>
  <r>
    <x v="13"/>
    <x v="0"/>
    <x v="6"/>
    <x v="6"/>
    <x v="0"/>
    <x v="1"/>
    <x v="38"/>
    <x v="13"/>
    <x v="13"/>
    <x v="17"/>
    <x v="26"/>
    <x v="43"/>
  </r>
  <r>
    <x v="14"/>
    <x v="0"/>
    <x v="6"/>
    <x v="6"/>
    <x v="0"/>
    <x v="1"/>
    <x v="48"/>
    <x v="12"/>
    <x v="3"/>
    <x v="2"/>
    <x v="79"/>
    <x v="37"/>
  </r>
  <r>
    <x v="15"/>
    <x v="0"/>
    <x v="6"/>
    <x v="6"/>
    <x v="0"/>
    <x v="0"/>
    <x v="41"/>
    <x v="19"/>
    <x v="8"/>
    <x v="14"/>
    <x v="79"/>
    <x v="118"/>
  </r>
  <r>
    <x v="16"/>
    <x v="0"/>
    <x v="6"/>
    <x v="6"/>
    <x v="0"/>
    <x v="1"/>
    <x v="48"/>
    <x v="19"/>
    <x v="14"/>
    <x v="0"/>
    <x v="61"/>
    <x v="127"/>
  </r>
  <r>
    <x v="17"/>
    <x v="0"/>
    <x v="6"/>
    <x v="6"/>
    <x v="0"/>
    <x v="1"/>
    <x v="48"/>
    <x v="11"/>
    <x v="8"/>
    <x v="17"/>
    <x v="119"/>
    <x v="128"/>
  </r>
  <r>
    <x v="18"/>
    <x v="0"/>
    <x v="6"/>
    <x v="6"/>
    <x v="0"/>
    <x v="2"/>
    <x v="19"/>
    <x v="2"/>
    <x v="0"/>
    <x v="2"/>
    <x v="120"/>
    <x v="119"/>
  </r>
  <r>
    <x v="19"/>
    <x v="0"/>
    <x v="6"/>
    <x v="6"/>
    <x v="0"/>
    <x v="13"/>
    <x v="29"/>
    <x v="13"/>
    <x v="1"/>
    <x v="0"/>
    <x v="121"/>
    <x v="101"/>
  </r>
  <r>
    <x v="20"/>
    <x v="0"/>
    <x v="6"/>
    <x v="6"/>
    <x v="0"/>
    <x v="15"/>
    <x v="29"/>
    <x v="19"/>
    <x v="0"/>
    <x v="3"/>
    <x v="56"/>
    <x v="118"/>
  </r>
  <r>
    <x v="21"/>
    <x v="0"/>
    <x v="6"/>
    <x v="6"/>
    <x v="0"/>
    <x v="13"/>
    <x v="27"/>
    <x v="11"/>
    <x v="0"/>
    <x v="17"/>
    <x v="41"/>
    <x v="46"/>
  </r>
  <r>
    <x v="22"/>
    <x v="0"/>
    <x v="6"/>
    <x v="6"/>
    <x v="0"/>
    <x v="13"/>
    <x v="27"/>
    <x v="11"/>
    <x v="0"/>
    <x v="4"/>
    <x v="60"/>
    <x v="9"/>
  </r>
  <r>
    <x v="23"/>
    <x v="0"/>
    <x v="6"/>
    <x v="6"/>
    <x v="0"/>
    <x v="15"/>
    <x v="28"/>
    <x v="19"/>
    <x v="0"/>
    <x v="5"/>
    <x v="16"/>
    <x v="110"/>
  </r>
  <r>
    <x v="0"/>
    <x v="0"/>
    <x v="0"/>
    <x v="0"/>
    <x v="0"/>
    <x v="15"/>
    <x v="28"/>
    <x v="19"/>
    <x v="0"/>
    <x v="0"/>
    <x v="18"/>
    <x v="20"/>
  </r>
  <r>
    <x v="1"/>
    <x v="0"/>
    <x v="0"/>
    <x v="0"/>
    <x v="0"/>
    <x v="13"/>
    <x v="29"/>
    <x v="13"/>
    <x v="1"/>
    <x v="4"/>
    <x v="72"/>
    <x v="25"/>
  </r>
  <r>
    <x v="2"/>
    <x v="0"/>
    <x v="0"/>
    <x v="0"/>
    <x v="0"/>
    <x v="13"/>
    <x v="29"/>
    <x v="13"/>
    <x v="1"/>
    <x v="3"/>
    <x v="98"/>
    <x v="47"/>
  </r>
  <r>
    <x v="3"/>
    <x v="0"/>
    <x v="0"/>
    <x v="0"/>
    <x v="0"/>
    <x v="13"/>
    <x v="29"/>
    <x v="11"/>
    <x v="0"/>
    <x v="5"/>
    <x v="7"/>
    <x v="7"/>
  </r>
  <r>
    <x v="4"/>
    <x v="0"/>
    <x v="0"/>
    <x v="0"/>
    <x v="0"/>
    <x v="13"/>
    <x v="29"/>
    <x v="11"/>
    <x v="0"/>
    <x v="3"/>
    <x v="34"/>
    <x v="36"/>
  </r>
  <r>
    <x v="5"/>
    <x v="0"/>
    <x v="0"/>
    <x v="0"/>
    <x v="0"/>
    <x v="13"/>
    <x v="29"/>
    <x v="11"/>
    <x v="0"/>
    <x v="3"/>
    <x v="4"/>
    <x v="4"/>
  </r>
  <r>
    <x v="6"/>
    <x v="0"/>
    <x v="0"/>
    <x v="0"/>
    <x v="0"/>
    <x v="14"/>
    <x v="30"/>
    <x v="17"/>
    <x v="14"/>
    <x v="5"/>
    <x v="6"/>
    <x v="6"/>
  </r>
  <r>
    <x v="7"/>
    <x v="0"/>
    <x v="0"/>
    <x v="0"/>
    <x v="0"/>
    <x v="14"/>
    <x v="30"/>
    <x v="12"/>
    <x v="0"/>
    <x v="5"/>
    <x v="33"/>
    <x v="98"/>
  </r>
  <r>
    <x v="8"/>
    <x v="0"/>
    <x v="0"/>
    <x v="0"/>
    <x v="0"/>
    <x v="14"/>
    <x v="30"/>
    <x v="20"/>
    <x v="7"/>
    <x v="5"/>
    <x v="97"/>
    <x v="84"/>
  </r>
  <r>
    <x v="9"/>
    <x v="0"/>
    <x v="0"/>
    <x v="0"/>
    <x v="0"/>
    <x v="13"/>
    <x v="26"/>
    <x v="18"/>
    <x v="7"/>
    <x v="4"/>
    <x v="17"/>
    <x v="63"/>
  </r>
  <r>
    <x v="10"/>
    <x v="0"/>
    <x v="0"/>
    <x v="0"/>
    <x v="0"/>
    <x v="15"/>
    <x v="29"/>
    <x v="13"/>
    <x v="8"/>
    <x v="4"/>
    <x v="77"/>
    <x v="29"/>
  </r>
  <r>
    <x v="11"/>
    <x v="0"/>
    <x v="0"/>
    <x v="0"/>
    <x v="0"/>
    <x v="2"/>
    <x v="28"/>
    <x v="13"/>
    <x v="6"/>
    <x v="25"/>
    <x v="25"/>
    <x v="44"/>
  </r>
  <r>
    <x v="12"/>
    <x v="0"/>
    <x v="0"/>
    <x v="0"/>
    <x v="0"/>
    <x v="0"/>
    <x v="37"/>
    <x v="11"/>
    <x v="6"/>
    <x v="13"/>
    <x v="64"/>
    <x v="70"/>
  </r>
  <r>
    <x v="13"/>
    <x v="0"/>
    <x v="0"/>
    <x v="0"/>
    <x v="1"/>
    <x v="17"/>
    <x v="41"/>
    <x v="2"/>
    <x v="4"/>
    <x v="27"/>
    <x v="122"/>
    <x v="129"/>
  </r>
  <r>
    <x v="14"/>
    <x v="0"/>
    <x v="0"/>
    <x v="0"/>
    <x v="1"/>
    <x v="11"/>
    <x v="17"/>
    <x v="0"/>
    <x v="3"/>
    <x v="7"/>
    <x v="50"/>
    <x v="130"/>
  </r>
  <r>
    <x v="15"/>
    <x v="0"/>
    <x v="0"/>
    <x v="0"/>
    <x v="1"/>
    <x v="3"/>
    <x v="42"/>
    <x v="21"/>
    <x v="5"/>
    <x v="27"/>
    <x v="123"/>
    <x v="131"/>
  </r>
  <r>
    <x v="16"/>
    <x v="0"/>
    <x v="0"/>
    <x v="0"/>
    <x v="1"/>
    <x v="10"/>
    <x v="46"/>
    <x v="6"/>
    <x v="5"/>
    <x v="28"/>
    <x v="73"/>
    <x v="116"/>
  </r>
  <r>
    <x v="17"/>
    <x v="0"/>
    <x v="0"/>
    <x v="0"/>
    <x v="1"/>
    <x v="3"/>
    <x v="42"/>
    <x v="25"/>
    <x v="3"/>
    <x v="8"/>
    <x v="25"/>
    <x v="56"/>
  </r>
  <r>
    <x v="18"/>
    <x v="0"/>
    <x v="0"/>
    <x v="0"/>
    <x v="1"/>
    <x v="11"/>
    <x v="49"/>
    <x v="0"/>
    <x v="2"/>
    <x v="13"/>
    <x v="94"/>
    <x v="11"/>
  </r>
  <r>
    <x v="19"/>
    <x v="0"/>
    <x v="0"/>
    <x v="0"/>
    <x v="1"/>
    <x v="3"/>
    <x v="17"/>
    <x v="25"/>
    <x v="2"/>
    <x v="24"/>
    <x v="91"/>
    <x v="30"/>
  </r>
  <r>
    <x v="20"/>
    <x v="0"/>
    <x v="0"/>
    <x v="0"/>
    <x v="1"/>
    <x v="3"/>
    <x v="17"/>
    <x v="25"/>
    <x v="2"/>
    <x v="15"/>
    <x v="96"/>
    <x v="102"/>
  </r>
  <r>
    <x v="21"/>
    <x v="0"/>
    <x v="0"/>
    <x v="0"/>
    <x v="1"/>
    <x v="3"/>
    <x v="17"/>
    <x v="25"/>
    <x v="6"/>
    <x v="15"/>
    <x v="82"/>
    <x v="52"/>
  </r>
  <r>
    <x v="22"/>
    <x v="0"/>
    <x v="0"/>
    <x v="0"/>
    <x v="1"/>
    <x v="11"/>
    <x v="16"/>
    <x v="21"/>
    <x v="14"/>
    <x v="3"/>
    <x v="16"/>
    <x v="132"/>
  </r>
  <r>
    <x v="23"/>
    <x v="0"/>
    <x v="0"/>
    <x v="0"/>
    <x v="1"/>
    <x v="11"/>
    <x v="49"/>
    <x v="0"/>
    <x v="3"/>
    <x v="2"/>
    <x v="87"/>
    <x v="40"/>
  </r>
  <r>
    <x v="0"/>
    <x v="0"/>
    <x v="1"/>
    <x v="1"/>
    <x v="1"/>
    <x v="12"/>
    <x v="34"/>
    <x v="25"/>
    <x v="0"/>
    <x v="15"/>
    <x v="39"/>
    <x v="21"/>
  </r>
  <r>
    <x v="1"/>
    <x v="0"/>
    <x v="1"/>
    <x v="1"/>
    <x v="1"/>
    <x v="12"/>
    <x v="34"/>
    <x v="1"/>
    <x v="7"/>
    <x v="17"/>
    <x v="23"/>
    <x v="84"/>
  </r>
  <r>
    <x v="2"/>
    <x v="0"/>
    <x v="1"/>
    <x v="1"/>
    <x v="1"/>
    <x v="12"/>
    <x v="34"/>
    <x v="0"/>
    <x v="1"/>
    <x v="0"/>
    <x v="0"/>
    <x v="0"/>
  </r>
  <r>
    <x v="3"/>
    <x v="0"/>
    <x v="1"/>
    <x v="1"/>
    <x v="0"/>
    <x v="1"/>
    <x v="27"/>
    <x v="1"/>
    <x v="0"/>
    <x v="14"/>
    <x v="8"/>
    <x v="93"/>
  </r>
  <r>
    <x v="4"/>
    <x v="0"/>
    <x v="1"/>
    <x v="1"/>
    <x v="1"/>
    <x v="12"/>
    <x v="34"/>
    <x v="2"/>
    <x v="8"/>
    <x v="3"/>
    <x v="4"/>
    <x v="4"/>
  </r>
  <r>
    <x v="5"/>
    <x v="0"/>
    <x v="1"/>
    <x v="1"/>
    <x v="1"/>
    <x v="12"/>
    <x v="34"/>
    <x v="2"/>
    <x v="8"/>
    <x v="5"/>
    <x v="4"/>
    <x v="5"/>
  </r>
  <r>
    <x v="6"/>
    <x v="0"/>
    <x v="1"/>
    <x v="1"/>
    <x v="1"/>
    <x v="12"/>
    <x v="34"/>
    <x v="2"/>
    <x v="8"/>
    <x v="3"/>
    <x v="4"/>
    <x v="4"/>
  </r>
  <r>
    <x v="7"/>
    <x v="0"/>
    <x v="1"/>
    <x v="1"/>
    <x v="0"/>
    <x v="0"/>
    <x v="34"/>
    <x v="12"/>
    <x v="4"/>
    <x v="3"/>
    <x v="35"/>
    <x v="6"/>
  </r>
  <r>
    <x v="8"/>
    <x v="0"/>
    <x v="1"/>
    <x v="1"/>
    <x v="0"/>
    <x v="1"/>
    <x v="28"/>
    <x v="12"/>
    <x v="3"/>
    <x v="3"/>
    <x v="72"/>
    <x v="109"/>
  </r>
  <r>
    <x v="9"/>
    <x v="0"/>
    <x v="1"/>
    <x v="1"/>
    <x v="0"/>
    <x v="1"/>
    <x v="33"/>
    <x v="12"/>
    <x v="2"/>
    <x v="0"/>
    <x v="31"/>
    <x v="2"/>
  </r>
  <r>
    <x v="10"/>
    <x v="0"/>
    <x v="1"/>
    <x v="1"/>
    <x v="0"/>
    <x v="1"/>
    <x v="33"/>
    <x v="12"/>
    <x v="3"/>
    <x v="1"/>
    <x v="13"/>
    <x v="67"/>
  </r>
  <r>
    <x v="11"/>
    <x v="0"/>
    <x v="1"/>
    <x v="1"/>
    <x v="0"/>
    <x v="0"/>
    <x v="18"/>
    <x v="11"/>
    <x v="2"/>
    <x v="29"/>
    <x v="14"/>
    <x v="15"/>
  </r>
  <r>
    <x v="12"/>
    <x v="0"/>
    <x v="1"/>
    <x v="1"/>
    <x v="0"/>
    <x v="0"/>
    <x v="48"/>
    <x v="12"/>
    <x v="3"/>
    <x v="8"/>
    <x v="102"/>
    <x v="133"/>
  </r>
  <r>
    <x v="13"/>
    <x v="0"/>
    <x v="1"/>
    <x v="1"/>
    <x v="1"/>
    <x v="12"/>
    <x v="23"/>
    <x v="11"/>
    <x v="4"/>
    <x v="29"/>
    <x v="73"/>
    <x v="130"/>
  </r>
  <r>
    <x v="14"/>
    <x v="0"/>
    <x v="1"/>
    <x v="1"/>
    <x v="1"/>
    <x v="17"/>
    <x v="42"/>
    <x v="1"/>
    <x v="2"/>
    <x v="30"/>
    <x v="94"/>
    <x v="134"/>
  </r>
  <r>
    <x v="15"/>
    <x v="0"/>
    <x v="1"/>
    <x v="1"/>
    <x v="1"/>
    <x v="12"/>
    <x v="41"/>
    <x v="19"/>
    <x v="2"/>
    <x v="10"/>
    <x v="78"/>
    <x v="135"/>
  </r>
  <r>
    <x v="16"/>
    <x v="0"/>
    <x v="1"/>
    <x v="1"/>
    <x v="0"/>
    <x v="0"/>
    <x v="41"/>
    <x v="11"/>
    <x v="6"/>
    <x v="30"/>
    <x v="99"/>
    <x v="111"/>
  </r>
  <r>
    <x v="17"/>
    <x v="0"/>
    <x v="1"/>
    <x v="1"/>
    <x v="0"/>
    <x v="1"/>
    <x v="38"/>
    <x v="12"/>
    <x v="2"/>
    <x v="29"/>
    <x v="70"/>
    <x v="136"/>
  </r>
  <r>
    <x v="18"/>
    <x v="0"/>
    <x v="1"/>
    <x v="1"/>
    <x v="0"/>
    <x v="2"/>
    <x v="22"/>
    <x v="12"/>
    <x v="8"/>
    <x v="16"/>
    <x v="90"/>
    <x v="16"/>
  </r>
  <r>
    <x v="19"/>
    <x v="0"/>
    <x v="1"/>
    <x v="1"/>
    <x v="0"/>
    <x v="15"/>
    <x v="19"/>
    <x v="13"/>
    <x v="7"/>
    <x v="24"/>
    <x v="12"/>
    <x v="42"/>
  </r>
  <r>
    <x v="20"/>
    <x v="0"/>
    <x v="1"/>
    <x v="1"/>
    <x v="0"/>
    <x v="15"/>
    <x v="19"/>
    <x v="13"/>
    <x v="8"/>
    <x v="18"/>
    <x v="54"/>
    <x v="52"/>
  </r>
  <r>
    <x v="21"/>
    <x v="0"/>
    <x v="1"/>
    <x v="1"/>
    <x v="0"/>
    <x v="15"/>
    <x v="33"/>
    <x v="13"/>
    <x v="8"/>
    <x v="15"/>
    <x v="97"/>
    <x v="20"/>
  </r>
  <r>
    <x v="22"/>
    <x v="0"/>
    <x v="1"/>
    <x v="1"/>
    <x v="0"/>
    <x v="2"/>
    <x v="36"/>
    <x v="12"/>
    <x v="7"/>
    <x v="4"/>
    <x v="23"/>
    <x v="137"/>
  </r>
  <r>
    <x v="23"/>
    <x v="0"/>
    <x v="1"/>
    <x v="1"/>
    <x v="0"/>
    <x v="2"/>
    <x v="22"/>
    <x v="11"/>
    <x v="14"/>
    <x v="3"/>
    <x v="72"/>
    <x v="109"/>
  </r>
  <r>
    <x v="0"/>
    <x v="0"/>
    <x v="2"/>
    <x v="2"/>
    <x v="0"/>
    <x v="2"/>
    <x v="19"/>
    <x v="13"/>
    <x v="6"/>
    <x v="5"/>
    <x v="20"/>
    <x v="22"/>
  </r>
  <r>
    <x v="1"/>
    <x v="0"/>
    <x v="2"/>
    <x v="2"/>
    <x v="0"/>
    <x v="2"/>
    <x v="18"/>
    <x v="13"/>
    <x v="5"/>
    <x v="5"/>
    <x v="89"/>
    <x v="0"/>
  </r>
  <r>
    <x v="2"/>
    <x v="0"/>
    <x v="2"/>
    <x v="2"/>
    <x v="0"/>
    <x v="15"/>
    <x v="21"/>
    <x v="17"/>
    <x v="2"/>
    <x v="3"/>
    <x v="21"/>
    <x v="7"/>
  </r>
  <r>
    <x v="3"/>
    <x v="0"/>
    <x v="2"/>
    <x v="2"/>
    <x v="0"/>
    <x v="15"/>
    <x v="21"/>
    <x v="18"/>
    <x v="5"/>
    <x v="3"/>
    <x v="6"/>
    <x v="5"/>
  </r>
  <r>
    <x v="4"/>
    <x v="0"/>
    <x v="2"/>
    <x v="2"/>
    <x v="0"/>
    <x v="15"/>
    <x v="21"/>
    <x v="13"/>
    <x v="7"/>
    <x v="5"/>
    <x v="6"/>
    <x v="6"/>
  </r>
  <r>
    <x v="5"/>
    <x v="0"/>
    <x v="2"/>
    <x v="2"/>
    <x v="0"/>
    <x v="15"/>
    <x v="21"/>
    <x v="13"/>
    <x v="8"/>
    <x v="3"/>
    <x v="4"/>
    <x v="4"/>
  </r>
  <r>
    <x v="6"/>
    <x v="0"/>
    <x v="2"/>
    <x v="2"/>
    <x v="0"/>
    <x v="15"/>
    <x v="21"/>
    <x v="18"/>
    <x v="5"/>
    <x v="3"/>
    <x v="34"/>
    <x v="36"/>
  </r>
  <r>
    <x v="7"/>
    <x v="0"/>
    <x v="2"/>
    <x v="2"/>
    <x v="0"/>
    <x v="13"/>
    <x v="20"/>
    <x v="18"/>
    <x v="7"/>
    <x v="17"/>
    <x v="33"/>
    <x v="3"/>
  </r>
  <r>
    <x v="8"/>
    <x v="0"/>
    <x v="2"/>
    <x v="2"/>
    <x v="0"/>
    <x v="13"/>
    <x v="19"/>
    <x v="20"/>
    <x v="6"/>
    <x v="0"/>
    <x v="10"/>
    <x v="63"/>
  </r>
  <r>
    <x v="9"/>
    <x v="0"/>
    <x v="2"/>
    <x v="2"/>
    <x v="0"/>
    <x v="13"/>
    <x v="19"/>
    <x v="20"/>
    <x v="6"/>
    <x v="1"/>
    <x v="87"/>
    <x v="105"/>
  </r>
  <r>
    <x v="10"/>
    <x v="0"/>
    <x v="2"/>
    <x v="2"/>
    <x v="0"/>
    <x v="13"/>
    <x v="20"/>
    <x v="20"/>
    <x v="2"/>
    <x v="18"/>
    <x v="54"/>
    <x v="52"/>
  </r>
  <r>
    <x v="11"/>
    <x v="0"/>
    <x v="2"/>
    <x v="2"/>
    <x v="0"/>
    <x v="13"/>
    <x v="28"/>
    <x v="20"/>
    <x v="5"/>
    <x v="14"/>
    <x v="11"/>
    <x v="37"/>
  </r>
  <r>
    <x v="12"/>
    <x v="0"/>
    <x v="2"/>
    <x v="2"/>
    <x v="0"/>
    <x v="15"/>
    <x v="19"/>
    <x v="13"/>
    <x v="7"/>
    <x v="22"/>
    <x v="14"/>
    <x v="138"/>
  </r>
  <r>
    <x v="13"/>
    <x v="0"/>
    <x v="2"/>
    <x v="2"/>
    <x v="0"/>
    <x v="15"/>
    <x v="19"/>
    <x v="13"/>
    <x v="7"/>
    <x v="23"/>
    <x v="122"/>
    <x v="15"/>
  </r>
  <r>
    <x v="14"/>
    <x v="0"/>
    <x v="2"/>
    <x v="2"/>
    <x v="0"/>
    <x v="15"/>
    <x v="21"/>
    <x v="12"/>
    <x v="14"/>
    <x v="6"/>
    <x v="64"/>
    <x v="80"/>
  </r>
  <r>
    <x v="15"/>
    <x v="0"/>
    <x v="2"/>
    <x v="2"/>
    <x v="0"/>
    <x v="2"/>
    <x v="19"/>
    <x v="12"/>
    <x v="8"/>
    <x v="27"/>
    <x v="109"/>
    <x v="15"/>
  </r>
  <r>
    <x v="16"/>
    <x v="0"/>
    <x v="2"/>
    <x v="2"/>
    <x v="0"/>
    <x v="2"/>
    <x v="19"/>
    <x v="12"/>
    <x v="8"/>
    <x v="15"/>
    <x v="83"/>
    <x v="100"/>
  </r>
  <r>
    <x v="17"/>
    <x v="0"/>
    <x v="2"/>
    <x v="2"/>
    <x v="0"/>
    <x v="2"/>
    <x v="33"/>
    <x v="13"/>
    <x v="5"/>
    <x v="17"/>
    <x v="28"/>
    <x v="68"/>
  </r>
  <r>
    <x v="18"/>
    <x v="0"/>
    <x v="2"/>
    <x v="2"/>
    <x v="0"/>
    <x v="15"/>
    <x v="28"/>
    <x v="17"/>
    <x v="2"/>
    <x v="18"/>
    <x v="66"/>
    <x v="101"/>
  </r>
  <r>
    <x v="19"/>
    <x v="0"/>
    <x v="2"/>
    <x v="2"/>
    <x v="0"/>
    <x v="15"/>
    <x v="29"/>
    <x v="18"/>
    <x v="5"/>
    <x v="4"/>
    <x v="29"/>
    <x v="122"/>
  </r>
  <r>
    <x v="20"/>
    <x v="0"/>
    <x v="2"/>
    <x v="2"/>
    <x v="0"/>
    <x v="13"/>
    <x v="1"/>
    <x v="20"/>
    <x v="5"/>
    <x v="17"/>
    <x v="31"/>
    <x v="63"/>
  </r>
  <r>
    <x v="21"/>
    <x v="0"/>
    <x v="2"/>
    <x v="2"/>
    <x v="0"/>
    <x v="13"/>
    <x v="1"/>
    <x v="20"/>
    <x v="5"/>
    <x v="0"/>
    <x v="9"/>
    <x v="110"/>
  </r>
  <r>
    <x v="22"/>
    <x v="0"/>
    <x v="2"/>
    <x v="2"/>
    <x v="0"/>
    <x v="14"/>
    <x v="43"/>
    <x v="16"/>
    <x v="2"/>
    <x v="3"/>
    <x v="0"/>
    <x v="3"/>
  </r>
  <r>
    <x v="23"/>
    <x v="0"/>
    <x v="2"/>
    <x v="2"/>
    <x v="0"/>
    <x v="13"/>
    <x v="3"/>
    <x v="14"/>
    <x v="3"/>
    <x v="5"/>
    <x v="35"/>
    <x v="48"/>
  </r>
  <r>
    <x v="12"/>
    <x v="0"/>
    <x v="3"/>
    <x v="3"/>
    <x v="0"/>
    <x v="2"/>
    <x v="3"/>
    <x v="18"/>
    <x v="9"/>
    <x v="3"/>
    <x v="35"/>
    <x v="6"/>
  </r>
  <r>
    <x v="13"/>
    <x v="0"/>
    <x v="3"/>
    <x v="3"/>
    <x v="0"/>
    <x v="2"/>
    <x v="3"/>
    <x v="13"/>
    <x v="6"/>
    <x v="3"/>
    <x v="97"/>
    <x v="34"/>
  </r>
  <r>
    <x v="14"/>
    <x v="0"/>
    <x v="3"/>
    <x v="3"/>
    <x v="0"/>
    <x v="1"/>
    <x v="1"/>
    <x v="11"/>
    <x v="8"/>
    <x v="4"/>
    <x v="16"/>
    <x v="20"/>
  </r>
  <r>
    <x v="15"/>
    <x v="0"/>
    <x v="3"/>
    <x v="3"/>
    <x v="0"/>
    <x v="1"/>
    <x v="9"/>
    <x v="11"/>
    <x v="8"/>
    <x v="0"/>
    <x v="1"/>
    <x v="17"/>
  </r>
  <r>
    <x v="16"/>
    <x v="0"/>
    <x v="3"/>
    <x v="3"/>
    <x v="0"/>
    <x v="1"/>
    <x v="9"/>
    <x v="11"/>
    <x v="5"/>
    <x v="3"/>
    <x v="124"/>
    <x v="42"/>
  </r>
  <r>
    <x v="17"/>
    <x v="0"/>
    <x v="3"/>
    <x v="3"/>
    <x v="0"/>
    <x v="1"/>
    <x v="7"/>
    <x v="11"/>
    <x v="5"/>
    <x v="5"/>
    <x v="125"/>
    <x v="139"/>
  </r>
  <r>
    <x v="18"/>
    <x v="0"/>
    <x v="3"/>
    <x v="3"/>
    <x v="0"/>
    <x v="1"/>
    <x v="1"/>
    <x v="11"/>
    <x v="8"/>
    <x v="5"/>
    <x v="126"/>
    <x v="140"/>
  </r>
  <r>
    <x v="19"/>
    <x v="0"/>
    <x v="3"/>
    <x v="3"/>
    <x v="0"/>
    <x v="1"/>
    <x v="1"/>
    <x v="11"/>
    <x v="7"/>
    <x v="5"/>
    <x v="52"/>
    <x v="111"/>
  </r>
  <r>
    <x v="20"/>
    <x v="0"/>
    <x v="3"/>
    <x v="3"/>
    <x v="0"/>
    <x v="1"/>
    <x v="9"/>
    <x v="1"/>
    <x v="0"/>
    <x v="3"/>
    <x v="93"/>
    <x v="56"/>
  </r>
  <r>
    <x v="21"/>
    <x v="0"/>
    <x v="3"/>
    <x v="3"/>
    <x v="0"/>
    <x v="1"/>
    <x v="43"/>
    <x v="19"/>
    <x v="14"/>
    <x v="3"/>
    <x v="40"/>
    <x v="102"/>
  </r>
  <r>
    <x v="22"/>
    <x v="0"/>
    <x v="3"/>
    <x v="3"/>
    <x v="0"/>
    <x v="1"/>
    <x v="43"/>
    <x v="2"/>
    <x v="1"/>
    <x v="3"/>
    <x v="39"/>
    <x v="63"/>
  </r>
  <r>
    <x v="23"/>
    <x v="0"/>
    <x v="3"/>
    <x v="3"/>
    <x v="0"/>
    <x v="1"/>
    <x v="43"/>
    <x v="1"/>
    <x v="0"/>
    <x v="5"/>
    <x v="23"/>
    <x v="25"/>
  </r>
  <r>
    <x v="0"/>
    <x v="0"/>
    <x v="4"/>
    <x v="4"/>
    <x v="0"/>
    <x v="1"/>
    <x v="43"/>
    <x v="1"/>
    <x v="0"/>
    <x v="3"/>
    <x v="35"/>
    <x v="6"/>
  </r>
  <r>
    <x v="1"/>
    <x v="0"/>
    <x v="4"/>
    <x v="4"/>
    <x v="0"/>
    <x v="1"/>
    <x v="43"/>
    <x v="11"/>
    <x v="7"/>
    <x v="5"/>
    <x v="8"/>
    <x v="85"/>
  </r>
  <r>
    <x v="2"/>
    <x v="0"/>
    <x v="4"/>
    <x v="4"/>
    <x v="0"/>
    <x v="1"/>
    <x v="43"/>
    <x v="11"/>
    <x v="7"/>
    <x v="3"/>
    <x v="35"/>
    <x v="6"/>
  </r>
  <r>
    <x v="4"/>
    <x v="0"/>
    <x v="4"/>
    <x v="4"/>
    <x v="0"/>
    <x v="1"/>
    <x v="43"/>
    <x v="11"/>
    <x v="7"/>
    <x v="5"/>
    <x v="4"/>
    <x v="5"/>
  </r>
  <r>
    <x v="5"/>
    <x v="0"/>
    <x v="4"/>
    <x v="4"/>
    <x v="0"/>
    <x v="1"/>
    <x v="43"/>
    <x v="2"/>
    <x v="1"/>
    <x v="3"/>
    <x v="7"/>
    <x v="85"/>
  </r>
  <r>
    <x v="6"/>
    <x v="0"/>
    <x v="4"/>
    <x v="4"/>
    <x v="0"/>
    <x v="1"/>
    <x v="43"/>
    <x v="2"/>
    <x v="1"/>
    <x v="3"/>
    <x v="1"/>
    <x v="2"/>
  </r>
  <r>
    <x v="7"/>
    <x v="0"/>
    <x v="4"/>
    <x v="4"/>
    <x v="0"/>
    <x v="0"/>
    <x v="50"/>
    <x v="2"/>
    <x v="14"/>
    <x v="5"/>
    <x v="121"/>
    <x v="127"/>
  </r>
  <r>
    <x v="8"/>
    <x v="0"/>
    <x v="4"/>
    <x v="4"/>
    <x v="0"/>
    <x v="0"/>
    <x v="43"/>
    <x v="2"/>
    <x v="14"/>
    <x v="5"/>
    <x v="127"/>
    <x v="141"/>
  </r>
  <r>
    <x v="9"/>
    <x v="0"/>
    <x v="4"/>
    <x v="4"/>
    <x v="0"/>
    <x v="0"/>
    <x v="43"/>
    <x v="2"/>
    <x v="14"/>
    <x v="4"/>
    <x v="128"/>
    <x v="142"/>
  </r>
  <r>
    <x v="10"/>
    <x v="0"/>
    <x v="4"/>
    <x v="4"/>
    <x v="1"/>
    <x v="12"/>
    <x v="43"/>
    <x v="1"/>
    <x v="7"/>
    <x v="5"/>
    <x v="24"/>
    <x v="105"/>
  </r>
  <r>
    <x v="11"/>
    <x v="0"/>
    <x v="4"/>
    <x v="4"/>
    <x v="1"/>
    <x v="17"/>
    <x v="9"/>
    <x v="25"/>
    <x v="1"/>
    <x v="2"/>
    <x v="12"/>
    <x v="46"/>
  </r>
  <r>
    <x v="12"/>
    <x v="0"/>
    <x v="4"/>
    <x v="4"/>
    <x v="1"/>
    <x v="11"/>
    <x v="0"/>
    <x v="21"/>
    <x v="1"/>
    <x v="2"/>
    <x v="65"/>
    <x v="27"/>
  </r>
  <r>
    <x v="13"/>
    <x v="0"/>
    <x v="4"/>
    <x v="4"/>
    <x v="1"/>
    <x v="9"/>
    <x v="51"/>
    <x v="10"/>
    <x v="3"/>
    <x v="16"/>
    <x v="28"/>
    <x v="53"/>
  </r>
  <r>
    <x v="14"/>
    <x v="0"/>
    <x v="4"/>
    <x v="4"/>
    <x v="1"/>
    <x v="9"/>
    <x v="52"/>
    <x v="10"/>
    <x v="2"/>
    <x v="18"/>
    <x v="56"/>
    <x v="28"/>
  </r>
  <r>
    <x v="15"/>
    <x v="0"/>
    <x v="4"/>
    <x v="4"/>
    <x v="1"/>
    <x v="9"/>
    <x v="47"/>
    <x v="10"/>
    <x v="3"/>
    <x v="17"/>
    <x v="78"/>
    <x v="100"/>
  </r>
  <r>
    <x v="16"/>
    <x v="0"/>
    <x v="4"/>
    <x v="4"/>
    <x v="1"/>
    <x v="4"/>
    <x v="52"/>
    <x v="5"/>
    <x v="13"/>
    <x v="22"/>
    <x v="111"/>
    <x v="133"/>
  </r>
  <r>
    <x v="17"/>
    <x v="0"/>
    <x v="4"/>
    <x v="4"/>
    <x v="1"/>
    <x v="5"/>
    <x v="14"/>
    <x v="6"/>
    <x v="9"/>
    <x v="18"/>
    <x v="84"/>
    <x v="141"/>
  </r>
  <r>
    <x v="18"/>
    <x v="0"/>
    <x v="4"/>
    <x v="4"/>
    <x v="1"/>
    <x v="10"/>
    <x v="53"/>
    <x v="21"/>
    <x v="3"/>
    <x v="2"/>
    <x v="117"/>
    <x v="143"/>
  </r>
  <r>
    <x v="19"/>
    <x v="0"/>
    <x v="4"/>
    <x v="4"/>
    <x v="1"/>
    <x v="3"/>
    <x v="14"/>
    <x v="0"/>
    <x v="12"/>
    <x v="17"/>
    <x v="123"/>
    <x v="59"/>
  </r>
  <r>
    <x v="20"/>
    <x v="0"/>
    <x v="4"/>
    <x v="4"/>
    <x v="1"/>
    <x v="3"/>
    <x v="36"/>
    <x v="25"/>
    <x v="4"/>
    <x v="4"/>
    <x v="64"/>
    <x v="31"/>
  </r>
  <r>
    <x v="21"/>
    <x v="0"/>
    <x v="4"/>
    <x v="4"/>
    <x v="1"/>
    <x v="3"/>
    <x v="36"/>
    <x v="0"/>
    <x v="12"/>
    <x v="17"/>
    <x v="11"/>
    <x v="29"/>
  </r>
  <r>
    <x v="22"/>
    <x v="0"/>
    <x v="4"/>
    <x v="4"/>
    <x v="1"/>
    <x v="11"/>
    <x v="35"/>
    <x v="25"/>
    <x v="8"/>
    <x v="15"/>
    <x v="42"/>
    <x v="29"/>
  </r>
  <r>
    <x v="23"/>
    <x v="0"/>
    <x v="4"/>
    <x v="4"/>
    <x v="1"/>
    <x v="11"/>
    <x v="35"/>
    <x v="1"/>
    <x v="17"/>
    <x v="5"/>
    <x v="2"/>
    <x v="20"/>
  </r>
  <r>
    <x v="0"/>
    <x v="0"/>
    <x v="5"/>
    <x v="5"/>
    <x v="1"/>
    <x v="12"/>
    <x v="34"/>
    <x v="11"/>
    <x v="13"/>
    <x v="2"/>
    <x v="21"/>
    <x v="3"/>
  </r>
  <r>
    <x v="1"/>
    <x v="0"/>
    <x v="5"/>
    <x v="5"/>
    <x v="1"/>
    <x v="12"/>
    <x v="34"/>
    <x v="1"/>
    <x v="0"/>
    <x v="4"/>
    <x v="35"/>
    <x v="36"/>
  </r>
  <r>
    <x v="2"/>
    <x v="0"/>
    <x v="5"/>
    <x v="5"/>
    <x v="1"/>
    <x v="12"/>
    <x v="34"/>
    <x v="1"/>
    <x v="0"/>
    <x v="3"/>
    <x v="6"/>
    <x v="5"/>
  </r>
  <r>
    <x v="3"/>
    <x v="0"/>
    <x v="5"/>
    <x v="5"/>
    <x v="1"/>
    <x v="12"/>
    <x v="34"/>
    <x v="2"/>
    <x v="8"/>
    <x v="3"/>
    <x v="4"/>
    <x v="4"/>
  </r>
  <r>
    <x v="4"/>
    <x v="0"/>
    <x v="5"/>
    <x v="5"/>
    <x v="1"/>
    <x v="12"/>
    <x v="34"/>
    <x v="2"/>
    <x v="8"/>
    <x v="3"/>
    <x v="4"/>
    <x v="4"/>
  </r>
  <r>
    <x v="5"/>
    <x v="0"/>
    <x v="5"/>
    <x v="5"/>
    <x v="0"/>
    <x v="0"/>
    <x v="54"/>
    <x v="11"/>
    <x v="6"/>
    <x v="3"/>
    <x v="8"/>
    <x v="24"/>
  </r>
  <r>
    <x v="6"/>
    <x v="0"/>
    <x v="5"/>
    <x v="5"/>
    <x v="0"/>
    <x v="1"/>
    <x v="54"/>
    <x v="12"/>
    <x v="6"/>
    <x v="3"/>
    <x v="96"/>
    <x v="17"/>
  </r>
  <r>
    <x v="7"/>
    <x v="0"/>
    <x v="5"/>
    <x v="5"/>
    <x v="0"/>
    <x v="1"/>
    <x v="28"/>
    <x v="12"/>
    <x v="6"/>
    <x v="5"/>
    <x v="129"/>
    <x v="129"/>
  </r>
  <r>
    <x v="8"/>
    <x v="0"/>
    <x v="5"/>
    <x v="5"/>
    <x v="0"/>
    <x v="1"/>
    <x v="28"/>
    <x v="12"/>
    <x v="3"/>
    <x v="4"/>
    <x v="130"/>
    <x v="144"/>
  </r>
  <r>
    <x v="9"/>
    <x v="0"/>
    <x v="5"/>
    <x v="5"/>
    <x v="0"/>
    <x v="0"/>
    <x v="35"/>
    <x v="11"/>
    <x v="6"/>
    <x v="0"/>
    <x v="131"/>
    <x v="145"/>
  </r>
  <r>
    <x v="10"/>
    <x v="0"/>
    <x v="5"/>
    <x v="5"/>
    <x v="1"/>
    <x v="12"/>
    <x v="37"/>
    <x v="11"/>
    <x v="4"/>
    <x v="5"/>
    <x v="90"/>
    <x v="52"/>
  </r>
  <r>
    <x v="11"/>
    <x v="0"/>
    <x v="5"/>
    <x v="5"/>
    <x v="1"/>
    <x v="17"/>
    <x v="49"/>
    <x v="1"/>
    <x v="8"/>
    <x v="2"/>
    <x v="36"/>
    <x v="118"/>
  </r>
  <r>
    <x v="12"/>
    <x v="0"/>
    <x v="5"/>
    <x v="5"/>
    <x v="1"/>
    <x v="11"/>
    <x v="16"/>
    <x v="6"/>
    <x v="0"/>
    <x v="18"/>
    <x v="99"/>
    <x v="11"/>
  </r>
  <r>
    <x v="13"/>
    <x v="0"/>
    <x v="5"/>
    <x v="5"/>
    <x v="1"/>
    <x v="17"/>
    <x v="49"/>
    <x v="0"/>
    <x v="14"/>
    <x v="6"/>
    <x v="132"/>
    <x v="95"/>
  </r>
  <r>
    <x v="14"/>
    <x v="0"/>
    <x v="5"/>
    <x v="5"/>
    <x v="1"/>
    <x v="11"/>
    <x v="49"/>
    <x v="25"/>
    <x v="7"/>
    <x v="15"/>
    <x v="102"/>
    <x v="117"/>
  </r>
  <r>
    <x v="15"/>
    <x v="0"/>
    <x v="5"/>
    <x v="5"/>
    <x v="1"/>
    <x v="3"/>
    <x v="49"/>
    <x v="21"/>
    <x v="5"/>
    <x v="1"/>
    <x v="133"/>
    <x v="27"/>
  </r>
  <r>
    <x v="16"/>
    <x v="0"/>
    <x v="5"/>
    <x v="5"/>
    <x v="1"/>
    <x v="11"/>
    <x v="36"/>
    <x v="25"/>
    <x v="7"/>
    <x v="1"/>
    <x v="93"/>
    <x v="134"/>
  </r>
  <r>
    <x v="17"/>
    <x v="0"/>
    <x v="5"/>
    <x v="5"/>
    <x v="1"/>
    <x v="11"/>
    <x v="36"/>
    <x v="21"/>
    <x v="14"/>
    <x v="1"/>
    <x v="134"/>
    <x v="146"/>
  </r>
  <r>
    <x v="18"/>
    <x v="0"/>
    <x v="5"/>
    <x v="5"/>
    <x v="1"/>
    <x v="12"/>
    <x v="34"/>
    <x v="2"/>
    <x v="5"/>
    <x v="5"/>
    <x v="103"/>
    <x v="147"/>
  </r>
  <r>
    <x v="19"/>
    <x v="0"/>
    <x v="5"/>
    <x v="5"/>
    <x v="1"/>
    <x v="12"/>
    <x v="34"/>
    <x v="11"/>
    <x v="9"/>
    <x v="15"/>
    <x v="44"/>
    <x v="148"/>
  </r>
  <r>
    <x v="20"/>
    <x v="0"/>
    <x v="5"/>
    <x v="5"/>
    <x v="1"/>
    <x v="12"/>
    <x v="54"/>
    <x v="19"/>
    <x v="3"/>
    <x v="4"/>
    <x v="125"/>
    <x v="149"/>
  </r>
  <r>
    <x v="21"/>
    <x v="0"/>
    <x v="5"/>
    <x v="5"/>
    <x v="0"/>
    <x v="0"/>
    <x v="54"/>
    <x v="11"/>
    <x v="2"/>
    <x v="0"/>
    <x v="25"/>
    <x v="52"/>
  </r>
  <r>
    <x v="22"/>
    <x v="0"/>
    <x v="5"/>
    <x v="5"/>
    <x v="0"/>
    <x v="0"/>
    <x v="55"/>
    <x v="12"/>
    <x v="3"/>
    <x v="3"/>
    <x v="90"/>
    <x v="10"/>
  </r>
  <r>
    <x v="23"/>
    <x v="0"/>
    <x v="5"/>
    <x v="5"/>
    <x v="0"/>
    <x v="0"/>
    <x v="55"/>
    <x v="12"/>
    <x v="9"/>
    <x v="0"/>
    <x v="95"/>
    <x v="35"/>
  </r>
  <r>
    <x v="0"/>
    <x v="0"/>
    <x v="6"/>
    <x v="6"/>
    <x v="0"/>
    <x v="0"/>
    <x v="56"/>
    <x v="11"/>
    <x v="2"/>
    <x v="5"/>
    <x v="32"/>
    <x v="137"/>
  </r>
  <r>
    <x v="1"/>
    <x v="0"/>
    <x v="6"/>
    <x v="6"/>
    <x v="0"/>
    <x v="0"/>
    <x v="56"/>
    <x v="11"/>
    <x v="2"/>
    <x v="3"/>
    <x v="8"/>
    <x v="24"/>
  </r>
  <r>
    <x v="2"/>
    <x v="0"/>
    <x v="6"/>
    <x v="6"/>
    <x v="0"/>
    <x v="0"/>
    <x v="2"/>
    <x v="19"/>
    <x v="8"/>
    <x v="3"/>
    <x v="6"/>
    <x v="5"/>
  </r>
  <r>
    <x v="3"/>
    <x v="0"/>
    <x v="6"/>
    <x v="6"/>
    <x v="0"/>
    <x v="1"/>
    <x v="1"/>
    <x v="12"/>
    <x v="4"/>
    <x v="3"/>
    <x v="4"/>
    <x v="4"/>
  </r>
  <r>
    <x v="4"/>
    <x v="0"/>
    <x v="6"/>
    <x v="6"/>
    <x v="0"/>
    <x v="1"/>
    <x v="9"/>
    <x v="2"/>
    <x v="1"/>
    <x v="3"/>
    <x v="4"/>
    <x v="4"/>
  </r>
  <r>
    <x v="5"/>
    <x v="0"/>
    <x v="6"/>
    <x v="6"/>
    <x v="0"/>
    <x v="0"/>
    <x v="54"/>
    <x v="13"/>
    <x v="12"/>
    <x v="5"/>
    <x v="22"/>
    <x v="36"/>
  </r>
  <r>
    <x v="6"/>
    <x v="0"/>
    <x v="6"/>
    <x v="6"/>
    <x v="0"/>
    <x v="1"/>
    <x v="28"/>
    <x v="12"/>
    <x v="2"/>
    <x v="3"/>
    <x v="2"/>
    <x v="110"/>
  </r>
  <r>
    <x v="7"/>
    <x v="0"/>
    <x v="6"/>
    <x v="6"/>
    <x v="0"/>
    <x v="2"/>
    <x v="33"/>
    <x v="18"/>
    <x v="3"/>
    <x v="4"/>
    <x v="43"/>
    <x v="118"/>
  </r>
  <r>
    <x v="8"/>
    <x v="0"/>
    <x v="6"/>
    <x v="6"/>
    <x v="0"/>
    <x v="2"/>
    <x v="19"/>
    <x v="18"/>
    <x v="9"/>
    <x v="18"/>
    <x v="135"/>
    <x v="112"/>
  </r>
  <r>
    <x v="9"/>
    <x v="0"/>
    <x v="6"/>
    <x v="6"/>
    <x v="0"/>
    <x v="2"/>
    <x v="33"/>
    <x v="18"/>
    <x v="11"/>
    <x v="18"/>
    <x v="136"/>
    <x v="150"/>
  </r>
  <r>
    <x v="10"/>
    <x v="0"/>
    <x v="6"/>
    <x v="6"/>
    <x v="0"/>
    <x v="2"/>
    <x v="19"/>
    <x v="17"/>
    <x v="17"/>
    <x v="15"/>
    <x v="77"/>
    <x v="55"/>
  </r>
  <r>
    <x v="11"/>
    <x v="0"/>
    <x v="6"/>
    <x v="6"/>
    <x v="0"/>
    <x v="1"/>
    <x v="48"/>
    <x v="18"/>
    <x v="17"/>
    <x v="15"/>
    <x v="42"/>
    <x v="29"/>
  </r>
  <r>
    <x v="12"/>
    <x v="0"/>
    <x v="6"/>
    <x v="6"/>
    <x v="0"/>
    <x v="1"/>
    <x v="57"/>
    <x v="18"/>
    <x v="19"/>
    <x v="16"/>
    <x v="28"/>
    <x v="53"/>
  </r>
  <r>
    <x v="13"/>
    <x v="0"/>
    <x v="6"/>
    <x v="6"/>
    <x v="0"/>
    <x v="2"/>
    <x v="58"/>
    <x v="20"/>
    <x v="19"/>
    <x v="1"/>
    <x v="65"/>
    <x v="88"/>
  </r>
  <r>
    <x v="14"/>
    <x v="0"/>
    <x v="6"/>
    <x v="6"/>
    <x v="0"/>
    <x v="2"/>
    <x v="59"/>
    <x v="20"/>
    <x v="18"/>
    <x v="15"/>
    <x v="90"/>
    <x v="69"/>
  </r>
  <r>
    <x v="15"/>
    <x v="0"/>
    <x v="6"/>
    <x v="6"/>
    <x v="0"/>
    <x v="13"/>
    <x v="60"/>
    <x v="16"/>
    <x v="10"/>
    <x v="17"/>
    <x v="124"/>
    <x v="32"/>
  </r>
  <r>
    <x v="16"/>
    <x v="0"/>
    <x v="6"/>
    <x v="6"/>
    <x v="0"/>
    <x v="13"/>
    <x v="60"/>
    <x v="14"/>
    <x v="11"/>
    <x v="3"/>
    <x v="106"/>
    <x v="54"/>
  </r>
  <r>
    <x v="17"/>
    <x v="0"/>
    <x v="6"/>
    <x v="6"/>
    <x v="0"/>
    <x v="14"/>
    <x v="40"/>
    <x v="16"/>
    <x v="11"/>
    <x v="22"/>
    <x v="137"/>
    <x v="143"/>
  </r>
  <r>
    <x v="18"/>
    <x v="0"/>
    <x v="6"/>
    <x v="6"/>
    <x v="0"/>
    <x v="16"/>
    <x v="24"/>
    <x v="16"/>
    <x v="2"/>
    <x v="5"/>
    <x v="138"/>
    <x v="151"/>
  </r>
  <r>
    <x v="19"/>
    <x v="0"/>
    <x v="6"/>
    <x v="6"/>
    <x v="0"/>
    <x v="16"/>
    <x v="24"/>
    <x v="15"/>
    <x v="9"/>
    <x v="0"/>
    <x v="139"/>
    <x v="152"/>
  </r>
  <r>
    <x v="20"/>
    <x v="0"/>
    <x v="6"/>
    <x v="6"/>
    <x v="0"/>
    <x v="18"/>
    <x v="39"/>
    <x v="23"/>
    <x v="12"/>
    <x v="5"/>
    <x v="15"/>
    <x v="26"/>
  </r>
  <r>
    <x v="21"/>
    <x v="0"/>
    <x v="6"/>
    <x v="6"/>
    <x v="0"/>
    <x v="19"/>
    <x v="41"/>
    <x v="23"/>
    <x v="3"/>
    <x v="3"/>
    <x v="40"/>
    <x v="102"/>
  </r>
  <r>
    <x v="22"/>
    <x v="0"/>
    <x v="6"/>
    <x v="6"/>
    <x v="0"/>
    <x v="20"/>
    <x v="48"/>
    <x v="26"/>
    <x v="13"/>
    <x v="5"/>
    <x v="39"/>
    <x v="19"/>
  </r>
  <r>
    <x v="23"/>
    <x v="0"/>
    <x v="6"/>
    <x v="6"/>
    <x v="0"/>
    <x v="20"/>
    <x v="41"/>
    <x v="27"/>
    <x v="9"/>
    <x v="3"/>
    <x v="2"/>
    <x v="110"/>
  </r>
  <r>
    <x v="0"/>
    <x v="0"/>
    <x v="0"/>
    <x v="0"/>
    <x v="0"/>
    <x v="21"/>
    <x v="49"/>
    <x v="26"/>
    <x v="2"/>
    <x v="3"/>
    <x v="0"/>
    <x v="3"/>
  </r>
  <r>
    <x v="1"/>
    <x v="0"/>
    <x v="0"/>
    <x v="0"/>
    <x v="0"/>
    <x v="21"/>
    <x v="48"/>
    <x v="28"/>
    <x v="13"/>
    <x v="0"/>
    <x v="33"/>
    <x v="47"/>
  </r>
  <r>
    <x v="2"/>
    <x v="0"/>
    <x v="0"/>
    <x v="0"/>
    <x v="0"/>
    <x v="21"/>
    <x v="48"/>
    <x v="26"/>
    <x v="2"/>
    <x v="3"/>
    <x v="48"/>
    <x v="62"/>
  </r>
  <r>
    <x v="3"/>
    <x v="0"/>
    <x v="0"/>
    <x v="0"/>
    <x v="0"/>
    <x v="21"/>
    <x v="48"/>
    <x v="26"/>
    <x v="3"/>
    <x v="5"/>
    <x v="8"/>
    <x v="85"/>
  </r>
  <r>
    <x v="4"/>
    <x v="0"/>
    <x v="0"/>
    <x v="0"/>
    <x v="0"/>
    <x v="22"/>
    <x v="37"/>
    <x v="29"/>
    <x v="4"/>
    <x v="3"/>
    <x v="35"/>
    <x v="6"/>
  </r>
  <r>
    <x v="6"/>
    <x v="0"/>
    <x v="0"/>
    <x v="0"/>
    <x v="0"/>
    <x v="22"/>
    <x v="18"/>
    <x v="26"/>
    <x v="6"/>
    <x v="3"/>
    <x v="6"/>
    <x v="5"/>
  </r>
  <r>
    <x v="7"/>
    <x v="0"/>
    <x v="0"/>
    <x v="0"/>
    <x v="0"/>
    <x v="22"/>
    <x v="18"/>
    <x v="29"/>
    <x v="3"/>
    <x v="3"/>
    <x v="21"/>
    <x v="7"/>
  </r>
  <r>
    <x v="8"/>
    <x v="0"/>
    <x v="0"/>
    <x v="0"/>
    <x v="0"/>
    <x v="22"/>
    <x v="18"/>
    <x v="28"/>
    <x v="9"/>
    <x v="5"/>
    <x v="16"/>
    <x v="110"/>
  </r>
  <r>
    <x v="9"/>
    <x v="0"/>
    <x v="0"/>
    <x v="0"/>
    <x v="0"/>
    <x v="21"/>
    <x v="48"/>
    <x v="26"/>
    <x v="2"/>
    <x v="0"/>
    <x v="53"/>
    <x v="1"/>
  </r>
  <r>
    <x v="10"/>
    <x v="0"/>
    <x v="0"/>
    <x v="0"/>
    <x v="0"/>
    <x v="21"/>
    <x v="48"/>
    <x v="22"/>
    <x v="8"/>
    <x v="0"/>
    <x v="54"/>
    <x v="26"/>
  </r>
  <r>
    <x v="11"/>
    <x v="0"/>
    <x v="0"/>
    <x v="0"/>
    <x v="0"/>
    <x v="20"/>
    <x v="41"/>
    <x v="23"/>
    <x v="7"/>
    <x v="17"/>
    <x v="79"/>
    <x v="55"/>
  </r>
  <r>
    <x v="12"/>
    <x v="0"/>
    <x v="0"/>
    <x v="0"/>
    <x v="0"/>
    <x v="20"/>
    <x v="41"/>
    <x v="15"/>
    <x v="14"/>
    <x v="22"/>
    <x v="91"/>
    <x v="27"/>
  </r>
  <r>
    <x v="13"/>
    <x v="0"/>
    <x v="0"/>
    <x v="0"/>
    <x v="0"/>
    <x v="19"/>
    <x v="23"/>
    <x v="17"/>
    <x v="0"/>
    <x v="6"/>
    <x v="109"/>
    <x v="11"/>
  </r>
  <r>
    <x v="14"/>
    <x v="0"/>
    <x v="0"/>
    <x v="0"/>
    <x v="0"/>
    <x v="18"/>
    <x v="39"/>
    <x v="14"/>
    <x v="14"/>
    <x v="16"/>
    <x v="27"/>
    <x v="28"/>
  </r>
  <r>
    <x v="15"/>
    <x v="0"/>
    <x v="0"/>
    <x v="0"/>
    <x v="0"/>
    <x v="16"/>
    <x v="40"/>
    <x v="20"/>
    <x v="0"/>
    <x v="22"/>
    <x v="139"/>
    <x v="153"/>
  </r>
  <r>
    <x v="16"/>
    <x v="0"/>
    <x v="0"/>
    <x v="0"/>
    <x v="0"/>
    <x v="16"/>
    <x v="40"/>
    <x v="14"/>
    <x v="5"/>
    <x v="16"/>
    <x v="109"/>
    <x v="56"/>
  </r>
  <r>
    <x v="17"/>
    <x v="0"/>
    <x v="0"/>
    <x v="0"/>
    <x v="0"/>
    <x v="16"/>
    <x v="40"/>
    <x v="13"/>
    <x v="0"/>
    <x v="1"/>
    <x v="79"/>
    <x v="16"/>
  </r>
  <r>
    <x v="18"/>
    <x v="0"/>
    <x v="0"/>
    <x v="0"/>
    <x v="0"/>
    <x v="19"/>
    <x v="23"/>
    <x v="24"/>
    <x v="5"/>
    <x v="3"/>
    <x v="25"/>
    <x v="60"/>
  </r>
  <r>
    <x v="19"/>
    <x v="0"/>
    <x v="0"/>
    <x v="0"/>
    <x v="0"/>
    <x v="19"/>
    <x v="23"/>
    <x v="15"/>
    <x v="7"/>
    <x v="15"/>
    <x v="42"/>
    <x v="29"/>
  </r>
  <r>
    <x v="20"/>
    <x v="0"/>
    <x v="0"/>
    <x v="0"/>
    <x v="0"/>
    <x v="20"/>
    <x v="49"/>
    <x v="23"/>
    <x v="8"/>
    <x v="5"/>
    <x v="100"/>
    <x v="79"/>
  </r>
  <r>
    <x v="21"/>
    <x v="0"/>
    <x v="0"/>
    <x v="0"/>
    <x v="0"/>
    <x v="20"/>
    <x v="48"/>
    <x v="15"/>
    <x v="1"/>
    <x v="3"/>
    <x v="87"/>
    <x v="21"/>
  </r>
  <r>
    <x v="22"/>
    <x v="0"/>
    <x v="0"/>
    <x v="0"/>
    <x v="0"/>
    <x v="20"/>
    <x v="36"/>
    <x v="20"/>
    <x v="0"/>
    <x v="18"/>
    <x v="140"/>
    <x v="33"/>
  </r>
  <r>
    <x v="23"/>
    <x v="0"/>
    <x v="0"/>
    <x v="0"/>
    <x v="0"/>
    <x v="21"/>
    <x v="14"/>
    <x v="23"/>
    <x v="14"/>
    <x v="4"/>
    <x v="17"/>
    <x v="63"/>
  </r>
  <r>
    <x v="0"/>
    <x v="0"/>
    <x v="1"/>
    <x v="1"/>
    <x v="0"/>
    <x v="21"/>
    <x v="14"/>
    <x v="23"/>
    <x v="14"/>
    <x v="4"/>
    <x v="32"/>
    <x v="34"/>
  </r>
  <r>
    <x v="1"/>
    <x v="0"/>
    <x v="1"/>
    <x v="1"/>
    <x v="0"/>
    <x v="21"/>
    <x v="14"/>
    <x v="23"/>
    <x v="14"/>
    <x v="5"/>
    <x v="98"/>
    <x v="3"/>
  </r>
  <r>
    <x v="2"/>
    <x v="0"/>
    <x v="1"/>
    <x v="1"/>
    <x v="0"/>
    <x v="22"/>
    <x v="51"/>
    <x v="22"/>
    <x v="7"/>
    <x v="0"/>
    <x v="89"/>
    <x v="109"/>
  </r>
  <r>
    <x v="3"/>
    <x v="0"/>
    <x v="1"/>
    <x v="1"/>
    <x v="0"/>
    <x v="22"/>
    <x v="51"/>
    <x v="22"/>
    <x v="7"/>
    <x v="5"/>
    <x v="22"/>
    <x v="36"/>
  </r>
  <r>
    <x v="5"/>
    <x v="0"/>
    <x v="1"/>
    <x v="1"/>
    <x v="0"/>
    <x v="21"/>
    <x v="14"/>
    <x v="23"/>
    <x v="14"/>
    <x v="3"/>
    <x v="35"/>
    <x v="6"/>
  </r>
  <r>
    <x v="6"/>
    <x v="0"/>
    <x v="1"/>
    <x v="1"/>
    <x v="0"/>
    <x v="21"/>
    <x v="14"/>
    <x v="23"/>
    <x v="14"/>
    <x v="3"/>
    <x v="4"/>
    <x v="4"/>
  </r>
  <r>
    <x v="7"/>
    <x v="0"/>
    <x v="1"/>
    <x v="1"/>
    <x v="0"/>
    <x v="19"/>
    <x v="52"/>
    <x v="15"/>
    <x v="8"/>
    <x v="5"/>
    <x v="4"/>
    <x v="5"/>
  </r>
  <r>
    <x v="8"/>
    <x v="0"/>
    <x v="1"/>
    <x v="1"/>
    <x v="0"/>
    <x v="20"/>
    <x v="51"/>
    <x v="23"/>
    <x v="8"/>
    <x v="4"/>
    <x v="19"/>
    <x v="75"/>
  </r>
  <r>
    <x v="9"/>
    <x v="0"/>
    <x v="1"/>
    <x v="1"/>
    <x v="0"/>
    <x v="18"/>
    <x v="47"/>
    <x v="23"/>
    <x v="11"/>
    <x v="0"/>
    <x v="18"/>
    <x v="20"/>
  </r>
  <r>
    <x v="10"/>
    <x v="0"/>
    <x v="1"/>
    <x v="1"/>
    <x v="0"/>
    <x v="14"/>
    <x v="15"/>
    <x v="15"/>
    <x v="13"/>
    <x v="18"/>
    <x v="82"/>
    <x v="154"/>
  </r>
  <r>
    <x v="11"/>
    <x v="0"/>
    <x v="1"/>
    <x v="1"/>
    <x v="0"/>
    <x v="14"/>
    <x v="21"/>
    <x v="14"/>
    <x v="6"/>
    <x v="30"/>
    <x v="99"/>
    <x v="111"/>
  </r>
  <r>
    <x v="12"/>
    <x v="0"/>
    <x v="1"/>
    <x v="1"/>
    <x v="0"/>
    <x v="13"/>
    <x v="38"/>
    <x v="16"/>
    <x v="17"/>
    <x v="31"/>
    <x v="50"/>
    <x v="155"/>
  </r>
  <r>
    <x v="13"/>
    <x v="0"/>
    <x v="1"/>
    <x v="1"/>
    <x v="0"/>
    <x v="14"/>
    <x v="39"/>
    <x v="15"/>
    <x v="13"/>
    <x v="6"/>
    <x v="102"/>
    <x v="90"/>
  </r>
  <r>
    <x v="14"/>
    <x v="0"/>
    <x v="1"/>
    <x v="1"/>
    <x v="0"/>
    <x v="13"/>
    <x v="40"/>
    <x v="14"/>
    <x v="11"/>
    <x v="26"/>
    <x v="139"/>
    <x v="14"/>
  </r>
  <r>
    <x v="15"/>
    <x v="0"/>
    <x v="1"/>
    <x v="1"/>
    <x v="0"/>
    <x v="13"/>
    <x v="40"/>
    <x v="14"/>
    <x v="11"/>
    <x v="23"/>
    <x v="27"/>
    <x v="43"/>
  </r>
  <r>
    <x v="16"/>
    <x v="0"/>
    <x v="1"/>
    <x v="1"/>
    <x v="0"/>
    <x v="13"/>
    <x v="60"/>
    <x v="14"/>
    <x v="9"/>
    <x v="14"/>
    <x v="90"/>
    <x v="32"/>
  </r>
  <r>
    <x v="17"/>
    <x v="0"/>
    <x v="1"/>
    <x v="1"/>
    <x v="0"/>
    <x v="14"/>
    <x v="60"/>
    <x v="15"/>
    <x v="13"/>
    <x v="2"/>
    <x v="54"/>
    <x v="97"/>
  </r>
  <r>
    <x v="18"/>
    <x v="0"/>
    <x v="1"/>
    <x v="1"/>
    <x v="0"/>
    <x v="16"/>
    <x v="24"/>
    <x v="16"/>
    <x v="2"/>
    <x v="2"/>
    <x v="100"/>
    <x v="99"/>
  </r>
  <r>
    <x v="19"/>
    <x v="0"/>
    <x v="1"/>
    <x v="1"/>
    <x v="0"/>
    <x v="16"/>
    <x v="24"/>
    <x v="16"/>
    <x v="3"/>
    <x v="2"/>
    <x v="108"/>
    <x v="89"/>
  </r>
  <r>
    <x v="20"/>
    <x v="0"/>
    <x v="1"/>
    <x v="1"/>
    <x v="0"/>
    <x v="18"/>
    <x v="42"/>
    <x v="15"/>
    <x v="2"/>
    <x v="17"/>
    <x v="17"/>
    <x v="17"/>
  </r>
  <r>
    <x v="21"/>
    <x v="0"/>
    <x v="1"/>
    <x v="1"/>
    <x v="0"/>
    <x v="18"/>
    <x v="42"/>
    <x v="15"/>
    <x v="5"/>
    <x v="2"/>
    <x v="32"/>
    <x v="94"/>
  </r>
  <r>
    <x v="22"/>
    <x v="0"/>
    <x v="1"/>
    <x v="1"/>
    <x v="0"/>
    <x v="19"/>
    <x v="41"/>
    <x v="24"/>
    <x v="5"/>
    <x v="2"/>
    <x v="140"/>
    <x v="20"/>
  </r>
  <r>
    <x v="23"/>
    <x v="0"/>
    <x v="1"/>
    <x v="1"/>
    <x v="0"/>
    <x v="20"/>
    <x v="48"/>
    <x v="22"/>
    <x v="6"/>
    <x v="17"/>
    <x v="19"/>
    <x v="137"/>
  </r>
  <r>
    <x v="0"/>
    <x v="0"/>
    <x v="2"/>
    <x v="2"/>
    <x v="0"/>
    <x v="20"/>
    <x v="48"/>
    <x v="22"/>
    <x v="5"/>
    <x v="3"/>
    <x v="7"/>
    <x v="85"/>
  </r>
  <r>
    <x v="1"/>
    <x v="0"/>
    <x v="2"/>
    <x v="2"/>
    <x v="0"/>
    <x v="21"/>
    <x v="49"/>
    <x v="27"/>
    <x v="5"/>
    <x v="3"/>
    <x v="4"/>
    <x v="4"/>
  </r>
  <r>
    <x v="3"/>
    <x v="0"/>
    <x v="2"/>
    <x v="2"/>
    <x v="0"/>
    <x v="21"/>
    <x v="49"/>
    <x v="26"/>
    <x v="2"/>
    <x v="3"/>
    <x v="4"/>
    <x v="4"/>
  </r>
  <r>
    <x v="4"/>
    <x v="0"/>
    <x v="2"/>
    <x v="2"/>
    <x v="0"/>
    <x v="22"/>
    <x v="37"/>
    <x v="22"/>
    <x v="7"/>
    <x v="3"/>
    <x v="4"/>
    <x v="4"/>
  </r>
  <r>
    <x v="5"/>
    <x v="0"/>
    <x v="2"/>
    <x v="2"/>
    <x v="0"/>
    <x v="22"/>
    <x v="37"/>
    <x v="22"/>
    <x v="7"/>
    <x v="3"/>
    <x v="34"/>
    <x v="36"/>
  </r>
  <r>
    <x v="6"/>
    <x v="0"/>
    <x v="2"/>
    <x v="2"/>
    <x v="0"/>
    <x v="22"/>
    <x v="37"/>
    <x v="23"/>
    <x v="1"/>
    <x v="3"/>
    <x v="89"/>
    <x v="93"/>
  </r>
  <r>
    <x v="7"/>
    <x v="0"/>
    <x v="2"/>
    <x v="2"/>
    <x v="0"/>
    <x v="22"/>
    <x v="37"/>
    <x v="16"/>
    <x v="0"/>
    <x v="2"/>
    <x v="55"/>
    <x v="11"/>
  </r>
  <r>
    <x v="8"/>
    <x v="0"/>
    <x v="2"/>
    <x v="2"/>
    <x v="0"/>
    <x v="21"/>
    <x v="36"/>
    <x v="14"/>
    <x v="0"/>
    <x v="15"/>
    <x v="141"/>
    <x v="156"/>
  </r>
  <r>
    <x v="9"/>
    <x v="0"/>
    <x v="2"/>
    <x v="2"/>
    <x v="0"/>
    <x v="20"/>
    <x v="48"/>
    <x v="20"/>
    <x v="0"/>
    <x v="17"/>
    <x v="52"/>
    <x v="96"/>
  </r>
  <r>
    <x v="10"/>
    <x v="0"/>
    <x v="2"/>
    <x v="2"/>
    <x v="0"/>
    <x v="18"/>
    <x v="16"/>
    <x v="14"/>
    <x v="0"/>
    <x v="15"/>
    <x v="60"/>
    <x v="1"/>
  </r>
  <r>
    <x v="11"/>
    <x v="0"/>
    <x v="2"/>
    <x v="2"/>
    <x v="0"/>
    <x v="18"/>
    <x v="15"/>
    <x v="16"/>
    <x v="7"/>
    <x v="0"/>
    <x v="30"/>
    <x v="66"/>
  </r>
  <r>
    <x v="12"/>
    <x v="0"/>
    <x v="2"/>
    <x v="2"/>
    <x v="0"/>
    <x v="16"/>
    <x v="16"/>
    <x v="14"/>
    <x v="5"/>
    <x v="16"/>
    <x v="15"/>
    <x v="55"/>
  </r>
  <r>
    <x v="13"/>
    <x v="0"/>
    <x v="2"/>
    <x v="2"/>
    <x v="0"/>
    <x v="14"/>
    <x v="21"/>
    <x v="14"/>
    <x v="6"/>
    <x v="15"/>
    <x v="25"/>
    <x v="122"/>
  </r>
  <r>
    <x v="14"/>
    <x v="0"/>
    <x v="2"/>
    <x v="2"/>
    <x v="0"/>
    <x v="14"/>
    <x v="15"/>
    <x v="14"/>
    <x v="6"/>
    <x v="4"/>
    <x v="30"/>
    <x v="79"/>
  </r>
  <r>
    <x v="15"/>
    <x v="0"/>
    <x v="2"/>
    <x v="2"/>
    <x v="0"/>
    <x v="13"/>
    <x v="22"/>
    <x v="17"/>
    <x v="8"/>
    <x v="18"/>
    <x v="54"/>
    <x v="52"/>
  </r>
  <r>
    <x v="16"/>
    <x v="0"/>
    <x v="2"/>
    <x v="2"/>
    <x v="0"/>
    <x v="13"/>
    <x v="19"/>
    <x v="20"/>
    <x v="2"/>
    <x v="17"/>
    <x v="43"/>
    <x v="27"/>
  </r>
  <r>
    <x v="17"/>
    <x v="0"/>
    <x v="2"/>
    <x v="2"/>
    <x v="0"/>
    <x v="14"/>
    <x v="20"/>
    <x v="16"/>
    <x v="2"/>
    <x v="15"/>
    <x v="86"/>
    <x v="157"/>
  </r>
  <r>
    <x v="18"/>
    <x v="0"/>
    <x v="2"/>
    <x v="2"/>
    <x v="0"/>
    <x v="14"/>
    <x v="29"/>
    <x v="14"/>
    <x v="5"/>
    <x v="1"/>
    <x v="142"/>
    <x v="158"/>
  </r>
  <r>
    <x v="19"/>
    <x v="0"/>
    <x v="2"/>
    <x v="2"/>
    <x v="0"/>
    <x v="14"/>
    <x v="47"/>
    <x v="20"/>
    <x v="8"/>
    <x v="2"/>
    <x v="143"/>
    <x v="13"/>
  </r>
  <r>
    <x v="20"/>
    <x v="0"/>
    <x v="2"/>
    <x v="2"/>
    <x v="0"/>
    <x v="14"/>
    <x v="29"/>
    <x v="14"/>
    <x v="5"/>
    <x v="5"/>
    <x v="122"/>
    <x v="117"/>
  </r>
  <r>
    <x v="21"/>
    <x v="0"/>
    <x v="2"/>
    <x v="2"/>
    <x v="0"/>
    <x v="14"/>
    <x v="30"/>
    <x v="20"/>
    <x v="8"/>
    <x v="15"/>
    <x v="42"/>
    <x v="29"/>
  </r>
  <r>
    <x v="22"/>
    <x v="0"/>
    <x v="2"/>
    <x v="2"/>
    <x v="0"/>
    <x v="14"/>
    <x v="30"/>
    <x v="14"/>
    <x v="6"/>
    <x v="0"/>
    <x v="1"/>
    <x v="17"/>
  </r>
  <r>
    <x v="23"/>
    <x v="0"/>
    <x v="2"/>
    <x v="2"/>
    <x v="0"/>
    <x v="13"/>
    <x v="26"/>
    <x v="20"/>
    <x v="2"/>
    <x v="0"/>
    <x v="144"/>
    <x v="108"/>
  </r>
  <r>
    <x v="0"/>
    <x v="0"/>
    <x v="3"/>
    <x v="3"/>
    <x v="0"/>
    <x v="13"/>
    <x v="27"/>
    <x v="14"/>
    <x v="3"/>
    <x v="0"/>
    <x v="8"/>
    <x v="23"/>
  </r>
  <r>
    <x v="1"/>
    <x v="0"/>
    <x v="3"/>
    <x v="3"/>
    <x v="0"/>
    <x v="13"/>
    <x v="27"/>
    <x v="17"/>
    <x v="8"/>
    <x v="3"/>
    <x v="34"/>
    <x v="36"/>
  </r>
  <r>
    <x v="2"/>
    <x v="0"/>
    <x v="3"/>
    <x v="3"/>
    <x v="0"/>
    <x v="13"/>
    <x v="27"/>
    <x v="20"/>
    <x v="6"/>
    <x v="3"/>
    <x v="6"/>
    <x v="5"/>
  </r>
  <r>
    <x v="4"/>
    <x v="0"/>
    <x v="3"/>
    <x v="3"/>
    <x v="0"/>
    <x v="14"/>
    <x v="32"/>
    <x v="17"/>
    <x v="14"/>
    <x v="3"/>
    <x v="4"/>
    <x v="4"/>
  </r>
  <r>
    <x v="5"/>
    <x v="0"/>
    <x v="3"/>
    <x v="3"/>
    <x v="0"/>
    <x v="14"/>
    <x v="32"/>
    <x v="14"/>
    <x v="6"/>
    <x v="3"/>
    <x v="33"/>
    <x v="23"/>
  </r>
  <r>
    <x v="6"/>
    <x v="0"/>
    <x v="3"/>
    <x v="3"/>
    <x v="0"/>
    <x v="13"/>
    <x v="32"/>
    <x v="18"/>
    <x v="14"/>
    <x v="5"/>
    <x v="96"/>
    <x v="9"/>
  </r>
  <r>
    <x v="7"/>
    <x v="0"/>
    <x v="3"/>
    <x v="3"/>
    <x v="0"/>
    <x v="13"/>
    <x v="32"/>
    <x v="20"/>
    <x v="6"/>
    <x v="2"/>
    <x v="145"/>
    <x v="159"/>
  </r>
  <r>
    <x v="8"/>
    <x v="0"/>
    <x v="3"/>
    <x v="3"/>
    <x v="0"/>
    <x v="13"/>
    <x v="32"/>
    <x v="18"/>
    <x v="7"/>
    <x v="2"/>
    <x v="146"/>
    <x v="160"/>
  </r>
  <r>
    <x v="9"/>
    <x v="0"/>
    <x v="3"/>
    <x v="3"/>
    <x v="0"/>
    <x v="2"/>
    <x v="26"/>
    <x v="11"/>
    <x v="1"/>
    <x v="22"/>
    <x v="120"/>
    <x v="124"/>
  </r>
  <r>
    <x v="10"/>
    <x v="0"/>
    <x v="3"/>
    <x v="3"/>
    <x v="0"/>
    <x v="1"/>
    <x v="54"/>
    <x v="19"/>
    <x v="14"/>
    <x v="15"/>
    <x v="47"/>
    <x v="97"/>
  </r>
  <r>
    <x v="11"/>
    <x v="0"/>
    <x v="3"/>
    <x v="3"/>
    <x v="0"/>
    <x v="0"/>
    <x v="54"/>
    <x v="19"/>
    <x v="7"/>
    <x v="15"/>
    <x v="11"/>
    <x v="42"/>
  </r>
  <r>
    <x v="12"/>
    <x v="0"/>
    <x v="3"/>
    <x v="3"/>
    <x v="1"/>
    <x v="12"/>
    <x v="34"/>
    <x v="0"/>
    <x v="1"/>
    <x v="27"/>
    <x v="66"/>
    <x v="13"/>
  </r>
  <r>
    <x v="13"/>
    <x v="0"/>
    <x v="3"/>
    <x v="3"/>
    <x v="1"/>
    <x v="12"/>
    <x v="34"/>
    <x v="1"/>
    <x v="7"/>
    <x v="27"/>
    <x v="109"/>
    <x v="15"/>
  </r>
  <r>
    <x v="14"/>
    <x v="0"/>
    <x v="3"/>
    <x v="3"/>
    <x v="1"/>
    <x v="11"/>
    <x v="49"/>
    <x v="6"/>
    <x v="0"/>
    <x v="16"/>
    <x v="77"/>
    <x v="118"/>
  </r>
  <r>
    <x v="15"/>
    <x v="0"/>
    <x v="3"/>
    <x v="3"/>
    <x v="1"/>
    <x v="3"/>
    <x v="16"/>
    <x v="4"/>
    <x v="0"/>
    <x v="27"/>
    <x v="36"/>
    <x v="11"/>
  </r>
  <r>
    <x v="16"/>
    <x v="0"/>
    <x v="3"/>
    <x v="3"/>
    <x v="1"/>
    <x v="3"/>
    <x v="16"/>
    <x v="4"/>
    <x v="0"/>
    <x v="24"/>
    <x v="46"/>
    <x v="155"/>
  </r>
  <r>
    <x v="17"/>
    <x v="0"/>
    <x v="3"/>
    <x v="3"/>
    <x v="1"/>
    <x v="11"/>
    <x v="49"/>
    <x v="6"/>
    <x v="0"/>
    <x v="24"/>
    <x v="147"/>
    <x v="161"/>
  </r>
  <r>
    <x v="18"/>
    <x v="0"/>
    <x v="3"/>
    <x v="3"/>
    <x v="1"/>
    <x v="11"/>
    <x v="36"/>
    <x v="21"/>
    <x v="1"/>
    <x v="18"/>
    <x v="148"/>
    <x v="162"/>
  </r>
  <r>
    <x v="19"/>
    <x v="0"/>
    <x v="3"/>
    <x v="3"/>
    <x v="1"/>
    <x v="12"/>
    <x v="55"/>
    <x v="2"/>
    <x v="8"/>
    <x v="23"/>
    <x v="149"/>
    <x v="163"/>
  </r>
  <r>
    <x v="20"/>
    <x v="0"/>
    <x v="3"/>
    <x v="3"/>
    <x v="0"/>
    <x v="0"/>
    <x v="55"/>
    <x v="11"/>
    <x v="5"/>
    <x v="19"/>
    <x v="145"/>
    <x v="164"/>
  </r>
  <r>
    <x v="21"/>
    <x v="0"/>
    <x v="3"/>
    <x v="3"/>
    <x v="0"/>
    <x v="0"/>
    <x v="55"/>
    <x v="11"/>
    <x v="5"/>
    <x v="2"/>
    <x v="71"/>
    <x v="79"/>
  </r>
  <r>
    <x v="22"/>
    <x v="0"/>
    <x v="3"/>
    <x v="3"/>
    <x v="0"/>
    <x v="1"/>
    <x v="26"/>
    <x v="11"/>
    <x v="8"/>
    <x v="17"/>
    <x v="47"/>
    <x v="26"/>
  </r>
  <r>
    <x v="23"/>
    <x v="0"/>
    <x v="3"/>
    <x v="3"/>
    <x v="0"/>
    <x v="1"/>
    <x v="26"/>
    <x v="11"/>
    <x v="8"/>
    <x v="0"/>
    <x v="53"/>
    <x v="1"/>
  </r>
  <r>
    <x v="0"/>
    <x v="0"/>
    <x v="4"/>
    <x v="4"/>
    <x v="0"/>
    <x v="1"/>
    <x v="27"/>
    <x v="11"/>
    <x v="7"/>
    <x v="0"/>
    <x v="88"/>
    <x v="22"/>
  </r>
  <r>
    <x v="1"/>
    <x v="0"/>
    <x v="4"/>
    <x v="4"/>
    <x v="0"/>
    <x v="0"/>
    <x v="55"/>
    <x v="19"/>
    <x v="7"/>
    <x v="3"/>
    <x v="34"/>
    <x v="36"/>
  </r>
  <r>
    <x v="2"/>
    <x v="0"/>
    <x v="4"/>
    <x v="4"/>
    <x v="0"/>
    <x v="1"/>
    <x v="27"/>
    <x v="11"/>
    <x v="5"/>
    <x v="0"/>
    <x v="7"/>
    <x v="98"/>
  </r>
  <r>
    <x v="5"/>
    <x v="0"/>
    <x v="4"/>
    <x v="4"/>
    <x v="0"/>
    <x v="2"/>
    <x v="3"/>
    <x v="18"/>
    <x v="3"/>
    <x v="3"/>
    <x v="4"/>
    <x v="4"/>
  </r>
  <r>
    <x v="6"/>
    <x v="0"/>
    <x v="4"/>
    <x v="4"/>
    <x v="0"/>
    <x v="2"/>
    <x v="3"/>
    <x v="18"/>
    <x v="3"/>
    <x v="3"/>
    <x v="21"/>
    <x v="7"/>
  </r>
  <r>
    <x v="7"/>
    <x v="0"/>
    <x v="4"/>
    <x v="4"/>
    <x v="0"/>
    <x v="1"/>
    <x v="9"/>
    <x v="12"/>
    <x v="4"/>
    <x v="5"/>
    <x v="31"/>
    <x v="33"/>
  </r>
  <r>
    <x v="8"/>
    <x v="0"/>
    <x v="4"/>
    <x v="4"/>
    <x v="0"/>
    <x v="1"/>
    <x v="9"/>
    <x v="12"/>
    <x v="4"/>
    <x v="0"/>
    <x v="94"/>
    <x v="44"/>
  </r>
  <r>
    <x v="9"/>
    <x v="0"/>
    <x v="4"/>
    <x v="4"/>
    <x v="0"/>
    <x v="1"/>
    <x v="9"/>
    <x v="12"/>
    <x v="4"/>
    <x v="0"/>
    <x v="11"/>
    <x v="154"/>
  </r>
  <r>
    <x v="10"/>
    <x v="0"/>
    <x v="4"/>
    <x v="4"/>
    <x v="0"/>
    <x v="1"/>
    <x v="43"/>
    <x v="12"/>
    <x v="3"/>
    <x v="4"/>
    <x v="16"/>
    <x v="20"/>
  </r>
  <r>
    <x v="11"/>
    <x v="0"/>
    <x v="4"/>
    <x v="4"/>
    <x v="0"/>
    <x v="1"/>
    <x v="43"/>
    <x v="13"/>
    <x v="9"/>
    <x v="15"/>
    <x v="96"/>
    <x v="102"/>
  </r>
  <r>
    <x v="12"/>
    <x v="0"/>
    <x v="4"/>
    <x v="4"/>
    <x v="0"/>
    <x v="1"/>
    <x v="43"/>
    <x v="13"/>
    <x v="9"/>
    <x v="18"/>
    <x v="40"/>
    <x v="61"/>
  </r>
  <r>
    <x v="13"/>
    <x v="0"/>
    <x v="4"/>
    <x v="4"/>
    <x v="0"/>
    <x v="1"/>
    <x v="43"/>
    <x v="13"/>
    <x v="9"/>
    <x v="17"/>
    <x v="30"/>
    <x v="105"/>
  </r>
  <r>
    <x v="14"/>
    <x v="0"/>
    <x v="4"/>
    <x v="4"/>
    <x v="0"/>
    <x v="1"/>
    <x v="43"/>
    <x v="13"/>
    <x v="11"/>
    <x v="3"/>
    <x v="49"/>
    <x v="9"/>
  </r>
  <r>
    <x v="15"/>
    <x v="0"/>
    <x v="4"/>
    <x v="4"/>
    <x v="0"/>
    <x v="1"/>
    <x v="43"/>
    <x v="18"/>
    <x v="17"/>
    <x v="5"/>
    <x v="76"/>
    <x v="74"/>
  </r>
  <r>
    <x v="16"/>
    <x v="0"/>
    <x v="4"/>
    <x v="4"/>
    <x v="0"/>
    <x v="1"/>
    <x v="43"/>
    <x v="13"/>
    <x v="9"/>
    <x v="5"/>
    <x v="96"/>
    <x v="9"/>
  </r>
  <r>
    <x v="17"/>
    <x v="0"/>
    <x v="4"/>
    <x v="4"/>
    <x v="0"/>
    <x v="2"/>
    <x v="43"/>
    <x v="18"/>
    <x v="11"/>
    <x v="3"/>
    <x v="16"/>
    <x v="132"/>
  </r>
  <r>
    <x v="16"/>
    <x v="0"/>
    <x v="5"/>
    <x v="5"/>
    <x v="0"/>
    <x v="1"/>
    <x v="28"/>
    <x v="11"/>
    <x v="5"/>
    <x v="5"/>
    <x v="140"/>
    <x v="108"/>
  </r>
  <r>
    <x v="17"/>
    <x v="0"/>
    <x v="5"/>
    <x v="5"/>
    <x v="0"/>
    <x v="1"/>
    <x v="28"/>
    <x v="19"/>
    <x v="14"/>
    <x v="4"/>
    <x v="70"/>
    <x v="11"/>
  </r>
  <r>
    <x v="18"/>
    <x v="0"/>
    <x v="5"/>
    <x v="5"/>
    <x v="0"/>
    <x v="2"/>
    <x v="27"/>
    <x v="11"/>
    <x v="1"/>
    <x v="0"/>
    <x v="143"/>
    <x v="133"/>
  </r>
  <r>
    <x v="19"/>
    <x v="0"/>
    <x v="5"/>
    <x v="5"/>
    <x v="0"/>
    <x v="2"/>
    <x v="27"/>
    <x v="11"/>
    <x v="1"/>
    <x v="0"/>
    <x v="83"/>
    <x v="67"/>
  </r>
  <r>
    <x v="20"/>
    <x v="0"/>
    <x v="5"/>
    <x v="5"/>
    <x v="0"/>
    <x v="15"/>
    <x v="32"/>
    <x v="12"/>
    <x v="1"/>
    <x v="17"/>
    <x v="11"/>
    <x v="29"/>
  </r>
  <r>
    <x v="21"/>
    <x v="0"/>
    <x v="5"/>
    <x v="5"/>
    <x v="0"/>
    <x v="15"/>
    <x v="32"/>
    <x v="12"/>
    <x v="1"/>
    <x v="4"/>
    <x v="49"/>
    <x v="103"/>
  </r>
  <r>
    <x v="22"/>
    <x v="0"/>
    <x v="5"/>
    <x v="5"/>
    <x v="0"/>
    <x v="15"/>
    <x v="32"/>
    <x v="12"/>
    <x v="1"/>
    <x v="3"/>
    <x v="2"/>
    <x v="110"/>
  </r>
  <r>
    <x v="23"/>
    <x v="0"/>
    <x v="5"/>
    <x v="5"/>
    <x v="0"/>
    <x v="15"/>
    <x v="1"/>
    <x v="13"/>
    <x v="8"/>
    <x v="3"/>
    <x v="20"/>
    <x v="0"/>
  </r>
  <r>
    <x v="0"/>
    <x v="0"/>
    <x v="6"/>
    <x v="6"/>
    <x v="0"/>
    <x v="2"/>
    <x v="2"/>
    <x v="12"/>
    <x v="7"/>
    <x v="3"/>
    <x v="33"/>
    <x v="23"/>
  </r>
  <r>
    <x v="1"/>
    <x v="0"/>
    <x v="6"/>
    <x v="6"/>
    <x v="0"/>
    <x v="2"/>
    <x v="2"/>
    <x v="12"/>
    <x v="7"/>
    <x v="5"/>
    <x v="6"/>
    <x v="6"/>
  </r>
  <r>
    <x v="2"/>
    <x v="0"/>
    <x v="6"/>
    <x v="6"/>
    <x v="0"/>
    <x v="2"/>
    <x v="2"/>
    <x v="12"/>
    <x v="8"/>
    <x v="3"/>
    <x v="6"/>
    <x v="5"/>
  </r>
  <r>
    <x v="3"/>
    <x v="0"/>
    <x v="6"/>
    <x v="6"/>
    <x v="0"/>
    <x v="2"/>
    <x v="2"/>
    <x v="11"/>
    <x v="14"/>
    <x v="5"/>
    <x v="5"/>
    <x v="4"/>
  </r>
  <r>
    <x v="5"/>
    <x v="0"/>
    <x v="6"/>
    <x v="6"/>
    <x v="0"/>
    <x v="15"/>
    <x v="1"/>
    <x v="12"/>
    <x v="14"/>
    <x v="3"/>
    <x v="22"/>
    <x v="48"/>
  </r>
  <r>
    <x v="6"/>
    <x v="0"/>
    <x v="6"/>
    <x v="6"/>
    <x v="0"/>
    <x v="15"/>
    <x v="1"/>
    <x v="13"/>
    <x v="7"/>
    <x v="3"/>
    <x v="20"/>
    <x v="0"/>
  </r>
  <r>
    <x v="7"/>
    <x v="0"/>
    <x v="6"/>
    <x v="6"/>
    <x v="0"/>
    <x v="13"/>
    <x v="3"/>
    <x v="13"/>
    <x v="1"/>
    <x v="4"/>
    <x v="29"/>
    <x v="122"/>
  </r>
  <r>
    <x v="8"/>
    <x v="0"/>
    <x v="6"/>
    <x v="6"/>
    <x v="0"/>
    <x v="13"/>
    <x v="3"/>
    <x v="13"/>
    <x v="1"/>
    <x v="4"/>
    <x v="119"/>
    <x v="45"/>
  </r>
  <r>
    <x v="9"/>
    <x v="0"/>
    <x v="6"/>
    <x v="6"/>
    <x v="0"/>
    <x v="15"/>
    <x v="3"/>
    <x v="12"/>
    <x v="1"/>
    <x v="15"/>
    <x v="73"/>
    <x v="129"/>
  </r>
  <r>
    <x v="10"/>
    <x v="0"/>
    <x v="6"/>
    <x v="6"/>
    <x v="0"/>
    <x v="15"/>
    <x v="3"/>
    <x v="12"/>
    <x v="14"/>
    <x v="3"/>
    <x v="47"/>
    <x v="99"/>
  </r>
  <r>
    <x v="11"/>
    <x v="0"/>
    <x v="6"/>
    <x v="6"/>
    <x v="0"/>
    <x v="15"/>
    <x v="43"/>
    <x v="12"/>
    <x v="14"/>
    <x v="3"/>
    <x v="10"/>
    <x v="33"/>
  </r>
  <r>
    <x v="12"/>
    <x v="0"/>
    <x v="6"/>
    <x v="6"/>
    <x v="0"/>
    <x v="15"/>
    <x v="43"/>
    <x v="12"/>
    <x v="14"/>
    <x v="5"/>
    <x v="95"/>
    <x v="115"/>
  </r>
  <r>
    <x v="13"/>
    <x v="0"/>
    <x v="6"/>
    <x v="6"/>
    <x v="0"/>
    <x v="15"/>
    <x v="43"/>
    <x v="12"/>
    <x v="14"/>
    <x v="3"/>
    <x v="17"/>
    <x v="35"/>
  </r>
  <r>
    <x v="14"/>
    <x v="0"/>
    <x v="6"/>
    <x v="6"/>
    <x v="0"/>
    <x v="1"/>
    <x v="1"/>
    <x v="1"/>
    <x v="0"/>
    <x v="4"/>
    <x v="49"/>
    <x v="103"/>
  </r>
  <r>
    <x v="15"/>
    <x v="0"/>
    <x v="6"/>
    <x v="6"/>
    <x v="0"/>
    <x v="2"/>
    <x v="3"/>
    <x v="2"/>
    <x v="0"/>
    <x v="5"/>
    <x v="71"/>
    <x v="102"/>
  </r>
  <r>
    <x v="16"/>
    <x v="0"/>
    <x v="6"/>
    <x v="6"/>
    <x v="0"/>
    <x v="1"/>
    <x v="61"/>
    <x v="30"/>
    <x v="0"/>
    <x v="22"/>
    <x v="14"/>
    <x v="138"/>
  </r>
  <r>
    <x v="17"/>
    <x v="0"/>
    <x v="6"/>
    <x v="6"/>
    <x v="0"/>
    <x v="0"/>
    <x v="62"/>
    <x v="31"/>
    <x v="7"/>
    <x v="4"/>
    <x v="150"/>
    <x v="165"/>
  </r>
  <r>
    <x v="18"/>
    <x v="0"/>
    <x v="6"/>
    <x v="6"/>
    <x v="0"/>
    <x v="0"/>
    <x v="63"/>
    <x v="31"/>
    <x v="5"/>
    <x v="4"/>
    <x v="128"/>
    <x v="142"/>
  </r>
  <r>
    <x v="19"/>
    <x v="0"/>
    <x v="6"/>
    <x v="6"/>
    <x v="0"/>
    <x v="0"/>
    <x v="62"/>
    <x v="31"/>
    <x v="7"/>
    <x v="2"/>
    <x v="151"/>
    <x v="70"/>
  </r>
  <r>
    <x v="20"/>
    <x v="0"/>
    <x v="6"/>
    <x v="6"/>
    <x v="0"/>
    <x v="0"/>
    <x v="63"/>
    <x v="32"/>
    <x v="5"/>
    <x v="5"/>
    <x v="124"/>
    <x v="69"/>
  </r>
  <r>
    <x v="21"/>
    <x v="0"/>
    <x v="6"/>
    <x v="6"/>
    <x v="0"/>
    <x v="1"/>
    <x v="63"/>
    <x v="31"/>
    <x v="7"/>
    <x v="5"/>
    <x v="77"/>
    <x v="154"/>
  </r>
  <r>
    <x v="22"/>
    <x v="0"/>
    <x v="6"/>
    <x v="6"/>
    <x v="0"/>
    <x v="0"/>
    <x v="64"/>
    <x v="33"/>
    <x v="11"/>
    <x v="3"/>
    <x v="16"/>
    <x v="132"/>
  </r>
  <r>
    <x v="23"/>
    <x v="0"/>
    <x v="6"/>
    <x v="6"/>
    <x v="0"/>
    <x v="0"/>
    <x v="63"/>
    <x v="34"/>
    <x v="6"/>
    <x v="5"/>
    <x v="97"/>
    <x v="84"/>
  </r>
  <r>
    <x v="0"/>
    <x v="0"/>
    <x v="0"/>
    <x v="0"/>
    <x v="0"/>
    <x v="1"/>
    <x v="65"/>
    <x v="35"/>
    <x v="11"/>
    <x v="4"/>
    <x v="16"/>
    <x v="20"/>
  </r>
  <r>
    <x v="1"/>
    <x v="0"/>
    <x v="0"/>
    <x v="0"/>
    <x v="0"/>
    <x v="1"/>
    <x v="63"/>
    <x v="35"/>
    <x v="5"/>
    <x v="3"/>
    <x v="32"/>
    <x v="25"/>
  </r>
  <r>
    <x v="2"/>
    <x v="0"/>
    <x v="0"/>
    <x v="0"/>
    <x v="0"/>
    <x v="1"/>
    <x v="63"/>
    <x v="35"/>
    <x v="8"/>
    <x v="3"/>
    <x v="89"/>
    <x v="93"/>
  </r>
  <r>
    <x v="3"/>
    <x v="0"/>
    <x v="0"/>
    <x v="0"/>
    <x v="0"/>
    <x v="2"/>
    <x v="64"/>
    <x v="35"/>
    <x v="7"/>
    <x v="0"/>
    <x v="34"/>
    <x v="7"/>
  </r>
  <r>
    <x v="4"/>
    <x v="0"/>
    <x v="0"/>
    <x v="0"/>
    <x v="0"/>
    <x v="13"/>
    <x v="66"/>
    <x v="36"/>
    <x v="14"/>
    <x v="5"/>
    <x v="6"/>
    <x v="6"/>
  </r>
  <r>
    <x v="6"/>
    <x v="0"/>
    <x v="0"/>
    <x v="0"/>
    <x v="0"/>
    <x v="13"/>
    <x v="66"/>
    <x v="35"/>
    <x v="7"/>
    <x v="3"/>
    <x v="6"/>
    <x v="5"/>
  </r>
  <r>
    <x v="7"/>
    <x v="0"/>
    <x v="0"/>
    <x v="0"/>
    <x v="0"/>
    <x v="13"/>
    <x v="66"/>
    <x v="37"/>
    <x v="14"/>
    <x v="5"/>
    <x v="22"/>
    <x v="36"/>
  </r>
  <r>
    <x v="8"/>
    <x v="0"/>
    <x v="0"/>
    <x v="0"/>
    <x v="0"/>
    <x v="15"/>
    <x v="65"/>
    <x v="38"/>
    <x v="8"/>
    <x v="0"/>
    <x v="17"/>
    <x v="19"/>
  </r>
  <r>
    <x v="9"/>
    <x v="0"/>
    <x v="0"/>
    <x v="0"/>
    <x v="0"/>
    <x v="15"/>
    <x v="64"/>
    <x v="37"/>
    <x v="1"/>
    <x v="3"/>
    <x v="60"/>
    <x v="19"/>
  </r>
  <r>
    <x v="10"/>
    <x v="0"/>
    <x v="0"/>
    <x v="0"/>
    <x v="0"/>
    <x v="15"/>
    <x v="64"/>
    <x v="35"/>
    <x v="14"/>
    <x v="17"/>
    <x v="82"/>
    <x v="97"/>
  </r>
  <r>
    <x v="11"/>
    <x v="0"/>
    <x v="0"/>
    <x v="0"/>
    <x v="0"/>
    <x v="15"/>
    <x v="65"/>
    <x v="35"/>
    <x v="7"/>
    <x v="17"/>
    <x v="91"/>
    <x v="37"/>
  </r>
  <r>
    <x v="12"/>
    <x v="0"/>
    <x v="0"/>
    <x v="0"/>
    <x v="0"/>
    <x v="2"/>
    <x v="65"/>
    <x v="37"/>
    <x v="5"/>
    <x v="6"/>
    <x v="43"/>
    <x v="53"/>
  </r>
  <r>
    <x v="13"/>
    <x v="0"/>
    <x v="0"/>
    <x v="0"/>
    <x v="0"/>
    <x v="1"/>
    <x v="63"/>
    <x v="38"/>
    <x v="8"/>
    <x v="14"/>
    <x v="90"/>
    <x v="32"/>
  </r>
  <r>
    <x v="14"/>
    <x v="0"/>
    <x v="0"/>
    <x v="0"/>
    <x v="0"/>
    <x v="1"/>
    <x v="63"/>
    <x v="34"/>
    <x v="7"/>
    <x v="22"/>
    <x v="121"/>
    <x v="111"/>
  </r>
  <r>
    <x v="15"/>
    <x v="0"/>
    <x v="0"/>
    <x v="0"/>
    <x v="0"/>
    <x v="1"/>
    <x v="64"/>
    <x v="36"/>
    <x v="2"/>
    <x v="30"/>
    <x v="52"/>
    <x v="151"/>
  </r>
  <r>
    <x v="16"/>
    <x v="0"/>
    <x v="0"/>
    <x v="0"/>
    <x v="0"/>
    <x v="0"/>
    <x v="62"/>
    <x v="34"/>
    <x v="8"/>
    <x v="21"/>
    <x v="152"/>
    <x v="166"/>
  </r>
  <r>
    <x v="17"/>
    <x v="0"/>
    <x v="0"/>
    <x v="0"/>
    <x v="0"/>
    <x v="0"/>
    <x v="67"/>
    <x v="34"/>
    <x v="0"/>
    <x v="14"/>
    <x v="70"/>
    <x v="134"/>
  </r>
  <r>
    <x v="18"/>
    <x v="0"/>
    <x v="0"/>
    <x v="0"/>
    <x v="0"/>
    <x v="1"/>
    <x v="63"/>
    <x v="36"/>
    <x v="7"/>
    <x v="14"/>
    <x v="79"/>
    <x v="118"/>
  </r>
  <r>
    <x v="19"/>
    <x v="0"/>
    <x v="0"/>
    <x v="0"/>
    <x v="0"/>
    <x v="1"/>
    <x v="64"/>
    <x v="36"/>
    <x v="2"/>
    <x v="15"/>
    <x v="15"/>
    <x v="154"/>
  </r>
  <r>
    <x v="20"/>
    <x v="0"/>
    <x v="0"/>
    <x v="0"/>
    <x v="0"/>
    <x v="15"/>
    <x v="64"/>
    <x v="39"/>
    <x v="1"/>
    <x v="5"/>
    <x v="76"/>
    <x v="74"/>
  </r>
  <r>
    <x v="21"/>
    <x v="0"/>
    <x v="0"/>
    <x v="0"/>
    <x v="0"/>
    <x v="15"/>
    <x v="64"/>
    <x v="39"/>
    <x v="1"/>
    <x v="5"/>
    <x v="96"/>
    <x v="9"/>
  </r>
  <r>
    <x v="22"/>
    <x v="0"/>
    <x v="0"/>
    <x v="0"/>
    <x v="0"/>
    <x v="13"/>
    <x v="65"/>
    <x v="30"/>
    <x v="1"/>
    <x v="17"/>
    <x v="95"/>
    <x v="2"/>
  </r>
  <r>
    <x v="23"/>
    <x v="0"/>
    <x v="0"/>
    <x v="0"/>
    <x v="0"/>
    <x v="13"/>
    <x v="65"/>
    <x v="30"/>
    <x v="1"/>
    <x v="0"/>
    <x v="10"/>
    <x v="63"/>
  </r>
  <r>
    <x v="0"/>
    <x v="0"/>
    <x v="1"/>
    <x v="1"/>
    <x v="0"/>
    <x v="13"/>
    <x v="66"/>
    <x v="30"/>
    <x v="14"/>
    <x v="3"/>
    <x v="39"/>
    <x v="63"/>
  </r>
  <r>
    <x v="1"/>
    <x v="0"/>
    <x v="1"/>
    <x v="1"/>
    <x v="0"/>
    <x v="14"/>
    <x v="64"/>
    <x v="30"/>
    <x v="0"/>
    <x v="18"/>
    <x v="97"/>
    <x v="115"/>
  </r>
  <r>
    <x v="2"/>
    <x v="0"/>
    <x v="1"/>
    <x v="1"/>
    <x v="0"/>
    <x v="13"/>
    <x v="63"/>
    <x v="30"/>
    <x v="0"/>
    <x v="5"/>
    <x v="3"/>
    <x v="62"/>
  </r>
  <r>
    <x v="3"/>
    <x v="0"/>
    <x v="1"/>
    <x v="1"/>
    <x v="0"/>
    <x v="14"/>
    <x v="64"/>
    <x v="40"/>
    <x v="0"/>
    <x v="5"/>
    <x v="7"/>
    <x v="7"/>
  </r>
  <r>
    <x v="4"/>
    <x v="0"/>
    <x v="1"/>
    <x v="1"/>
    <x v="0"/>
    <x v="14"/>
    <x v="64"/>
    <x v="40"/>
    <x v="0"/>
    <x v="3"/>
    <x v="4"/>
    <x v="4"/>
  </r>
  <r>
    <x v="5"/>
    <x v="0"/>
    <x v="1"/>
    <x v="1"/>
    <x v="0"/>
    <x v="14"/>
    <x v="64"/>
    <x v="41"/>
    <x v="0"/>
    <x v="3"/>
    <x v="35"/>
    <x v="6"/>
  </r>
  <r>
    <x v="7"/>
    <x v="0"/>
    <x v="1"/>
    <x v="1"/>
    <x v="0"/>
    <x v="14"/>
    <x v="64"/>
    <x v="41"/>
    <x v="0"/>
    <x v="3"/>
    <x v="35"/>
    <x v="6"/>
  </r>
  <r>
    <x v="8"/>
    <x v="0"/>
    <x v="1"/>
    <x v="1"/>
    <x v="0"/>
    <x v="14"/>
    <x v="64"/>
    <x v="41"/>
    <x v="0"/>
    <x v="5"/>
    <x v="48"/>
    <x v="47"/>
  </r>
  <r>
    <x v="9"/>
    <x v="0"/>
    <x v="1"/>
    <x v="1"/>
    <x v="0"/>
    <x v="13"/>
    <x v="63"/>
    <x v="30"/>
    <x v="0"/>
    <x v="17"/>
    <x v="60"/>
    <x v="103"/>
  </r>
  <r>
    <x v="10"/>
    <x v="0"/>
    <x v="1"/>
    <x v="1"/>
    <x v="0"/>
    <x v="15"/>
    <x v="62"/>
    <x v="30"/>
    <x v="0"/>
    <x v="18"/>
    <x v="77"/>
    <x v="37"/>
  </r>
  <r>
    <x v="11"/>
    <x v="0"/>
    <x v="1"/>
    <x v="1"/>
    <x v="0"/>
    <x v="1"/>
    <x v="61"/>
    <x v="31"/>
    <x v="0"/>
    <x v="14"/>
    <x v="54"/>
    <x v="29"/>
  </r>
  <r>
    <x v="12"/>
    <x v="0"/>
    <x v="1"/>
    <x v="1"/>
    <x v="1"/>
    <x v="11"/>
    <x v="68"/>
    <x v="42"/>
    <x v="14"/>
    <x v="22"/>
    <x v="61"/>
    <x v="54"/>
  </r>
  <r>
    <x v="13"/>
    <x v="0"/>
    <x v="1"/>
    <x v="1"/>
    <x v="1"/>
    <x v="17"/>
    <x v="67"/>
    <x v="43"/>
    <x v="14"/>
    <x v="23"/>
    <x v="13"/>
    <x v="11"/>
  </r>
  <r>
    <x v="14"/>
    <x v="0"/>
    <x v="1"/>
    <x v="1"/>
    <x v="1"/>
    <x v="17"/>
    <x v="69"/>
    <x v="43"/>
    <x v="1"/>
    <x v="25"/>
    <x v="153"/>
    <x v="78"/>
  </r>
  <r>
    <x v="15"/>
    <x v="0"/>
    <x v="1"/>
    <x v="1"/>
    <x v="1"/>
    <x v="11"/>
    <x v="70"/>
    <x v="44"/>
    <x v="0"/>
    <x v="24"/>
    <x v="73"/>
    <x v="142"/>
  </r>
  <r>
    <x v="16"/>
    <x v="0"/>
    <x v="1"/>
    <x v="1"/>
    <x v="1"/>
    <x v="11"/>
    <x v="70"/>
    <x v="44"/>
    <x v="0"/>
    <x v="21"/>
    <x v="153"/>
    <x v="92"/>
  </r>
  <r>
    <x v="17"/>
    <x v="0"/>
    <x v="1"/>
    <x v="1"/>
    <x v="1"/>
    <x v="11"/>
    <x v="67"/>
    <x v="44"/>
    <x v="5"/>
    <x v="15"/>
    <x v="13"/>
    <x v="43"/>
  </r>
  <r>
    <x v="18"/>
    <x v="0"/>
    <x v="1"/>
    <x v="1"/>
    <x v="1"/>
    <x v="12"/>
    <x v="71"/>
    <x v="33"/>
    <x v="8"/>
    <x v="1"/>
    <x v="77"/>
    <x v="32"/>
  </r>
  <r>
    <x v="19"/>
    <x v="0"/>
    <x v="1"/>
    <x v="1"/>
    <x v="1"/>
    <x v="12"/>
    <x v="71"/>
    <x v="33"/>
    <x v="5"/>
    <x v="14"/>
    <x v="24"/>
    <x v="97"/>
  </r>
  <r>
    <x v="20"/>
    <x v="0"/>
    <x v="1"/>
    <x v="1"/>
    <x v="1"/>
    <x v="12"/>
    <x v="61"/>
    <x v="33"/>
    <x v="14"/>
    <x v="0"/>
    <x v="10"/>
    <x v="63"/>
  </r>
  <r>
    <x v="21"/>
    <x v="0"/>
    <x v="1"/>
    <x v="1"/>
    <x v="0"/>
    <x v="0"/>
    <x v="62"/>
    <x v="32"/>
    <x v="8"/>
    <x v="0"/>
    <x v="18"/>
    <x v="20"/>
  </r>
  <r>
    <x v="22"/>
    <x v="0"/>
    <x v="1"/>
    <x v="1"/>
    <x v="0"/>
    <x v="0"/>
    <x v="63"/>
    <x v="32"/>
    <x v="5"/>
    <x v="4"/>
    <x v="23"/>
    <x v="137"/>
  </r>
  <r>
    <x v="23"/>
    <x v="0"/>
    <x v="1"/>
    <x v="1"/>
    <x v="0"/>
    <x v="0"/>
    <x v="64"/>
    <x v="33"/>
    <x v="3"/>
    <x v="2"/>
    <x v="20"/>
    <x v="137"/>
  </r>
  <r>
    <x v="0"/>
    <x v="0"/>
    <x v="2"/>
    <x v="2"/>
    <x v="0"/>
    <x v="0"/>
    <x v="63"/>
    <x v="33"/>
    <x v="6"/>
    <x v="5"/>
    <x v="8"/>
    <x v="85"/>
  </r>
  <r>
    <x v="1"/>
    <x v="0"/>
    <x v="2"/>
    <x v="2"/>
    <x v="0"/>
    <x v="1"/>
    <x v="64"/>
    <x v="35"/>
    <x v="2"/>
    <x v="4"/>
    <x v="34"/>
    <x v="85"/>
  </r>
  <r>
    <x v="2"/>
    <x v="0"/>
    <x v="2"/>
    <x v="2"/>
    <x v="0"/>
    <x v="1"/>
    <x v="63"/>
    <x v="35"/>
    <x v="5"/>
    <x v="3"/>
    <x v="4"/>
    <x v="4"/>
  </r>
  <r>
    <x v="3"/>
    <x v="0"/>
    <x v="2"/>
    <x v="2"/>
    <x v="0"/>
    <x v="1"/>
    <x v="63"/>
    <x v="35"/>
    <x v="5"/>
    <x v="3"/>
    <x v="6"/>
    <x v="5"/>
  </r>
  <r>
    <x v="4"/>
    <x v="0"/>
    <x v="2"/>
    <x v="2"/>
    <x v="0"/>
    <x v="2"/>
    <x v="65"/>
    <x v="37"/>
    <x v="6"/>
    <x v="3"/>
    <x v="6"/>
    <x v="5"/>
  </r>
  <r>
    <x v="5"/>
    <x v="0"/>
    <x v="2"/>
    <x v="2"/>
    <x v="0"/>
    <x v="15"/>
    <x v="72"/>
    <x v="35"/>
    <x v="3"/>
    <x v="3"/>
    <x v="21"/>
    <x v="7"/>
  </r>
  <r>
    <x v="6"/>
    <x v="0"/>
    <x v="2"/>
    <x v="2"/>
    <x v="0"/>
    <x v="13"/>
    <x v="73"/>
    <x v="36"/>
    <x v="9"/>
    <x v="3"/>
    <x v="53"/>
    <x v="18"/>
  </r>
  <r>
    <x v="7"/>
    <x v="0"/>
    <x v="2"/>
    <x v="2"/>
    <x v="0"/>
    <x v="13"/>
    <x v="73"/>
    <x v="35"/>
    <x v="3"/>
    <x v="5"/>
    <x v="13"/>
    <x v="44"/>
  </r>
  <r>
    <x v="8"/>
    <x v="0"/>
    <x v="2"/>
    <x v="2"/>
    <x v="0"/>
    <x v="13"/>
    <x v="73"/>
    <x v="37"/>
    <x v="3"/>
    <x v="0"/>
    <x v="154"/>
    <x v="147"/>
  </r>
  <r>
    <x v="9"/>
    <x v="0"/>
    <x v="2"/>
    <x v="2"/>
    <x v="0"/>
    <x v="13"/>
    <x v="73"/>
    <x v="37"/>
    <x v="4"/>
    <x v="3"/>
    <x v="155"/>
    <x v="59"/>
  </r>
  <r>
    <x v="10"/>
    <x v="0"/>
    <x v="2"/>
    <x v="2"/>
    <x v="0"/>
    <x v="13"/>
    <x v="74"/>
    <x v="37"/>
    <x v="5"/>
    <x v="5"/>
    <x v="56"/>
    <x v="83"/>
  </r>
  <r>
    <x v="11"/>
    <x v="0"/>
    <x v="2"/>
    <x v="2"/>
    <x v="0"/>
    <x v="13"/>
    <x v="74"/>
    <x v="37"/>
    <x v="5"/>
    <x v="4"/>
    <x v="24"/>
    <x v="61"/>
  </r>
  <r>
    <x v="12"/>
    <x v="0"/>
    <x v="2"/>
    <x v="2"/>
    <x v="0"/>
    <x v="15"/>
    <x v="64"/>
    <x v="38"/>
    <x v="14"/>
    <x v="15"/>
    <x v="133"/>
    <x v="118"/>
  </r>
  <r>
    <x v="13"/>
    <x v="0"/>
    <x v="2"/>
    <x v="2"/>
    <x v="0"/>
    <x v="13"/>
    <x v="63"/>
    <x v="37"/>
    <x v="0"/>
    <x v="4"/>
    <x v="15"/>
    <x v="60"/>
  </r>
  <r>
    <x v="14"/>
    <x v="0"/>
    <x v="2"/>
    <x v="2"/>
    <x v="0"/>
    <x v="15"/>
    <x v="65"/>
    <x v="38"/>
    <x v="7"/>
    <x v="5"/>
    <x v="66"/>
    <x v="80"/>
  </r>
  <r>
    <x v="15"/>
    <x v="0"/>
    <x v="2"/>
    <x v="2"/>
    <x v="0"/>
    <x v="13"/>
    <x v="66"/>
    <x v="37"/>
    <x v="7"/>
    <x v="0"/>
    <x v="40"/>
    <x v="40"/>
  </r>
  <r>
    <x v="16"/>
    <x v="0"/>
    <x v="2"/>
    <x v="2"/>
    <x v="0"/>
    <x v="13"/>
    <x v="66"/>
    <x v="44"/>
    <x v="5"/>
    <x v="0"/>
    <x v="93"/>
    <x v="80"/>
  </r>
  <r>
    <x v="17"/>
    <x v="0"/>
    <x v="2"/>
    <x v="2"/>
    <x v="0"/>
    <x v="13"/>
    <x v="74"/>
    <x v="37"/>
    <x v="5"/>
    <x v="15"/>
    <x v="119"/>
    <x v="143"/>
  </r>
  <r>
    <x v="18"/>
    <x v="0"/>
    <x v="2"/>
    <x v="2"/>
    <x v="0"/>
    <x v="13"/>
    <x v="74"/>
    <x v="38"/>
    <x v="6"/>
    <x v="0"/>
    <x v="37"/>
    <x v="167"/>
  </r>
  <r>
    <x v="19"/>
    <x v="0"/>
    <x v="2"/>
    <x v="2"/>
    <x v="1"/>
    <x v="11"/>
    <x v="68"/>
    <x v="43"/>
    <x v="14"/>
    <x v="0"/>
    <x v="123"/>
    <x v="168"/>
  </r>
  <r>
    <x v="20"/>
    <x v="0"/>
    <x v="2"/>
    <x v="2"/>
    <x v="0"/>
    <x v="13"/>
    <x v="72"/>
    <x v="37"/>
    <x v="8"/>
    <x v="3"/>
    <x v="78"/>
    <x v="53"/>
  </r>
  <r>
    <x v="21"/>
    <x v="0"/>
    <x v="2"/>
    <x v="2"/>
    <x v="0"/>
    <x v="13"/>
    <x v="65"/>
    <x v="37"/>
    <x v="1"/>
    <x v="0"/>
    <x v="42"/>
    <x v="10"/>
  </r>
  <r>
    <x v="22"/>
    <x v="0"/>
    <x v="2"/>
    <x v="2"/>
    <x v="0"/>
    <x v="13"/>
    <x v="66"/>
    <x v="37"/>
    <x v="14"/>
    <x v="3"/>
    <x v="60"/>
    <x v="19"/>
  </r>
  <r>
    <x v="23"/>
    <x v="0"/>
    <x v="2"/>
    <x v="2"/>
    <x v="0"/>
    <x v="13"/>
    <x v="65"/>
    <x v="35"/>
    <x v="1"/>
    <x v="4"/>
    <x v="89"/>
    <x v="22"/>
  </r>
  <r>
    <x v="0"/>
    <x v="0"/>
    <x v="3"/>
    <x v="3"/>
    <x v="0"/>
    <x v="13"/>
    <x v="66"/>
    <x v="35"/>
    <x v="14"/>
    <x v="4"/>
    <x v="8"/>
    <x v="7"/>
  </r>
  <r>
    <x v="1"/>
    <x v="0"/>
    <x v="3"/>
    <x v="3"/>
    <x v="0"/>
    <x v="13"/>
    <x v="66"/>
    <x v="36"/>
    <x v="14"/>
    <x v="3"/>
    <x v="35"/>
    <x v="6"/>
  </r>
  <r>
    <x v="2"/>
    <x v="0"/>
    <x v="3"/>
    <x v="3"/>
    <x v="0"/>
    <x v="13"/>
    <x v="63"/>
    <x v="36"/>
    <x v="0"/>
    <x v="3"/>
    <x v="6"/>
    <x v="5"/>
  </r>
  <r>
    <x v="3"/>
    <x v="0"/>
    <x v="3"/>
    <x v="3"/>
    <x v="0"/>
    <x v="13"/>
    <x v="63"/>
    <x v="36"/>
    <x v="0"/>
    <x v="3"/>
    <x v="6"/>
    <x v="5"/>
  </r>
  <r>
    <x v="5"/>
    <x v="0"/>
    <x v="3"/>
    <x v="3"/>
    <x v="0"/>
    <x v="14"/>
    <x v="64"/>
    <x v="40"/>
    <x v="0"/>
    <x v="3"/>
    <x v="35"/>
    <x v="6"/>
  </r>
  <r>
    <x v="6"/>
    <x v="0"/>
    <x v="3"/>
    <x v="3"/>
    <x v="0"/>
    <x v="14"/>
    <x v="64"/>
    <x v="40"/>
    <x v="0"/>
    <x v="3"/>
    <x v="97"/>
    <x v="34"/>
  </r>
  <r>
    <x v="7"/>
    <x v="0"/>
    <x v="3"/>
    <x v="3"/>
    <x v="0"/>
    <x v="13"/>
    <x v="63"/>
    <x v="40"/>
    <x v="0"/>
    <x v="3"/>
    <x v="15"/>
    <x v="46"/>
  </r>
  <r>
    <x v="8"/>
    <x v="0"/>
    <x v="3"/>
    <x v="3"/>
    <x v="0"/>
    <x v="13"/>
    <x v="63"/>
    <x v="40"/>
    <x v="0"/>
    <x v="0"/>
    <x v="126"/>
    <x v="169"/>
  </r>
  <r>
    <x v="9"/>
    <x v="0"/>
    <x v="3"/>
    <x v="3"/>
    <x v="0"/>
    <x v="13"/>
    <x v="63"/>
    <x v="40"/>
    <x v="0"/>
    <x v="4"/>
    <x v="156"/>
    <x v="155"/>
  </r>
  <r>
    <x v="10"/>
    <x v="0"/>
    <x v="3"/>
    <x v="3"/>
    <x v="0"/>
    <x v="13"/>
    <x v="63"/>
    <x v="40"/>
    <x v="0"/>
    <x v="3"/>
    <x v="12"/>
    <x v="105"/>
  </r>
  <r>
    <x v="11"/>
    <x v="0"/>
    <x v="3"/>
    <x v="3"/>
    <x v="0"/>
    <x v="15"/>
    <x v="62"/>
    <x v="41"/>
    <x v="0"/>
    <x v="4"/>
    <x v="47"/>
    <x v="41"/>
  </r>
  <r>
    <x v="12"/>
    <x v="0"/>
    <x v="3"/>
    <x v="3"/>
    <x v="0"/>
    <x v="2"/>
    <x v="71"/>
    <x v="41"/>
    <x v="0"/>
    <x v="4"/>
    <x v="42"/>
    <x v="97"/>
  </r>
  <r>
    <x v="13"/>
    <x v="0"/>
    <x v="3"/>
    <x v="3"/>
    <x v="0"/>
    <x v="2"/>
    <x v="71"/>
    <x v="41"/>
    <x v="0"/>
    <x v="0"/>
    <x v="47"/>
    <x v="46"/>
  </r>
  <r>
    <x v="14"/>
    <x v="0"/>
    <x v="3"/>
    <x v="3"/>
    <x v="0"/>
    <x v="1"/>
    <x v="71"/>
    <x v="30"/>
    <x v="1"/>
    <x v="2"/>
    <x v="47"/>
    <x v="60"/>
  </r>
  <r>
    <x v="15"/>
    <x v="0"/>
    <x v="3"/>
    <x v="3"/>
    <x v="0"/>
    <x v="0"/>
    <x v="67"/>
    <x v="31"/>
    <x v="0"/>
    <x v="18"/>
    <x v="108"/>
    <x v="46"/>
  </r>
  <r>
    <x v="16"/>
    <x v="0"/>
    <x v="3"/>
    <x v="3"/>
    <x v="0"/>
    <x v="0"/>
    <x v="62"/>
    <x v="31"/>
    <x v="7"/>
    <x v="0"/>
    <x v="124"/>
    <x v="37"/>
  </r>
  <r>
    <x v="17"/>
    <x v="0"/>
    <x v="3"/>
    <x v="3"/>
    <x v="0"/>
    <x v="0"/>
    <x v="67"/>
    <x v="31"/>
    <x v="0"/>
    <x v="17"/>
    <x v="157"/>
    <x v="170"/>
  </r>
  <r>
    <x v="18"/>
    <x v="0"/>
    <x v="3"/>
    <x v="3"/>
    <x v="0"/>
    <x v="0"/>
    <x v="71"/>
    <x v="45"/>
    <x v="14"/>
    <x v="0"/>
    <x v="158"/>
    <x v="171"/>
  </r>
  <r>
    <x v="19"/>
    <x v="0"/>
    <x v="3"/>
    <x v="3"/>
    <x v="0"/>
    <x v="0"/>
    <x v="62"/>
    <x v="45"/>
    <x v="7"/>
    <x v="0"/>
    <x v="159"/>
    <x v="159"/>
  </r>
  <r>
    <x v="20"/>
    <x v="0"/>
    <x v="3"/>
    <x v="3"/>
    <x v="0"/>
    <x v="1"/>
    <x v="63"/>
    <x v="46"/>
    <x v="7"/>
    <x v="2"/>
    <x v="94"/>
    <x v="30"/>
  </r>
  <r>
    <x v="21"/>
    <x v="0"/>
    <x v="3"/>
    <x v="3"/>
    <x v="0"/>
    <x v="1"/>
    <x v="63"/>
    <x v="46"/>
    <x v="7"/>
    <x v="3"/>
    <x v="27"/>
    <x v="37"/>
  </r>
  <r>
    <x v="22"/>
    <x v="0"/>
    <x v="3"/>
    <x v="3"/>
    <x v="0"/>
    <x v="1"/>
    <x v="71"/>
    <x v="46"/>
    <x v="1"/>
    <x v="4"/>
    <x v="60"/>
    <x v="9"/>
  </r>
  <r>
    <x v="23"/>
    <x v="0"/>
    <x v="3"/>
    <x v="3"/>
    <x v="0"/>
    <x v="2"/>
    <x v="65"/>
    <x v="40"/>
    <x v="5"/>
    <x v="5"/>
    <x v="89"/>
    <x v="0"/>
  </r>
  <r>
    <x v="0"/>
    <x v="0"/>
    <x v="4"/>
    <x v="4"/>
    <x v="0"/>
    <x v="1"/>
    <x v="62"/>
    <x v="40"/>
    <x v="14"/>
    <x v="3"/>
    <x v="6"/>
    <x v="5"/>
  </r>
  <r>
    <x v="1"/>
    <x v="0"/>
    <x v="4"/>
    <x v="4"/>
    <x v="0"/>
    <x v="1"/>
    <x v="63"/>
    <x v="40"/>
    <x v="5"/>
    <x v="3"/>
    <x v="35"/>
    <x v="6"/>
  </r>
  <r>
    <x v="2"/>
    <x v="0"/>
    <x v="4"/>
    <x v="4"/>
    <x v="0"/>
    <x v="1"/>
    <x v="63"/>
    <x v="40"/>
    <x v="7"/>
    <x v="17"/>
    <x v="5"/>
    <x v="48"/>
  </r>
  <r>
    <x v="3"/>
    <x v="0"/>
    <x v="4"/>
    <x v="4"/>
    <x v="0"/>
    <x v="1"/>
    <x v="63"/>
    <x v="40"/>
    <x v="7"/>
    <x v="3"/>
    <x v="4"/>
    <x v="4"/>
  </r>
  <r>
    <x v="4"/>
    <x v="0"/>
    <x v="4"/>
    <x v="4"/>
    <x v="0"/>
    <x v="1"/>
    <x v="64"/>
    <x v="40"/>
    <x v="3"/>
    <x v="3"/>
    <x v="4"/>
    <x v="4"/>
  </r>
  <r>
    <x v="5"/>
    <x v="0"/>
    <x v="4"/>
    <x v="4"/>
    <x v="0"/>
    <x v="1"/>
    <x v="62"/>
    <x v="40"/>
    <x v="14"/>
    <x v="3"/>
    <x v="35"/>
    <x v="6"/>
  </r>
  <r>
    <x v="6"/>
    <x v="0"/>
    <x v="4"/>
    <x v="4"/>
    <x v="0"/>
    <x v="1"/>
    <x v="62"/>
    <x v="40"/>
    <x v="14"/>
    <x v="5"/>
    <x v="19"/>
    <x v="109"/>
  </r>
  <r>
    <x v="7"/>
    <x v="0"/>
    <x v="4"/>
    <x v="4"/>
    <x v="0"/>
    <x v="1"/>
    <x v="64"/>
    <x v="40"/>
    <x v="6"/>
    <x v="5"/>
    <x v="41"/>
    <x v="99"/>
  </r>
  <r>
    <x v="8"/>
    <x v="0"/>
    <x v="4"/>
    <x v="4"/>
    <x v="0"/>
    <x v="1"/>
    <x v="64"/>
    <x v="40"/>
    <x v="6"/>
    <x v="5"/>
    <x v="105"/>
    <x v="107"/>
  </r>
  <r>
    <x v="9"/>
    <x v="0"/>
    <x v="4"/>
    <x v="4"/>
    <x v="0"/>
    <x v="0"/>
    <x v="71"/>
    <x v="40"/>
    <x v="1"/>
    <x v="17"/>
    <x v="138"/>
    <x v="92"/>
  </r>
  <r>
    <x v="10"/>
    <x v="0"/>
    <x v="4"/>
    <x v="4"/>
    <x v="0"/>
    <x v="1"/>
    <x v="61"/>
    <x v="47"/>
    <x v="0"/>
    <x v="4"/>
    <x v="79"/>
    <x v="42"/>
  </r>
  <r>
    <x v="11"/>
    <x v="0"/>
    <x v="4"/>
    <x v="4"/>
    <x v="0"/>
    <x v="0"/>
    <x v="63"/>
    <x v="40"/>
    <x v="5"/>
    <x v="2"/>
    <x v="12"/>
    <x v="46"/>
  </r>
  <r>
    <x v="12"/>
    <x v="0"/>
    <x v="4"/>
    <x v="4"/>
    <x v="0"/>
    <x v="0"/>
    <x v="63"/>
    <x v="40"/>
    <x v="6"/>
    <x v="0"/>
    <x v="124"/>
    <x v="37"/>
  </r>
  <r>
    <x v="13"/>
    <x v="0"/>
    <x v="4"/>
    <x v="4"/>
    <x v="1"/>
    <x v="10"/>
    <x v="70"/>
    <x v="40"/>
    <x v="8"/>
    <x v="5"/>
    <x v="64"/>
    <x v="28"/>
  </r>
  <r>
    <x v="14"/>
    <x v="0"/>
    <x v="4"/>
    <x v="4"/>
    <x v="1"/>
    <x v="4"/>
    <x v="75"/>
    <x v="48"/>
    <x v="13"/>
    <x v="4"/>
    <x v="124"/>
    <x v="55"/>
  </r>
  <r>
    <x v="15"/>
    <x v="0"/>
    <x v="4"/>
    <x v="4"/>
    <x v="1"/>
    <x v="4"/>
    <x v="75"/>
    <x v="49"/>
    <x v="9"/>
    <x v="22"/>
    <x v="43"/>
    <x v="31"/>
  </r>
  <r>
    <x v="16"/>
    <x v="0"/>
    <x v="4"/>
    <x v="4"/>
    <x v="1"/>
    <x v="5"/>
    <x v="70"/>
    <x v="50"/>
    <x v="4"/>
    <x v="1"/>
    <x v="73"/>
    <x v="153"/>
  </r>
  <r>
    <x v="17"/>
    <x v="0"/>
    <x v="4"/>
    <x v="4"/>
    <x v="1"/>
    <x v="5"/>
    <x v="68"/>
    <x v="51"/>
    <x v="18"/>
    <x v="18"/>
    <x v="160"/>
    <x v="71"/>
  </r>
  <r>
    <x v="18"/>
    <x v="0"/>
    <x v="4"/>
    <x v="4"/>
    <x v="1"/>
    <x v="10"/>
    <x v="67"/>
    <x v="52"/>
    <x v="16"/>
    <x v="18"/>
    <x v="161"/>
    <x v="58"/>
  </r>
  <r>
    <x v="19"/>
    <x v="0"/>
    <x v="4"/>
    <x v="4"/>
    <x v="1"/>
    <x v="17"/>
    <x v="62"/>
    <x v="53"/>
    <x v="15"/>
    <x v="0"/>
    <x v="152"/>
    <x v="134"/>
  </r>
  <r>
    <x v="20"/>
    <x v="0"/>
    <x v="4"/>
    <x v="4"/>
    <x v="0"/>
    <x v="0"/>
    <x v="65"/>
    <x v="54"/>
    <x v="16"/>
    <x v="17"/>
    <x v="13"/>
    <x v="28"/>
  </r>
  <r>
    <x v="21"/>
    <x v="0"/>
    <x v="4"/>
    <x v="4"/>
    <x v="0"/>
    <x v="1"/>
    <x v="65"/>
    <x v="55"/>
    <x v="9"/>
    <x v="5"/>
    <x v="133"/>
    <x v="55"/>
  </r>
  <r>
    <x v="22"/>
    <x v="0"/>
    <x v="4"/>
    <x v="4"/>
    <x v="0"/>
    <x v="1"/>
    <x v="64"/>
    <x v="56"/>
    <x v="2"/>
    <x v="2"/>
    <x v="96"/>
    <x v="1"/>
  </r>
  <r>
    <x v="23"/>
    <x v="0"/>
    <x v="4"/>
    <x v="4"/>
    <x v="0"/>
    <x v="2"/>
    <x v="72"/>
    <x v="56"/>
    <x v="10"/>
    <x v="0"/>
    <x v="31"/>
    <x v="2"/>
  </r>
  <r>
    <x v="0"/>
    <x v="0"/>
    <x v="5"/>
    <x v="5"/>
    <x v="0"/>
    <x v="2"/>
    <x v="72"/>
    <x v="57"/>
    <x v="10"/>
    <x v="5"/>
    <x v="48"/>
    <x v="47"/>
  </r>
  <r>
    <x v="1"/>
    <x v="0"/>
    <x v="5"/>
    <x v="5"/>
    <x v="0"/>
    <x v="2"/>
    <x v="74"/>
    <x v="56"/>
    <x v="18"/>
    <x v="3"/>
    <x v="34"/>
    <x v="36"/>
  </r>
  <r>
    <x v="2"/>
    <x v="0"/>
    <x v="5"/>
    <x v="5"/>
    <x v="0"/>
    <x v="15"/>
    <x v="72"/>
    <x v="58"/>
    <x v="2"/>
    <x v="3"/>
    <x v="6"/>
    <x v="5"/>
  </r>
  <r>
    <x v="3"/>
    <x v="0"/>
    <x v="5"/>
    <x v="5"/>
    <x v="0"/>
    <x v="15"/>
    <x v="72"/>
    <x v="58"/>
    <x v="2"/>
    <x v="3"/>
    <x v="4"/>
    <x v="4"/>
  </r>
  <r>
    <x v="5"/>
    <x v="0"/>
    <x v="5"/>
    <x v="5"/>
    <x v="0"/>
    <x v="13"/>
    <x v="73"/>
    <x v="59"/>
    <x v="4"/>
    <x v="3"/>
    <x v="6"/>
    <x v="5"/>
  </r>
  <r>
    <x v="6"/>
    <x v="0"/>
    <x v="5"/>
    <x v="5"/>
    <x v="0"/>
    <x v="13"/>
    <x v="73"/>
    <x v="58"/>
    <x v="11"/>
    <x v="3"/>
    <x v="87"/>
    <x v="21"/>
  </r>
  <r>
    <x v="7"/>
    <x v="0"/>
    <x v="5"/>
    <x v="5"/>
    <x v="0"/>
    <x v="14"/>
    <x v="76"/>
    <x v="59"/>
    <x v="9"/>
    <x v="5"/>
    <x v="132"/>
    <x v="90"/>
  </r>
  <r>
    <x v="8"/>
    <x v="0"/>
    <x v="5"/>
    <x v="5"/>
    <x v="0"/>
    <x v="14"/>
    <x v="76"/>
    <x v="59"/>
    <x v="11"/>
    <x v="17"/>
    <x v="103"/>
    <x v="104"/>
  </r>
  <r>
    <x v="9"/>
    <x v="0"/>
    <x v="5"/>
    <x v="5"/>
    <x v="0"/>
    <x v="13"/>
    <x v="73"/>
    <x v="55"/>
    <x v="4"/>
    <x v="15"/>
    <x v="69"/>
    <x v="140"/>
  </r>
  <r>
    <x v="10"/>
    <x v="0"/>
    <x v="5"/>
    <x v="5"/>
    <x v="0"/>
    <x v="15"/>
    <x v="74"/>
    <x v="58"/>
    <x v="9"/>
    <x v="4"/>
    <x v="54"/>
    <x v="46"/>
  </r>
  <r>
    <x v="11"/>
    <x v="0"/>
    <x v="5"/>
    <x v="5"/>
    <x v="0"/>
    <x v="15"/>
    <x v="73"/>
    <x v="58"/>
    <x v="10"/>
    <x v="14"/>
    <x v="11"/>
    <x v="37"/>
  </r>
  <r>
    <x v="12"/>
    <x v="0"/>
    <x v="5"/>
    <x v="5"/>
    <x v="0"/>
    <x v="2"/>
    <x v="66"/>
    <x v="57"/>
    <x v="11"/>
    <x v="4"/>
    <x v="28"/>
    <x v="83"/>
  </r>
  <r>
    <x v="13"/>
    <x v="0"/>
    <x v="5"/>
    <x v="5"/>
    <x v="0"/>
    <x v="2"/>
    <x v="72"/>
    <x v="57"/>
    <x v="12"/>
    <x v="17"/>
    <x v="12"/>
    <x v="41"/>
  </r>
  <r>
    <x v="14"/>
    <x v="0"/>
    <x v="5"/>
    <x v="5"/>
    <x v="0"/>
    <x v="1"/>
    <x v="65"/>
    <x v="60"/>
    <x v="13"/>
    <x v="17"/>
    <x v="30"/>
    <x v="105"/>
  </r>
  <r>
    <x v="15"/>
    <x v="0"/>
    <x v="5"/>
    <x v="5"/>
    <x v="0"/>
    <x v="1"/>
    <x v="65"/>
    <x v="60"/>
    <x v="9"/>
    <x v="17"/>
    <x v="90"/>
    <x v="122"/>
  </r>
  <r>
    <x v="16"/>
    <x v="0"/>
    <x v="5"/>
    <x v="5"/>
    <x v="0"/>
    <x v="1"/>
    <x v="64"/>
    <x v="60"/>
    <x v="2"/>
    <x v="2"/>
    <x v="26"/>
    <x v="53"/>
  </r>
  <r>
    <x v="17"/>
    <x v="0"/>
    <x v="5"/>
    <x v="5"/>
    <x v="0"/>
    <x v="2"/>
    <x v="65"/>
    <x v="57"/>
    <x v="5"/>
    <x v="2"/>
    <x v="162"/>
    <x v="172"/>
  </r>
  <r>
    <x v="18"/>
    <x v="0"/>
    <x v="5"/>
    <x v="5"/>
    <x v="0"/>
    <x v="2"/>
    <x v="64"/>
    <x v="57"/>
    <x v="8"/>
    <x v="4"/>
    <x v="142"/>
    <x v="173"/>
  </r>
  <r>
    <x v="19"/>
    <x v="0"/>
    <x v="5"/>
    <x v="5"/>
    <x v="0"/>
    <x v="2"/>
    <x v="71"/>
    <x v="57"/>
    <x v="0"/>
    <x v="17"/>
    <x v="50"/>
    <x v="152"/>
  </r>
  <r>
    <x v="20"/>
    <x v="0"/>
    <x v="5"/>
    <x v="5"/>
    <x v="0"/>
    <x v="2"/>
    <x v="63"/>
    <x v="55"/>
    <x v="1"/>
    <x v="5"/>
    <x v="123"/>
    <x v="142"/>
  </r>
  <r>
    <x v="21"/>
    <x v="0"/>
    <x v="5"/>
    <x v="5"/>
    <x v="0"/>
    <x v="15"/>
    <x v="64"/>
    <x v="38"/>
    <x v="14"/>
    <x v="5"/>
    <x v="42"/>
    <x v="60"/>
  </r>
  <r>
    <x v="22"/>
    <x v="0"/>
    <x v="5"/>
    <x v="5"/>
    <x v="0"/>
    <x v="15"/>
    <x v="64"/>
    <x v="61"/>
    <x v="1"/>
    <x v="4"/>
    <x v="87"/>
    <x v="102"/>
  </r>
  <r>
    <x v="23"/>
    <x v="0"/>
    <x v="5"/>
    <x v="5"/>
    <x v="0"/>
    <x v="2"/>
    <x v="63"/>
    <x v="55"/>
    <x v="14"/>
    <x v="17"/>
    <x v="60"/>
    <x v="103"/>
  </r>
  <r>
    <x v="0"/>
    <x v="0"/>
    <x v="6"/>
    <x v="6"/>
    <x v="0"/>
    <x v="2"/>
    <x v="71"/>
    <x v="56"/>
    <x v="0"/>
    <x v="0"/>
    <x v="3"/>
    <x v="3"/>
  </r>
  <r>
    <x v="1"/>
    <x v="0"/>
    <x v="6"/>
    <x v="6"/>
    <x v="0"/>
    <x v="13"/>
    <x v="63"/>
    <x v="37"/>
    <x v="0"/>
    <x v="3"/>
    <x v="7"/>
    <x v="85"/>
  </r>
  <r>
    <x v="2"/>
    <x v="0"/>
    <x v="6"/>
    <x v="6"/>
    <x v="0"/>
    <x v="14"/>
    <x v="72"/>
    <x v="62"/>
    <x v="14"/>
    <x v="3"/>
    <x v="4"/>
    <x v="4"/>
  </r>
  <r>
    <x v="3"/>
    <x v="0"/>
    <x v="6"/>
    <x v="6"/>
    <x v="0"/>
    <x v="14"/>
    <x v="72"/>
    <x v="62"/>
    <x v="14"/>
    <x v="3"/>
    <x v="4"/>
    <x v="4"/>
  </r>
  <r>
    <x v="5"/>
    <x v="0"/>
    <x v="6"/>
    <x v="6"/>
    <x v="0"/>
    <x v="14"/>
    <x v="74"/>
    <x v="62"/>
    <x v="7"/>
    <x v="3"/>
    <x v="7"/>
    <x v="85"/>
  </r>
  <r>
    <x v="6"/>
    <x v="0"/>
    <x v="6"/>
    <x v="6"/>
    <x v="0"/>
    <x v="13"/>
    <x v="63"/>
    <x v="38"/>
    <x v="0"/>
    <x v="4"/>
    <x v="16"/>
    <x v="20"/>
  </r>
  <r>
    <x v="7"/>
    <x v="0"/>
    <x v="6"/>
    <x v="6"/>
    <x v="0"/>
    <x v="14"/>
    <x v="64"/>
    <x v="37"/>
    <x v="0"/>
    <x v="3"/>
    <x v="61"/>
    <x v="90"/>
  </r>
  <r>
    <x v="8"/>
    <x v="0"/>
    <x v="6"/>
    <x v="6"/>
    <x v="0"/>
    <x v="14"/>
    <x v="74"/>
    <x v="39"/>
    <x v="7"/>
    <x v="0"/>
    <x v="163"/>
    <x v="174"/>
  </r>
  <r>
    <x v="9"/>
    <x v="0"/>
    <x v="6"/>
    <x v="6"/>
    <x v="0"/>
    <x v="13"/>
    <x v="66"/>
    <x v="30"/>
    <x v="7"/>
    <x v="0"/>
    <x v="125"/>
    <x v="175"/>
  </r>
  <r>
    <x v="10"/>
    <x v="0"/>
    <x v="6"/>
    <x v="6"/>
    <x v="0"/>
    <x v="2"/>
    <x v="64"/>
    <x v="61"/>
    <x v="7"/>
    <x v="2"/>
    <x v="24"/>
    <x v="41"/>
  </r>
  <r>
    <x v="11"/>
    <x v="0"/>
    <x v="6"/>
    <x v="6"/>
    <x v="0"/>
    <x v="1"/>
    <x v="63"/>
    <x v="61"/>
    <x v="8"/>
    <x v="0"/>
    <x v="124"/>
    <x v="37"/>
  </r>
  <r>
    <x v="12"/>
    <x v="0"/>
    <x v="6"/>
    <x v="6"/>
    <x v="0"/>
    <x v="0"/>
    <x v="62"/>
    <x v="54"/>
    <x v="8"/>
    <x v="1"/>
    <x v="78"/>
    <x v="80"/>
  </r>
  <r>
    <x v="13"/>
    <x v="0"/>
    <x v="6"/>
    <x v="6"/>
    <x v="1"/>
    <x v="12"/>
    <x v="71"/>
    <x v="59"/>
    <x v="6"/>
    <x v="14"/>
    <x v="26"/>
    <x v="100"/>
  </r>
  <r>
    <x v="14"/>
    <x v="0"/>
    <x v="6"/>
    <x v="6"/>
    <x v="1"/>
    <x v="17"/>
    <x v="61"/>
    <x v="53"/>
    <x v="8"/>
    <x v="13"/>
    <x v="83"/>
    <x v="134"/>
  </r>
  <r>
    <x v="15"/>
    <x v="0"/>
    <x v="6"/>
    <x v="6"/>
    <x v="1"/>
    <x v="17"/>
    <x v="61"/>
    <x v="54"/>
    <x v="2"/>
    <x v="14"/>
    <x v="38"/>
    <x v="127"/>
  </r>
  <r>
    <x v="16"/>
    <x v="0"/>
    <x v="6"/>
    <x v="6"/>
    <x v="1"/>
    <x v="11"/>
    <x v="67"/>
    <x v="52"/>
    <x v="6"/>
    <x v="1"/>
    <x v="164"/>
    <x v="111"/>
  </r>
  <r>
    <x v="17"/>
    <x v="0"/>
    <x v="6"/>
    <x v="6"/>
    <x v="1"/>
    <x v="12"/>
    <x v="61"/>
    <x v="44"/>
    <x v="7"/>
    <x v="22"/>
    <x v="165"/>
    <x v="176"/>
  </r>
  <r>
    <x v="18"/>
    <x v="0"/>
    <x v="6"/>
    <x v="6"/>
    <x v="0"/>
    <x v="0"/>
    <x v="71"/>
    <x v="34"/>
    <x v="14"/>
    <x v="0"/>
    <x v="166"/>
    <x v="107"/>
  </r>
  <r>
    <x v="19"/>
    <x v="0"/>
    <x v="6"/>
    <x v="6"/>
    <x v="0"/>
    <x v="0"/>
    <x v="62"/>
    <x v="33"/>
    <x v="7"/>
    <x v="5"/>
    <x v="46"/>
    <x v="153"/>
  </r>
  <r>
    <x v="20"/>
    <x v="0"/>
    <x v="6"/>
    <x v="6"/>
    <x v="0"/>
    <x v="0"/>
    <x v="62"/>
    <x v="33"/>
    <x v="8"/>
    <x v="4"/>
    <x v="94"/>
    <x v="68"/>
  </r>
  <r>
    <x v="21"/>
    <x v="0"/>
    <x v="6"/>
    <x v="6"/>
    <x v="0"/>
    <x v="0"/>
    <x v="62"/>
    <x v="32"/>
    <x v="8"/>
    <x v="4"/>
    <x v="40"/>
    <x v="74"/>
  </r>
  <r>
    <x v="22"/>
    <x v="0"/>
    <x v="6"/>
    <x v="6"/>
    <x v="0"/>
    <x v="0"/>
    <x v="62"/>
    <x v="33"/>
    <x v="8"/>
    <x v="5"/>
    <x v="108"/>
    <x v="66"/>
  </r>
  <r>
    <x v="23"/>
    <x v="0"/>
    <x v="6"/>
    <x v="6"/>
    <x v="0"/>
    <x v="0"/>
    <x v="62"/>
    <x v="32"/>
    <x v="7"/>
    <x v="5"/>
    <x v="10"/>
    <x v="35"/>
  </r>
  <r>
    <x v="0"/>
    <x v="0"/>
    <x v="0"/>
    <x v="0"/>
    <x v="0"/>
    <x v="0"/>
    <x v="62"/>
    <x v="32"/>
    <x v="8"/>
    <x v="0"/>
    <x v="49"/>
    <x v="21"/>
  </r>
  <r>
    <x v="1"/>
    <x v="0"/>
    <x v="0"/>
    <x v="0"/>
    <x v="0"/>
    <x v="0"/>
    <x v="62"/>
    <x v="33"/>
    <x v="8"/>
    <x v="5"/>
    <x v="19"/>
    <x v="109"/>
  </r>
  <r>
    <x v="2"/>
    <x v="0"/>
    <x v="0"/>
    <x v="0"/>
    <x v="0"/>
    <x v="0"/>
    <x v="62"/>
    <x v="31"/>
    <x v="8"/>
    <x v="2"/>
    <x v="98"/>
    <x v="22"/>
  </r>
  <r>
    <x v="3"/>
    <x v="0"/>
    <x v="0"/>
    <x v="0"/>
    <x v="0"/>
    <x v="0"/>
    <x v="62"/>
    <x v="31"/>
    <x v="8"/>
    <x v="5"/>
    <x v="3"/>
    <x v="62"/>
  </r>
  <r>
    <x v="4"/>
    <x v="0"/>
    <x v="0"/>
    <x v="0"/>
    <x v="0"/>
    <x v="1"/>
    <x v="63"/>
    <x v="40"/>
    <x v="7"/>
    <x v="3"/>
    <x v="21"/>
    <x v="7"/>
  </r>
  <r>
    <x v="5"/>
    <x v="0"/>
    <x v="0"/>
    <x v="0"/>
    <x v="0"/>
    <x v="2"/>
    <x v="63"/>
    <x v="47"/>
    <x v="1"/>
    <x v="3"/>
    <x v="33"/>
    <x v="23"/>
  </r>
  <r>
    <x v="6"/>
    <x v="0"/>
    <x v="0"/>
    <x v="0"/>
    <x v="0"/>
    <x v="2"/>
    <x v="71"/>
    <x v="47"/>
    <x v="0"/>
    <x v="3"/>
    <x v="22"/>
    <x v="48"/>
  </r>
  <r>
    <x v="7"/>
    <x v="0"/>
    <x v="0"/>
    <x v="0"/>
    <x v="0"/>
    <x v="1"/>
    <x v="71"/>
    <x v="40"/>
    <x v="1"/>
    <x v="3"/>
    <x v="22"/>
    <x v="48"/>
  </r>
  <r>
    <x v="8"/>
    <x v="0"/>
    <x v="0"/>
    <x v="0"/>
    <x v="0"/>
    <x v="2"/>
    <x v="63"/>
    <x v="47"/>
    <x v="1"/>
    <x v="3"/>
    <x v="3"/>
    <x v="98"/>
  </r>
  <r>
    <x v="9"/>
    <x v="0"/>
    <x v="0"/>
    <x v="0"/>
    <x v="0"/>
    <x v="2"/>
    <x v="63"/>
    <x v="47"/>
    <x v="1"/>
    <x v="0"/>
    <x v="19"/>
    <x v="25"/>
  </r>
  <r>
    <x v="10"/>
    <x v="0"/>
    <x v="0"/>
    <x v="0"/>
    <x v="0"/>
    <x v="2"/>
    <x v="64"/>
    <x v="47"/>
    <x v="7"/>
    <x v="0"/>
    <x v="17"/>
    <x v="19"/>
  </r>
  <r>
    <x v="11"/>
    <x v="0"/>
    <x v="0"/>
    <x v="0"/>
    <x v="0"/>
    <x v="1"/>
    <x v="63"/>
    <x v="47"/>
    <x v="7"/>
    <x v="5"/>
    <x v="24"/>
    <x v="105"/>
  </r>
  <r>
    <x v="12"/>
    <x v="0"/>
    <x v="0"/>
    <x v="0"/>
    <x v="0"/>
    <x v="1"/>
    <x v="63"/>
    <x v="47"/>
    <x v="8"/>
    <x v="22"/>
    <x v="76"/>
    <x v="46"/>
  </r>
  <r>
    <x v="13"/>
    <x v="0"/>
    <x v="0"/>
    <x v="0"/>
    <x v="0"/>
    <x v="1"/>
    <x v="63"/>
    <x v="47"/>
    <x v="8"/>
    <x v="22"/>
    <x v="133"/>
    <x v="44"/>
  </r>
  <r>
    <x v="14"/>
    <x v="0"/>
    <x v="0"/>
    <x v="0"/>
    <x v="0"/>
    <x v="1"/>
    <x v="61"/>
    <x v="47"/>
    <x v="0"/>
    <x v="2"/>
    <x v="54"/>
    <x v="97"/>
  </r>
  <r>
    <x v="15"/>
    <x v="0"/>
    <x v="0"/>
    <x v="0"/>
    <x v="0"/>
    <x v="1"/>
    <x v="61"/>
    <x v="47"/>
    <x v="0"/>
    <x v="16"/>
    <x v="47"/>
    <x v="122"/>
  </r>
  <r>
    <x v="16"/>
    <x v="0"/>
    <x v="0"/>
    <x v="0"/>
    <x v="0"/>
    <x v="1"/>
    <x v="63"/>
    <x v="47"/>
    <x v="7"/>
    <x v="1"/>
    <x v="36"/>
    <x v="68"/>
  </r>
  <r>
    <x v="17"/>
    <x v="0"/>
    <x v="0"/>
    <x v="0"/>
    <x v="0"/>
    <x v="0"/>
    <x v="64"/>
    <x v="47"/>
    <x v="3"/>
    <x v="24"/>
    <x v="27"/>
    <x v="53"/>
  </r>
  <r>
    <x v="18"/>
    <x v="0"/>
    <x v="0"/>
    <x v="0"/>
    <x v="1"/>
    <x v="17"/>
    <x v="62"/>
    <x v="40"/>
    <x v="10"/>
    <x v="4"/>
    <x v="38"/>
    <x v="56"/>
  </r>
  <r>
    <x v="19"/>
    <x v="0"/>
    <x v="0"/>
    <x v="0"/>
    <x v="1"/>
    <x v="17"/>
    <x v="62"/>
    <x v="40"/>
    <x v="10"/>
    <x v="15"/>
    <x v="78"/>
    <x v="11"/>
  </r>
  <r>
    <x v="20"/>
    <x v="0"/>
    <x v="0"/>
    <x v="0"/>
    <x v="1"/>
    <x v="11"/>
    <x v="67"/>
    <x v="46"/>
    <x v="2"/>
    <x v="2"/>
    <x v="27"/>
    <x v="83"/>
  </r>
  <r>
    <x v="21"/>
    <x v="0"/>
    <x v="0"/>
    <x v="0"/>
    <x v="1"/>
    <x v="12"/>
    <x v="71"/>
    <x v="47"/>
    <x v="5"/>
    <x v="0"/>
    <x v="42"/>
    <x v="10"/>
  </r>
  <r>
    <x v="22"/>
    <x v="0"/>
    <x v="0"/>
    <x v="0"/>
    <x v="1"/>
    <x v="12"/>
    <x v="61"/>
    <x v="40"/>
    <x v="7"/>
    <x v="4"/>
    <x v="30"/>
    <x v="79"/>
  </r>
  <r>
    <x v="23"/>
    <x v="0"/>
    <x v="0"/>
    <x v="0"/>
    <x v="1"/>
    <x v="12"/>
    <x v="71"/>
    <x v="40"/>
    <x v="6"/>
    <x v="18"/>
    <x v="15"/>
    <x v="29"/>
  </r>
  <r>
    <x v="0"/>
    <x v="0"/>
    <x v="1"/>
    <x v="1"/>
    <x v="1"/>
    <x v="12"/>
    <x v="71"/>
    <x v="32"/>
    <x v="5"/>
    <x v="4"/>
    <x v="53"/>
    <x v="21"/>
  </r>
  <r>
    <x v="1"/>
    <x v="0"/>
    <x v="1"/>
    <x v="1"/>
    <x v="1"/>
    <x v="12"/>
    <x v="63"/>
    <x v="33"/>
    <x v="12"/>
    <x v="17"/>
    <x v="71"/>
    <x v="40"/>
  </r>
  <r>
    <x v="2"/>
    <x v="0"/>
    <x v="1"/>
    <x v="1"/>
    <x v="1"/>
    <x v="12"/>
    <x v="63"/>
    <x v="34"/>
    <x v="9"/>
    <x v="3"/>
    <x v="32"/>
    <x v="25"/>
  </r>
  <r>
    <x v="3"/>
    <x v="0"/>
    <x v="1"/>
    <x v="1"/>
    <x v="1"/>
    <x v="12"/>
    <x v="67"/>
    <x v="34"/>
    <x v="1"/>
    <x v="0"/>
    <x v="3"/>
    <x v="3"/>
  </r>
  <r>
    <x v="4"/>
    <x v="0"/>
    <x v="1"/>
    <x v="1"/>
    <x v="1"/>
    <x v="12"/>
    <x v="63"/>
    <x v="34"/>
    <x v="11"/>
    <x v="3"/>
    <x v="6"/>
    <x v="5"/>
  </r>
  <r>
    <x v="5"/>
    <x v="0"/>
    <x v="1"/>
    <x v="1"/>
    <x v="1"/>
    <x v="12"/>
    <x v="71"/>
    <x v="34"/>
    <x v="6"/>
    <x v="3"/>
    <x v="4"/>
    <x v="4"/>
  </r>
  <r>
    <x v="6"/>
    <x v="0"/>
    <x v="1"/>
    <x v="1"/>
    <x v="1"/>
    <x v="12"/>
    <x v="71"/>
    <x v="34"/>
    <x v="6"/>
    <x v="3"/>
    <x v="4"/>
    <x v="4"/>
  </r>
  <r>
    <x v="7"/>
    <x v="0"/>
    <x v="1"/>
    <x v="1"/>
    <x v="0"/>
    <x v="0"/>
    <x v="62"/>
    <x v="33"/>
    <x v="8"/>
    <x v="3"/>
    <x v="21"/>
    <x v="7"/>
  </r>
  <r>
    <x v="8"/>
    <x v="0"/>
    <x v="1"/>
    <x v="1"/>
    <x v="0"/>
    <x v="0"/>
    <x v="71"/>
    <x v="33"/>
    <x v="14"/>
    <x v="4"/>
    <x v="144"/>
    <x v="84"/>
  </r>
  <r>
    <x v="9"/>
    <x v="0"/>
    <x v="1"/>
    <x v="1"/>
    <x v="1"/>
    <x v="17"/>
    <x v="67"/>
    <x v="44"/>
    <x v="14"/>
    <x v="18"/>
    <x v="101"/>
    <x v="79"/>
  </r>
  <r>
    <x v="10"/>
    <x v="0"/>
    <x v="1"/>
    <x v="1"/>
    <x v="1"/>
    <x v="11"/>
    <x v="67"/>
    <x v="42"/>
    <x v="2"/>
    <x v="13"/>
    <x v="64"/>
    <x v="70"/>
  </r>
  <r>
    <x v="11"/>
    <x v="0"/>
    <x v="1"/>
    <x v="1"/>
    <x v="1"/>
    <x v="3"/>
    <x v="69"/>
    <x v="63"/>
    <x v="2"/>
    <x v="32"/>
    <x v="121"/>
    <x v="126"/>
  </r>
  <r>
    <x v="12"/>
    <x v="0"/>
    <x v="1"/>
    <x v="1"/>
    <x v="1"/>
    <x v="10"/>
    <x v="70"/>
    <x v="64"/>
    <x v="0"/>
    <x v="33"/>
    <x v="167"/>
    <x v="177"/>
  </r>
  <r>
    <x v="13"/>
    <x v="0"/>
    <x v="1"/>
    <x v="1"/>
    <x v="1"/>
    <x v="10"/>
    <x v="77"/>
    <x v="64"/>
    <x v="0"/>
    <x v="9"/>
    <x v="113"/>
    <x v="58"/>
  </r>
  <r>
    <x v="14"/>
    <x v="0"/>
    <x v="1"/>
    <x v="1"/>
    <x v="1"/>
    <x v="10"/>
    <x v="78"/>
    <x v="64"/>
    <x v="1"/>
    <x v="9"/>
    <x v="156"/>
    <x v="143"/>
  </r>
  <r>
    <x v="15"/>
    <x v="0"/>
    <x v="1"/>
    <x v="1"/>
    <x v="1"/>
    <x v="10"/>
    <x v="78"/>
    <x v="64"/>
    <x v="1"/>
    <x v="34"/>
    <x v="110"/>
    <x v="58"/>
  </r>
  <r>
    <x v="16"/>
    <x v="0"/>
    <x v="1"/>
    <x v="1"/>
    <x v="1"/>
    <x v="10"/>
    <x v="78"/>
    <x v="63"/>
    <x v="14"/>
    <x v="35"/>
    <x v="168"/>
    <x v="45"/>
  </r>
  <r>
    <x v="17"/>
    <x v="0"/>
    <x v="1"/>
    <x v="1"/>
    <x v="1"/>
    <x v="10"/>
    <x v="77"/>
    <x v="64"/>
    <x v="0"/>
    <x v="31"/>
    <x v="106"/>
    <x v="178"/>
  </r>
  <r>
    <x v="18"/>
    <x v="0"/>
    <x v="1"/>
    <x v="1"/>
    <x v="1"/>
    <x v="11"/>
    <x v="69"/>
    <x v="44"/>
    <x v="8"/>
    <x v="23"/>
    <x v="65"/>
    <x v="53"/>
  </r>
  <r>
    <x v="19"/>
    <x v="0"/>
    <x v="1"/>
    <x v="1"/>
    <x v="1"/>
    <x v="17"/>
    <x v="67"/>
    <x v="43"/>
    <x v="7"/>
    <x v="5"/>
    <x v="32"/>
    <x v="137"/>
  </r>
  <r>
    <x v="20"/>
    <x v="0"/>
    <x v="1"/>
    <x v="1"/>
    <x v="1"/>
    <x v="17"/>
    <x v="67"/>
    <x v="43"/>
    <x v="14"/>
    <x v="2"/>
    <x v="144"/>
    <x v="132"/>
  </r>
  <r>
    <x v="21"/>
    <x v="0"/>
    <x v="1"/>
    <x v="1"/>
    <x v="1"/>
    <x v="12"/>
    <x v="69"/>
    <x v="34"/>
    <x v="0"/>
    <x v="2"/>
    <x v="97"/>
    <x v="110"/>
  </r>
  <r>
    <x v="22"/>
    <x v="0"/>
    <x v="1"/>
    <x v="1"/>
    <x v="1"/>
    <x v="12"/>
    <x v="69"/>
    <x v="34"/>
    <x v="0"/>
    <x v="2"/>
    <x v="77"/>
    <x v="69"/>
  </r>
  <r>
    <x v="23"/>
    <x v="0"/>
    <x v="1"/>
    <x v="1"/>
    <x v="0"/>
    <x v="0"/>
    <x v="67"/>
    <x v="33"/>
    <x v="0"/>
    <x v="17"/>
    <x v="16"/>
    <x v="33"/>
  </r>
  <r>
    <x v="0"/>
    <x v="0"/>
    <x v="2"/>
    <x v="2"/>
    <x v="0"/>
    <x v="0"/>
    <x v="67"/>
    <x v="33"/>
    <x v="0"/>
    <x v="5"/>
    <x v="88"/>
    <x v="93"/>
  </r>
  <r>
    <x v="1"/>
    <x v="0"/>
    <x v="2"/>
    <x v="2"/>
    <x v="0"/>
    <x v="1"/>
    <x v="61"/>
    <x v="31"/>
    <x v="0"/>
    <x v="5"/>
    <x v="22"/>
    <x v="36"/>
  </r>
  <r>
    <x v="2"/>
    <x v="0"/>
    <x v="2"/>
    <x v="2"/>
    <x v="0"/>
    <x v="2"/>
    <x v="71"/>
    <x v="30"/>
    <x v="0"/>
    <x v="3"/>
    <x v="35"/>
    <x v="6"/>
  </r>
  <r>
    <x v="3"/>
    <x v="0"/>
    <x v="2"/>
    <x v="2"/>
    <x v="0"/>
    <x v="2"/>
    <x v="71"/>
    <x v="41"/>
    <x v="0"/>
    <x v="3"/>
    <x v="4"/>
    <x v="4"/>
  </r>
  <r>
    <x v="4"/>
    <x v="0"/>
    <x v="2"/>
    <x v="2"/>
    <x v="0"/>
    <x v="2"/>
    <x v="71"/>
    <x v="41"/>
    <x v="0"/>
    <x v="5"/>
    <x v="4"/>
    <x v="5"/>
  </r>
  <r>
    <x v="5"/>
    <x v="0"/>
    <x v="2"/>
    <x v="2"/>
    <x v="0"/>
    <x v="2"/>
    <x v="71"/>
    <x v="41"/>
    <x v="0"/>
    <x v="5"/>
    <x v="33"/>
    <x v="98"/>
  </r>
  <r>
    <x v="6"/>
    <x v="0"/>
    <x v="2"/>
    <x v="2"/>
    <x v="0"/>
    <x v="15"/>
    <x v="62"/>
    <x v="40"/>
    <x v="0"/>
    <x v="5"/>
    <x v="31"/>
    <x v="33"/>
  </r>
  <r>
    <x v="7"/>
    <x v="0"/>
    <x v="2"/>
    <x v="2"/>
    <x v="0"/>
    <x v="15"/>
    <x v="62"/>
    <x v="41"/>
    <x v="0"/>
    <x v="15"/>
    <x v="121"/>
    <x v="76"/>
  </r>
  <r>
    <x v="8"/>
    <x v="0"/>
    <x v="2"/>
    <x v="2"/>
    <x v="0"/>
    <x v="13"/>
    <x v="63"/>
    <x v="47"/>
    <x v="0"/>
    <x v="18"/>
    <x v="169"/>
    <x v="179"/>
  </r>
  <r>
    <x v="9"/>
    <x v="0"/>
    <x v="2"/>
    <x v="2"/>
    <x v="0"/>
    <x v="1"/>
    <x v="61"/>
    <x v="30"/>
    <x v="0"/>
    <x v="0"/>
    <x v="168"/>
    <x v="130"/>
  </r>
  <r>
    <x v="10"/>
    <x v="0"/>
    <x v="2"/>
    <x v="2"/>
    <x v="0"/>
    <x v="0"/>
    <x v="71"/>
    <x v="31"/>
    <x v="14"/>
    <x v="15"/>
    <x v="47"/>
    <x v="97"/>
  </r>
  <r>
    <x v="11"/>
    <x v="0"/>
    <x v="2"/>
    <x v="2"/>
    <x v="1"/>
    <x v="11"/>
    <x v="68"/>
    <x v="33"/>
    <x v="1"/>
    <x v="16"/>
    <x v="49"/>
    <x v="105"/>
  </r>
  <r>
    <x v="12"/>
    <x v="0"/>
    <x v="2"/>
    <x v="2"/>
    <x v="1"/>
    <x v="3"/>
    <x v="78"/>
    <x v="65"/>
    <x v="0"/>
    <x v="18"/>
    <x v="79"/>
    <x v="180"/>
  </r>
  <r>
    <x v="13"/>
    <x v="0"/>
    <x v="2"/>
    <x v="2"/>
    <x v="1"/>
    <x v="5"/>
    <x v="77"/>
    <x v="66"/>
    <x v="1"/>
    <x v="22"/>
    <x v="25"/>
    <x v="37"/>
  </r>
  <r>
    <x v="14"/>
    <x v="0"/>
    <x v="2"/>
    <x v="2"/>
    <x v="1"/>
    <x v="5"/>
    <x v="77"/>
    <x v="66"/>
    <x v="1"/>
    <x v="1"/>
    <x v="15"/>
    <x v="122"/>
  </r>
  <r>
    <x v="15"/>
    <x v="0"/>
    <x v="2"/>
    <x v="2"/>
    <x v="1"/>
    <x v="4"/>
    <x v="75"/>
    <x v="67"/>
    <x v="1"/>
    <x v="17"/>
    <x v="24"/>
    <x v="89"/>
  </r>
  <r>
    <x v="16"/>
    <x v="0"/>
    <x v="2"/>
    <x v="2"/>
    <x v="1"/>
    <x v="5"/>
    <x v="78"/>
    <x v="66"/>
    <x v="7"/>
    <x v="19"/>
    <x v="52"/>
    <x v="181"/>
  </r>
  <r>
    <x v="17"/>
    <x v="0"/>
    <x v="2"/>
    <x v="2"/>
    <x v="1"/>
    <x v="3"/>
    <x v="68"/>
    <x v="32"/>
    <x v="8"/>
    <x v="14"/>
    <x v="134"/>
    <x v="182"/>
  </r>
  <r>
    <x v="18"/>
    <x v="0"/>
    <x v="2"/>
    <x v="2"/>
    <x v="1"/>
    <x v="10"/>
    <x v="70"/>
    <x v="68"/>
    <x v="7"/>
    <x v="2"/>
    <x v="162"/>
    <x v="172"/>
  </r>
  <r>
    <x v="19"/>
    <x v="0"/>
    <x v="2"/>
    <x v="2"/>
    <x v="1"/>
    <x v="3"/>
    <x v="78"/>
    <x v="32"/>
    <x v="0"/>
    <x v="2"/>
    <x v="170"/>
    <x v="116"/>
  </r>
  <r>
    <x v="20"/>
    <x v="0"/>
    <x v="2"/>
    <x v="2"/>
    <x v="1"/>
    <x v="3"/>
    <x v="70"/>
    <x v="32"/>
    <x v="14"/>
    <x v="15"/>
    <x v="70"/>
    <x v="39"/>
  </r>
  <r>
    <x v="21"/>
    <x v="0"/>
    <x v="2"/>
    <x v="2"/>
    <x v="1"/>
    <x v="3"/>
    <x v="78"/>
    <x v="32"/>
    <x v="0"/>
    <x v="0"/>
    <x v="102"/>
    <x v="53"/>
  </r>
  <r>
    <x v="22"/>
    <x v="0"/>
    <x v="2"/>
    <x v="2"/>
    <x v="1"/>
    <x v="17"/>
    <x v="69"/>
    <x v="45"/>
    <x v="1"/>
    <x v="0"/>
    <x v="60"/>
    <x v="18"/>
  </r>
  <r>
    <x v="23"/>
    <x v="0"/>
    <x v="2"/>
    <x v="2"/>
    <x v="1"/>
    <x v="11"/>
    <x v="70"/>
    <x v="45"/>
    <x v="0"/>
    <x v="15"/>
    <x v="23"/>
    <x v="94"/>
  </r>
  <r>
    <x v="0"/>
    <x v="0"/>
    <x v="3"/>
    <x v="3"/>
    <x v="1"/>
    <x v="17"/>
    <x v="68"/>
    <x v="46"/>
    <x v="0"/>
    <x v="17"/>
    <x v="8"/>
    <x v="98"/>
  </r>
  <r>
    <x v="1"/>
    <x v="0"/>
    <x v="3"/>
    <x v="3"/>
    <x v="1"/>
    <x v="17"/>
    <x v="68"/>
    <x v="46"/>
    <x v="0"/>
    <x v="3"/>
    <x v="22"/>
    <x v="48"/>
  </r>
  <r>
    <x v="2"/>
    <x v="0"/>
    <x v="3"/>
    <x v="3"/>
    <x v="1"/>
    <x v="12"/>
    <x v="61"/>
    <x v="40"/>
    <x v="14"/>
    <x v="5"/>
    <x v="4"/>
    <x v="5"/>
  </r>
  <r>
    <x v="3"/>
    <x v="0"/>
    <x v="3"/>
    <x v="3"/>
    <x v="1"/>
    <x v="17"/>
    <x v="61"/>
    <x v="40"/>
    <x v="8"/>
    <x v="3"/>
    <x v="4"/>
    <x v="4"/>
  </r>
  <r>
    <x v="4"/>
    <x v="0"/>
    <x v="3"/>
    <x v="3"/>
    <x v="1"/>
    <x v="12"/>
    <x v="71"/>
    <x v="40"/>
    <x v="8"/>
    <x v="3"/>
    <x v="35"/>
    <x v="6"/>
  </r>
  <r>
    <x v="5"/>
    <x v="0"/>
    <x v="3"/>
    <x v="3"/>
    <x v="1"/>
    <x v="12"/>
    <x v="63"/>
    <x v="45"/>
    <x v="9"/>
    <x v="3"/>
    <x v="6"/>
    <x v="5"/>
  </r>
  <r>
    <x v="6"/>
    <x v="0"/>
    <x v="3"/>
    <x v="3"/>
    <x v="1"/>
    <x v="12"/>
    <x v="63"/>
    <x v="32"/>
    <x v="9"/>
    <x v="3"/>
    <x v="87"/>
    <x v="21"/>
  </r>
  <r>
    <x v="7"/>
    <x v="0"/>
    <x v="3"/>
    <x v="3"/>
    <x v="0"/>
    <x v="0"/>
    <x v="65"/>
    <x v="33"/>
    <x v="12"/>
    <x v="0"/>
    <x v="106"/>
    <x v="50"/>
  </r>
  <r>
    <x v="8"/>
    <x v="0"/>
    <x v="3"/>
    <x v="3"/>
    <x v="0"/>
    <x v="0"/>
    <x v="65"/>
    <x v="44"/>
    <x v="15"/>
    <x v="18"/>
    <x v="171"/>
    <x v="183"/>
  </r>
  <r>
    <x v="9"/>
    <x v="0"/>
    <x v="3"/>
    <x v="3"/>
    <x v="0"/>
    <x v="0"/>
    <x v="65"/>
    <x v="42"/>
    <x v="15"/>
    <x v="18"/>
    <x v="172"/>
    <x v="169"/>
  </r>
  <r>
    <x v="10"/>
    <x v="0"/>
    <x v="3"/>
    <x v="3"/>
    <x v="0"/>
    <x v="1"/>
    <x v="66"/>
    <x v="55"/>
    <x v="16"/>
    <x v="17"/>
    <x v="100"/>
    <x v="61"/>
  </r>
  <r>
    <x v="11"/>
    <x v="0"/>
    <x v="3"/>
    <x v="3"/>
    <x v="0"/>
    <x v="1"/>
    <x v="66"/>
    <x v="55"/>
    <x v="17"/>
    <x v="5"/>
    <x v="47"/>
    <x v="89"/>
  </r>
  <r>
    <x v="12"/>
    <x v="0"/>
    <x v="3"/>
    <x v="3"/>
    <x v="0"/>
    <x v="0"/>
    <x v="65"/>
    <x v="69"/>
    <x v="15"/>
    <x v="4"/>
    <x v="36"/>
    <x v="32"/>
  </r>
  <r>
    <x v="13"/>
    <x v="0"/>
    <x v="3"/>
    <x v="3"/>
    <x v="0"/>
    <x v="0"/>
    <x v="65"/>
    <x v="70"/>
    <x v="10"/>
    <x v="4"/>
    <x v="41"/>
    <x v="89"/>
  </r>
  <r>
    <x v="14"/>
    <x v="0"/>
    <x v="3"/>
    <x v="3"/>
    <x v="0"/>
    <x v="1"/>
    <x v="65"/>
    <x v="60"/>
    <x v="12"/>
    <x v="0"/>
    <x v="124"/>
    <x v="37"/>
  </r>
  <r>
    <x v="15"/>
    <x v="0"/>
    <x v="3"/>
    <x v="3"/>
    <x v="0"/>
    <x v="1"/>
    <x v="65"/>
    <x v="71"/>
    <x v="13"/>
    <x v="15"/>
    <x v="108"/>
    <x v="41"/>
  </r>
  <r>
    <x v="16"/>
    <x v="0"/>
    <x v="3"/>
    <x v="3"/>
    <x v="0"/>
    <x v="1"/>
    <x v="66"/>
    <x v="71"/>
    <x v="18"/>
    <x v="17"/>
    <x v="55"/>
    <x v="56"/>
  </r>
  <r>
    <x v="17"/>
    <x v="0"/>
    <x v="3"/>
    <x v="3"/>
    <x v="0"/>
    <x v="1"/>
    <x v="66"/>
    <x v="70"/>
    <x v="19"/>
    <x v="17"/>
    <x v="157"/>
    <x v="170"/>
  </r>
  <r>
    <x v="18"/>
    <x v="0"/>
    <x v="3"/>
    <x v="3"/>
    <x v="0"/>
    <x v="2"/>
    <x v="66"/>
    <x v="70"/>
    <x v="13"/>
    <x v="5"/>
    <x v="137"/>
    <x v="148"/>
  </r>
  <r>
    <x v="19"/>
    <x v="0"/>
    <x v="3"/>
    <x v="3"/>
    <x v="0"/>
    <x v="13"/>
    <x v="76"/>
    <x v="57"/>
    <x v="17"/>
    <x v="5"/>
    <x v="129"/>
    <x v="129"/>
  </r>
  <r>
    <x v="20"/>
    <x v="0"/>
    <x v="3"/>
    <x v="3"/>
    <x v="0"/>
    <x v="13"/>
    <x v="73"/>
    <x v="57"/>
    <x v="9"/>
    <x v="0"/>
    <x v="42"/>
    <x v="10"/>
  </r>
  <r>
    <x v="21"/>
    <x v="0"/>
    <x v="3"/>
    <x v="3"/>
    <x v="0"/>
    <x v="14"/>
    <x v="79"/>
    <x v="72"/>
    <x v="17"/>
    <x v="1"/>
    <x v="24"/>
    <x v="60"/>
  </r>
  <r>
    <x v="22"/>
    <x v="0"/>
    <x v="3"/>
    <x v="3"/>
    <x v="0"/>
    <x v="16"/>
    <x v="79"/>
    <x v="72"/>
    <x v="11"/>
    <x v="3"/>
    <x v="31"/>
    <x v="115"/>
  </r>
  <r>
    <x v="23"/>
    <x v="0"/>
    <x v="3"/>
    <x v="3"/>
    <x v="0"/>
    <x v="16"/>
    <x v="79"/>
    <x v="72"/>
    <x v="9"/>
    <x v="0"/>
    <x v="33"/>
    <x v="47"/>
  </r>
  <r>
    <x v="0"/>
    <x v="0"/>
    <x v="4"/>
    <x v="4"/>
    <x v="0"/>
    <x v="18"/>
    <x v="80"/>
    <x v="73"/>
    <x v="11"/>
    <x v="3"/>
    <x v="19"/>
    <x v="22"/>
  </r>
  <r>
    <x v="1"/>
    <x v="0"/>
    <x v="4"/>
    <x v="4"/>
    <x v="0"/>
    <x v="18"/>
    <x v="79"/>
    <x v="73"/>
    <x v="6"/>
    <x v="3"/>
    <x v="7"/>
    <x v="85"/>
  </r>
  <r>
    <x v="2"/>
    <x v="0"/>
    <x v="4"/>
    <x v="4"/>
    <x v="0"/>
    <x v="19"/>
    <x v="80"/>
    <x v="69"/>
    <x v="3"/>
    <x v="5"/>
    <x v="6"/>
    <x v="6"/>
  </r>
  <r>
    <x v="3"/>
    <x v="0"/>
    <x v="4"/>
    <x v="4"/>
    <x v="0"/>
    <x v="20"/>
    <x v="80"/>
    <x v="53"/>
    <x v="7"/>
    <x v="3"/>
    <x v="6"/>
    <x v="5"/>
  </r>
  <r>
    <x v="5"/>
    <x v="0"/>
    <x v="4"/>
    <x v="4"/>
    <x v="0"/>
    <x v="20"/>
    <x v="79"/>
    <x v="53"/>
    <x v="14"/>
    <x v="3"/>
    <x v="7"/>
    <x v="85"/>
  </r>
  <r>
    <x v="6"/>
    <x v="0"/>
    <x v="4"/>
    <x v="4"/>
    <x v="0"/>
    <x v="20"/>
    <x v="74"/>
    <x v="53"/>
    <x v="0"/>
    <x v="3"/>
    <x v="30"/>
    <x v="74"/>
  </r>
  <r>
    <x v="7"/>
    <x v="0"/>
    <x v="4"/>
    <x v="4"/>
    <x v="0"/>
    <x v="20"/>
    <x v="79"/>
    <x v="63"/>
    <x v="14"/>
    <x v="17"/>
    <x v="73"/>
    <x v="111"/>
  </r>
  <r>
    <x v="8"/>
    <x v="0"/>
    <x v="4"/>
    <x v="4"/>
    <x v="0"/>
    <x v="18"/>
    <x v="73"/>
    <x v="52"/>
    <x v="0"/>
    <x v="5"/>
    <x v="173"/>
    <x v="184"/>
  </r>
  <r>
    <x v="9"/>
    <x v="0"/>
    <x v="4"/>
    <x v="4"/>
    <x v="0"/>
    <x v="16"/>
    <x v="73"/>
    <x v="74"/>
    <x v="8"/>
    <x v="17"/>
    <x v="138"/>
    <x v="92"/>
  </r>
  <r>
    <x v="10"/>
    <x v="0"/>
    <x v="4"/>
    <x v="4"/>
    <x v="0"/>
    <x v="14"/>
    <x v="66"/>
    <x v="73"/>
    <x v="0"/>
    <x v="1"/>
    <x v="82"/>
    <x v="29"/>
  </r>
  <r>
    <x v="11"/>
    <x v="0"/>
    <x v="4"/>
    <x v="4"/>
    <x v="0"/>
    <x v="14"/>
    <x v="74"/>
    <x v="58"/>
    <x v="8"/>
    <x v="5"/>
    <x v="71"/>
    <x v="102"/>
  </r>
  <r>
    <x v="12"/>
    <x v="0"/>
    <x v="4"/>
    <x v="4"/>
    <x v="0"/>
    <x v="15"/>
    <x v="66"/>
    <x v="57"/>
    <x v="6"/>
    <x v="17"/>
    <x v="77"/>
    <x v="42"/>
  </r>
  <r>
    <x v="13"/>
    <x v="0"/>
    <x v="4"/>
    <x v="4"/>
    <x v="0"/>
    <x v="15"/>
    <x v="72"/>
    <x v="57"/>
    <x v="2"/>
    <x v="4"/>
    <x v="28"/>
    <x v="83"/>
  </r>
  <r>
    <x v="14"/>
    <x v="0"/>
    <x v="4"/>
    <x v="4"/>
    <x v="0"/>
    <x v="2"/>
    <x v="66"/>
    <x v="75"/>
    <x v="4"/>
    <x v="4"/>
    <x v="90"/>
    <x v="154"/>
  </r>
  <r>
    <x v="15"/>
    <x v="0"/>
    <x v="4"/>
    <x v="4"/>
    <x v="0"/>
    <x v="2"/>
    <x v="66"/>
    <x v="75"/>
    <x v="3"/>
    <x v="0"/>
    <x v="124"/>
    <x v="37"/>
  </r>
  <r>
    <x v="16"/>
    <x v="0"/>
    <x v="4"/>
    <x v="4"/>
    <x v="0"/>
    <x v="2"/>
    <x v="65"/>
    <x v="60"/>
    <x v="2"/>
    <x v="18"/>
    <x v="109"/>
    <x v="67"/>
  </r>
  <r>
    <x v="17"/>
    <x v="0"/>
    <x v="4"/>
    <x v="4"/>
    <x v="0"/>
    <x v="2"/>
    <x v="65"/>
    <x v="75"/>
    <x v="2"/>
    <x v="14"/>
    <x v="174"/>
    <x v="150"/>
  </r>
  <r>
    <x v="18"/>
    <x v="0"/>
    <x v="4"/>
    <x v="4"/>
    <x v="0"/>
    <x v="15"/>
    <x v="72"/>
    <x v="55"/>
    <x v="4"/>
    <x v="4"/>
    <x v="175"/>
    <x v="185"/>
  </r>
  <r>
    <x v="19"/>
    <x v="0"/>
    <x v="4"/>
    <x v="4"/>
    <x v="0"/>
    <x v="14"/>
    <x v="76"/>
    <x v="41"/>
    <x v="2"/>
    <x v="5"/>
    <x v="61"/>
    <x v="39"/>
  </r>
  <r>
    <x v="20"/>
    <x v="0"/>
    <x v="4"/>
    <x v="4"/>
    <x v="0"/>
    <x v="14"/>
    <x v="74"/>
    <x v="41"/>
    <x v="8"/>
    <x v="3"/>
    <x v="151"/>
    <x v="11"/>
  </r>
  <r>
    <x v="21"/>
    <x v="0"/>
    <x v="4"/>
    <x v="4"/>
    <x v="0"/>
    <x v="14"/>
    <x v="74"/>
    <x v="41"/>
    <x v="8"/>
    <x v="3"/>
    <x v="93"/>
    <x v="56"/>
  </r>
  <r>
    <x v="22"/>
    <x v="0"/>
    <x v="4"/>
    <x v="4"/>
    <x v="0"/>
    <x v="13"/>
    <x v="72"/>
    <x v="30"/>
    <x v="8"/>
    <x v="17"/>
    <x v="76"/>
    <x v="66"/>
  </r>
  <r>
    <x v="23"/>
    <x v="0"/>
    <x v="4"/>
    <x v="4"/>
    <x v="0"/>
    <x v="13"/>
    <x v="74"/>
    <x v="30"/>
    <x v="5"/>
    <x v="3"/>
    <x v="53"/>
    <x v="18"/>
  </r>
  <r>
    <x v="0"/>
    <x v="0"/>
    <x v="5"/>
    <x v="5"/>
    <x v="0"/>
    <x v="14"/>
    <x v="73"/>
    <x v="41"/>
    <x v="5"/>
    <x v="3"/>
    <x v="20"/>
    <x v="0"/>
  </r>
  <r>
    <x v="1"/>
    <x v="0"/>
    <x v="5"/>
    <x v="5"/>
    <x v="0"/>
    <x v="14"/>
    <x v="74"/>
    <x v="30"/>
    <x v="7"/>
    <x v="3"/>
    <x v="7"/>
    <x v="85"/>
  </r>
  <r>
    <x v="2"/>
    <x v="0"/>
    <x v="5"/>
    <x v="5"/>
    <x v="0"/>
    <x v="14"/>
    <x v="74"/>
    <x v="30"/>
    <x v="7"/>
    <x v="3"/>
    <x v="35"/>
    <x v="6"/>
  </r>
  <r>
    <x v="4"/>
    <x v="0"/>
    <x v="5"/>
    <x v="5"/>
    <x v="0"/>
    <x v="14"/>
    <x v="73"/>
    <x v="37"/>
    <x v="6"/>
    <x v="3"/>
    <x v="4"/>
    <x v="4"/>
  </r>
  <r>
    <x v="5"/>
    <x v="0"/>
    <x v="5"/>
    <x v="5"/>
    <x v="0"/>
    <x v="16"/>
    <x v="76"/>
    <x v="59"/>
    <x v="6"/>
    <x v="3"/>
    <x v="8"/>
    <x v="24"/>
  </r>
  <r>
    <x v="6"/>
    <x v="0"/>
    <x v="5"/>
    <x v="5"/>
    <x v="0"/>
    <x v="16"/>
    <x v="76"/>
    <x v="67"/>
    <x v="3"/>
    <x v="3"/>
    <x v="16"/>
    <x v="132"/>
  </r>
  <r>
    <x v="7"/>
    <x v="0"/>
    <x v="5"/>
    <x v="5"/>
    <x v="0"/>
    <x v="18"/>
    <x v="80"/>
    <x v="59"/>
    <x v="12"/>
    <x v="3"/>
    <x v="176"/>
    <x v="111"/>
  </r>
  <r>
    <x v="8"/>
    <x v="0"/>
    <x v="5"/>
    <x v="5"/>
    <x v="0"/>
    <x v="18"/>
    <x v="80"/>
    <x v="63"/>
    <x v="9"/>
    <x v="2"/>
    <x v="177"/>
    <x v="106"/>
  </r>
  <r>
    <x v="9"/>
    <x v="0"/>
    <x v="5"/>
    <x v="5"/>
    <x v="0"/>
    <x v="16"/>
    <x v="79"/>
    <x v="52"/>
    <x v="11"/>
    <x v="5"/>
    <x v="178"/>
    <x v="78"/>
  </r>
  <r>
    <x v="10"/>
    <x v="0"/>
    <x v="5"/>
    <x v="5"/>
    <x v="0"/>
    <x v="16"/>
    <x v="79"/>
    <x v="52"/>
    <x v="4"/>
    <x v="5"/>
    <x v="60"/>
    <x v="17"/>
  </r>
  <r>
    <x v="11"/>
    <x v="0"/>
    <x v="5"/>
    <x v="5"/>
    <x v="0"/>
    <x v="14"/>
    <x v="76"/>
    <x v="74"/>
    <x v="11"/>
    <x v="5"/>
    <x v="100"/>
    <x v="79"/>
  </r>
  <r>
    <x v="12"/>
    <x v="0"/>
    <x v="5"/>
    <x v="5"/>
    <x v="0"/>
    <x v="13"/>
    <x v="73"/>
    <x v="75"/>
    <x v="13"/>
    <x v="17"/>
    <x v="65"/>
    <x v="83"/>
  </r>
  <r>
    <x v="13"/>
    <x v="0"/>
    <x v="5"/>
    <x v="5"/>
    <x v="0"/>
    <x v="15"/>
    <x v="72"/>
    <x v="76"/>
    <x v="4"/>
    <x v="0"/>
    <x v="79"/>
    <x v="69"/>
  </r>
  <r>
    <x v="14"/>
    <x v="0"/>
    <x v="5"/>
    <x v="5"/>
    <x v="0"/>
    <x v="2"/>
    <x v="66"/>
    <x v="77"/>
    <x v="3"/>
    <x v="15"/>
    <x v="76"/>
    <x v="61"/>
  </r>
  <r>
    <x v="15"/>
    <x v="0"/>
    <x v="5"/>
    <x v="5"/>
    <x v="0"/>
    <x v="2"/>
    <x v="65"/>
    <x v="78"/>
    <x v="2"/>
    <x v="3"/>
    <x v="54"/>
    <x v="89"/>
  </r>
  <r>
    <x v="16"/>
    <x v="0"/>
    <x v="5"/>
    <x v="5"/>
    <x v="0"/>
    <x v="2"/>
    <x v="66"/>
    <x v="77"/>
    <x v="4"/>
    <x v="17"/>
    <x v="83"/>
    <x v="138"/>
  </r>
  <r>
    <x v="17"/>
    <x v="0"/>
    <x v="5"/>
    <x v="5"/>
    <x v="0"/>
    <x v="15"/>
    <x v="66"/>
    <x v="79"/>
    <x v="5"/>
    <x v="15"/>
    <x v="136"/>
    <x v="186"/>
  </r>
  <r>
    <x v="18"/>
    <x v="0"/>
    <x v="5"/>
    <x v="5"/>
    <x v="0"/>
    <x v="13"/>
    <x v="66"/>
    <x v="80"/>
    <x v="7"/>
    <x v="0"/>
    <x v="174"/>
    <x v="187"/>
  </r>
  <r>
    <x v="19"/>
    <x v="0"/>
    <x v="5"/>
    <x v="5"/>
    <x v="0"/>
    <x v="14"/>
    <x v="72"/>
    <x v="80"/>
    <x v="14"/>
    <x v="4"/>
    <x v="59"/>
    <x v="59"/>
  </r>
  <r>
    <x v="20"/>
    <x v="0"/>
    <x v="5"/>
    <x v="5"/>
    <x v="0"/>
    <x v="14"/>
    <x v="66"/>
    <x v="81"/>
    <x v="1"/>
    <x v="17"/>
    <x v="139"/>
    <x v="54"/>
  </r>
  <r>
    <x v="21"/>
    <x v="0"/>
    <x v="5"/>
    <x v="5"/>
    <x v="0"/>
    <x v="14"/>
    <x v="64"/>
    <x v="74"/>
    <x v="0"/>
    <x v="4"/>
    <x v="14"/>
    <x v="44"/>
  </r>
  <r>
    <x v="22"/>
    <x v="0"/>
    <x v="5"/>
    <x v="5"/>
    <x v="0"/>
    <x v="16"/>
    <x v="65"/>
    <x v="74"/>
    <x v="0"/>
    <x v="17"/>
    <x v="12"/>
    <x v="41"/>
  </r>
  <r>
    <x v="23"/>
    <x v="0"/>
    <x v="5"/>
    <x v="5"/>
    <x v="0"/>
    <x v="16"/>
    <x v="74"/>
    <x v="52"/>
    <x v="14"/>
    <x v="5"/>
    <x v="39"/>
    <x v="19"/>
  </r>
  <r>
    <x v="0"/>
    <x v="0"/>
    <x v="6"/>
    <x v="6"/>
    <x v="0"/>
    <x v="18"/>
    <x v="73"/>
    <x v="63"/>
    <x v="14"/>
    <x v="4"/>
    <x v="98"/>
    <x v="8"/>
  </r>
  <r>
    <x v="1"/>
    <x v="0"/>
    <x v="6"/>
    <x v="6"/>
    <x v="0"/>
    <x v="18"/>
    <x v="73"/>
    <x v="67"/>
    <x v="1"/>
    <x v="5"/>
    <x v="8"/>
    <x v="85"/>
  </r>
  <r>
    <x v="2"/>
    <x v="0"/>
    <x v="6"/>
    <x v="6"/>
    <x v="0"/>
    <x v="18"/>
    <x v="73"/>
    <x v="67"/>
    <x v="1"/>
    <x v="3"/>
    <x v="35"/>
    <x v="6"/>
  </r>
  <r>
    <x v="5"/>
    <x v="0"/>
    <x v="6"/>
    <x v="6"/>
    <x v="0"/>
    <x v="19"/>
    <x v="76"/>
    <x v="62"/>
    <x v="1"/>
    <x v="3"/>
    <x v="22"/>
    <x v="48"/>
  </r>
  <r>
    <x v="6"/>
    <x v="0"/>
    <x v="6"/>
    <x v="6"/>
    <x v="0"/>
    <x v="18"/>
    <x v="66"/>
    <x v="82"/>
    <x v="0"/>
    <x v="5"/>
    <x v="140"/>
    <x v="108"/>
  </r>
  <r>
    <x v="7"/>
    <x v="0"/>
    <x v="6"/>
    <x v="6"/>
    <x v="0"/>
    <x v="19"/>
    <x v="72"/>
    <x v="83"/>
    <x v="0"/>
    <x v="5"/>
    <x v="26"/>
    <x v="30"/>
  </r>
  <r>
    <x v="8"/>
    <x v="0"/>
    <x v="6"/>
    <x v="6"/>
    <x v="0"/>
    <x v="18"/>
    <x v="76"/>
    <x v="39"/>
    <x v="8"/>
    <x v="17"/>
    <x v="179"/>
    <x v="182"/>
  </r>
  <r>
    <x v="9"/>
    <x v="0"/>
    <x v="6"/>
    <x v="6"/>
    <x v="0"/>
    <x v="16"/>
    <x v="76"/>
    <x v="39"/>
    <x v="6"/>
    <x v="1"/>
    <x v="126"/>
    <x v="188"/>
  </r>
  <r>
    <x v="10"/>
    <x v="0"/>
    <x v="6"/>
    <x v="6"/>
    <x v="0"/>
    <x v="14"/>
    <x v="73"/>
    <x v="36"/>
    <x v="5"/>
    <x v="2"/>
    <x v="87"/>
    <x v="40"/>
  </r>
  <r>
    <x v="11"/>
    <x v="0"/>
    <x v="6"/>
    <x v="6"/>
    <x v="0"/>
    <x v="1"/>
    <x v="63"/>
    <x v="55"/>
    <x v="7"/>
    <x v="6"/>
    <x v="15"/>
    <x v="37"/>
  </r>
  <r>
    <x v="12"/>
    <x v="0"/>
    <x v="6"/>
    <x v="6"/>
    <x v="0"/>
    <x v="1"/>
    <x v="63"/>
    <x v="55"/>
    <x v="7"/>
    <x v="18"/>
    <x v="27"/>
    <x v="68"/>
  </r>
  <r>
    <x v="13"/>
    <x v="0"/>
    <x v="6"/>
    <x v="6"/>
    <x v="0"/>
    <x v="0"/>
    <x v="63"/>
    <x v="71"/>
    <x v="5"/>
    <x v="27"/>
    <x v="121"/>
    <x v="14"/>
  </r>
  <r>
    <x v="14"/>
    <x v="0"/>
    <x v="6"/>
    <x v="6"/>
    <x v="1"/>
    <x v="11"/>
    <x v="67"/>
    <x v="79"/>
    <x v="2"/>
    <x v="26"/>
    <x v="28"/>
    <x v="11"/>
  </r>
  <r>
    <x v="15"/>
    <x v="0"/>
    <x v="6"/>
    <x v="6"/>
    <x v="1"/>
    <x v="3"/>
    <x v="68"/>
    <x v="84"/>
    <x v="8"/>
    <x v="6"/>
    <x v="133"/>
    <x v="30"/>
  </r>
  <r>
    <x v="16"/>
    <x v="0"/>
    <x v="6"/>
    <x v="6"/>
    <x v="1"/>
    <x v="11"/>
    <x v="67"/>
    <x v="80"/>
    <x v="5"/>
    <x v="24"/>
    <x v="180"/>
    <x v="139"/>
  </r>
  <r>
    <x v="17"/>
    <x v="0"/>
    <x v="6"/>
    <x v="6"/>
    <x v="1"/>
    <x v="11"/>
    <x v="70"/>
    <x v="85"/>
    <x v="0"/>
    <x v="25"/>
    <x v="181"/>
    <x v="189"/>
  </r>
  <r>
    <x v="18"/>
    <x v="0"/>
    <x v="6"/>
    <x v="6"/>
    <x v="1"/>
    <x v="17"/>
    <x v="68"/>
    <x v="80"/>
    <x v="0"/>
    <x v="14"/>
    <x v="158"/>
    <x v="177"/>
  </r>
  <r>
    <x v="19"/>
    <x v="0"/>
    <x v="6"/>
    <x v="6"/>
    <x v="1"/>
    <x v="12"/>
    <x v="69"/>
    <x v="72"/>
    <x v="0"/>
    <x v="18"/>
    <x v="111"/>
    <x v="129"/>
  </r>
  <r>
    <x v="20"/>
    <x v="0"/>
    <x v="6"/>
    <x v="6"/>
    <x v="0"/>
    <x v="1"/>
    <x v="63"/>
    <x v="38"/>
    <x v="7"/>
    <x v="4"/>
    <x v="124"/>
    <x v="55"/>
  </r>
  <r>
    <x v="21"/>
    <x v="0"/>
    <x v="6"/>
    <x v="6"/>
    <x v="0"/>
    <x v="2"/>
    <x v="64"/>
    <x v="37"/>
    <x v="7"/>
    <x v="5"/>
    <x v="24"/>
    <x v="105"/>
  </r>
  <r>
    <x v="22"/>
    <x v="0"/>
    <x v="6"/>
    <x v="6"/>
    <x v="0"/>
    <x v="2"/>
    <x v="63"/>
    <x v="35"/>
    <x v="1"/>
    <x v="4"/>
    <x v="40"/>
    <x v="74"/>
  </r>
  <r>
    <x v="23"/>
    <x v="0"/>
    <x v="6"/>
    <x v="6"/>
    <x v="0"/>
    <x v="15"/>
    <x v="62"/>
    <x v="36"/>
    <x v="0"/>
    <x v="2"/>
    <x v="41"/>
    <x v="26"/>
  </r>
  <r>
    <x v="0"/>
    <x v="0"/>
    <x v="0"/>
    <x v="0"/>
    <x v="0"/>
    <x v="13"/>
    <x v="65"/>
    <x v="36"/>
    <x v="1"/>
    <x v="0"/>
    <x v="2"/>
    <x v="33"/>
  </r>
  <r>
    <x v="1"/>
    <x v="0"/>
    <x v="0"/>
    <x v="0"/>
    <x v="0"/>
    <x v="14"/>
    <x v="64"/>
    <x v="41"/>
    <x v="0"/>
    <x v="4"/>
    <x v="97"/>
    <x v="108"/>
  </r>
  <r>
    <x v="2"/>
    <x v="0"/>
    <x v="0"/>
    <x v="0"/>
    <x v="0"/>
    <x v="14"/>
    <x v="64"/>
    <x v="30"/>
    <x v="0"/>
    <x v="4"/>
    <x v="0"/>
    <x v="93"/>
  </r>
  <r>
    <x v="3"/>
    <x v="0"/>
    <x v="0"/>
    <x v="0"/>
    <x v="0"/>
    <x v="16"/>
    <x v="65"/>
    <x v="30"/>
    <x v="0"/>
    <x v="0"/>
    <x v="7"/>
    <x v="98"/>
  </r>
  <r>
    <x v="4"/>
    <x v="0"/>
    <x v="0"/>
    <x v="0"/>
    <x v="0"/>
    <x v="16"/>
    <x v="72"/>
    <x v="39"/>
    <x v="1"/>
    <x v="3"/>
    <x v="22"/>
    <x v="48"/>
  </r>
  <r>
    <x v="5"/>
    <x v="0"/>
    <x v="0"/>
    <x v="0"/>
    <x v="0"/>
    <x v="16"/>
    <x v="72"/>
    <x v="39"/>
    <x v="1"/>
    <x v="3"/>
    <x v="4"/>
    <x v="4"/>
  </r>
  <r>
    <x v="6"/>
    <x v="0"/>
    <x v="0"/>
    <x v="0"/>
    <x v="0"/>
    <x v="16"/>
    <x v="73"/>
    <x v="40"/>
    <x v="5"/>
    <x v="5"/>
    <x v="4"/>
    <x v="5"/>
  </r>
  <r>
    <x v="7"/>
    <x v="0"/>
    <x v="0"/>
    <x v="0"/>
    <x v="0"/>
    <x v="16"/>
    <x v="74"/>
    <x v="30"/>
    <x v="14"/>
    <x v="4"/>
    <x v="33"/>
    <x v="62"/>
  </r>
  <r>
    <x v="8"/>
    <x v="0"/>
    <x v="0"/>
    <x v="0"/>
    <x v="0"/>
    <x v="14"/>
    <x v="74"/>
    <x v="41"/>
    <x v="7"/>
    <x v="4"/>
    <x v="95"/>
    <x v="33"/>
  </r>
  <r>
    <x v="9"/>
    <x v="0"/>
    <x v="0"/>
    <x v="0"/>
    <x v="0"/>
    <x v="13"/>
    <x v="66"/>
    <x v="35"/>
    <x v="7"/>
    <x v="2"/>
    <x v="101"/>
    <x v="74"/>
  </r>
  <r>
    <x v="10"/>
    <x v="0"/>
    <x v="0"/>
    <x v="0"/>
    <x v="0"/>
    <x v="1"/>
    <x v="64"/>
    <x v="86"/>
    <x v="2"/>
    <x v="23"/>
    <x v="13"/>
    <x v="11"/>
  </r>
  <r>
    <x v="11"/>
    <x v="0"/>
    <x v="0"/>
    <x v="0"/>
    <x v="1"/>
    <x v="11"/>
    <x v="61"/>
    <x v="80"/>
    <x v="9"/>
    <x v="36"/>
    <x v="151"/>
    <x v="181"/>
  </r>
  <r>
    <x v="12"/>
    <x v="0"/>
    <x v="0"/>
    <x v="0"/>
    <x v="1"/>
    <x v="11"/>
    <x v="61"/>
    <x v="74"/>
    <x v="17"/>
    <x v="37"/>
    <x v="139"/>
    <x v="151"/>
  </r>
  <r>
    <x v="13"/>
    <x v="0"/>
    <x v="0"/>
    <x v="0"/>
    <x v="1"/>
    <x v="11"/>
    <x v="61"/>
    <x v="74"/>
    <x v="12"/>
    <x v="38"/>
    <x v="145"/>
    <x v="169"/>
  </r>
  <r>
    <x v="14"/>
    <x v="0"/>
    <x v="0"/>
    <x v="0"/>
    <x v="1"/>
    <x v="10"/>
    <x v="68"/>
    <x v="81"/>
    <x v="3"/>
    <x v="36"/>
    <x v="92"/>
    <x v="151"/>
  </r>
  <r>
    <x v="15"/>
    <x v="0"/>
    <x v="0"/>
    <x v="0"/>
    <x v="1"/>
    <x v="10"/>
    <x v="69"/>
    <x v="76"/>
    <x v="12"/>
    <x v="9"/>
    <x v="69"/>
    <x v="177"/>
  </r>
  <r>
    <x v="16"/>
    <x v="0"/>
    <x v="0"/>
    <x v="0"/>
    <x v="1"/>
    <x v="10"/>
    <x v="69"/>
    <x v="76"/>
    <x v="12"/>
    <x v="35"/>
    <x v="145"/>
    <x v="190"/>
  </r>
  <r>
    <x v="17"/>
    <x v="0"/>
    <x v="0"/>
    <x v="0"/>
    <x v="1"/>
    <x v="3"/>
    <x v="67"/>
    <x v="81"/>
    <x v="18"/>
    <x v="31"/>
    <x v="182"/>
    <x v="120"/>
  </r>
  <r>
    <x v="18"/>
    <x v="0"/>
    <x v="0"/>
    <x v="0"/>
    <x v="1"/>
    <x v="17"/>
    <x v="71"/>
    <x v="69"/>
    <x v="9"/>
    <x v="17"/>
    <x v="91"/>
    <x v="37"/>
  </r>
  <r>
    <x v="19"/>
    <x v="0"/>
    <x v="0"/>
    <x v="0"/>
    <x v="1"/>
    <x v="17"/>
    <x v="61"/>
    <x v="69"/>
    <x v="8"/>
    <x v="4"/>
    <x v="87"/>
    <x v="102"/>
  </r>
  <r>
    <x v="20"/>
    <x v="0"/>
    <x v="0"/>
    <x v="0"/>
    <x v="1"/>
    <x v="12"/>
    <x v="71"/>
    <x v="86"/>
    <x v="6"/>
    <x v="5"/>
    <x v="87"/>
    <x v="1"/>
  </r>
  <r>
    <x v="21"/>
    <x v="0"/>
    <x v="0"/>
    <x v="0"/>
    <x v="1"/>
    <x v="12"/>
    <x v="69"/>
    <x v="86"/>
    <x v="0"/>
    <x v="14"/>
    <x v="76"/>
    <x v="41"/>
  </r>
  <r>
    <x v="22"/>
    <x v="0"/>
    <x v="0"/>
    <x v="0"/>
    <x v="0"/>
    <x v="0"/>
    <x v="71"/>
    <x v="56"/>
    <x v="1"/>
    <x v="15"/>
    <x v="87"/>
    <x v="79"/>
  </r>
  <r>
    <x v="23"/>
    <x v="0"/>
    <x v="0"/>
    <x v="0"/>
    <x v="0"/>
    <x v="1"/>
    <x v="63"/>
    <x v="61"/>
    <x v="7"/>
    <x v="5"/>
    <x v="17"/>
    <x v="2"/>
  </r>
  <r>
    <x v="0"/>
    <x v="0"/>
    <x v="1"/>
    <x v="1"/>
    <x v="0"/>
    <x v="2"/>
    <x v="63"/>
    <x v="35"/>
    <x v="14"/>
    <x v="2"/>
    <x v="60"/>
    <x v="21"/>
  </r>
  <r>
    <x v="1"/>
    <x v="0"/>
    <x v="1"/>
    <x v="1"/>
    <x v="0"/>
    <x v="2"/>
    <x v="63"/>
    <x v="37"/>
    <x v="1"/>
    <x v="5"/>
    <x v="140"/>
    <x v="108"/>
  </r>
  <r>
    <x v="2"/>
    <x v="0"/>
    <x v="1"/>
    <x v="1"/>
    <x v="0"/>
    <x v="2"/>
    <x v="63"/>
    <x v="31"/>
    <x v="1"/>
    <x v="5"/>
    <x v="23"/>
    <x v="25"/>
  </r>
  <r>
    <x v="3"/>
    <x v="0"/>
    <x v="1"/>
    <x v="1"/>
    <x v="0"/>
    <x v="2"/>
    <x v="63"/>
    <x v="36"/>
    <x v="14"/>
    <x v="17"/>
    <x v="21"/>
    <x v="47"/>
  </r>
  <r>
    <x v="4"/>
    <x v="0"/>
    <x v="1"/>
    <x v="1"/>
    <x v="0"/>
    <x v="2"/>
    <x v="64"/>
    <x v="36"/>
    <x v="8"/>
    <x v="3"/>
    <x v="6"/>
    <x v="5"/>
  </r>
  <r>
    <x v="6"/>
    <x v="0"/>
    <x v="1"/>
    <x v="1"/>
    <x v="0"/>
    <x v="2"/>
    <x v="64"/>
    <x v="36"/>
    <x v="7"/>
    <x v="4"/>
    <x v="35"/>
    <x v="36"/>
  </r>
  <r>
    <x v="7"/>
    <x v="0"/>
    <x v="1"/>
    <x v="1"/>
    <x v="0"/>
    <x v="1"/>
    <x v="61"/>
    <x v="38"/>
    <x v="0"/>
    <x v="3"/>
    <x v="35"/>
    <x v="6"/>
  </r>
  <r>
    <x v="8"/>
    <x v="0"/>
    <x v="1"/>
    <x v="1"/>
    <x v="0"/>
    <x v="1"/>
    <x v="63"/>
    <x v="35"/>
    <x v="5"/>
    <x v="5"/>
    <x v="48"/>
    <x v="47"/>
  </r>
  <r>
    <x v="9"/>
    <x v="0"/>
    <x v="1"/>
    <x v="1"/>
    <x v="0"/>
    <x v="0"/>
    <x v="63"/>
    <x v="34"/>
    <x v="6"/>
    <x v="6"/>
    <x v="96"/>
    <x v="105"/>
  </r>
  <r>
    <x v="10"/>
    <x v="0"/>
    <x v="1"/>
    <x v="1"/>
    <x v="1"/>
    <x v="11"/>
    <x v="61"/>
    <x v="53"/>
    <x v="9"/>
    <x v="21"/>
    <x v="132"/>
    <x v="136"/>
  </r>
  <r>
    <x v="11"/>
    <x v="0"/>
    <x v="1"/>
    <x v="1"/>
    <x v="1"/>
    <x v="3"/>
    <x v="67"/>
    <x v="74"/>
    <x v="10"/>
    <x v="7"/>
    <x v="132"/>
    <x v="59"/>
  </r>
  <r>
    <x v="12"/>
    <x v="0"/>
    <x v="1"/>
    <x v="1"/>
    <x v="1"/>
    <x v="5"/>
    <x v="68"/>
    <x v="70"/>
    <x v="17"/>
    <x v="39"/>
    <x v="111"/>
    <x v="148"/>
  </r>
  <r>
    <x v="13"/>
    <x v="0"/>
    <x v="1"/>
    <x v="1"/>
    <x v="1"/>
    <x v="4"/>
    <x v="75"/>
    <x v="76"/>
    <x v="11"/>
    <x v="40"/>
    <x v="50"/>
    <x v="38"/>
  </r>
  <r>
    <x v="14"/>
    <x v="0"/>
    <x v="1"/>
    <x v="1"/>
    <x v="1"/>
    <x v="9"/>
    <x v="81"/>
    <x v="87"/>
    <x v="12"/>
    <x v="41"/>
    <x v="59"/>
    <x v="143"/>
  </r>
  <r>
    <x v="15"/>
    <x v="0"/>
    <x v="1"/>
    <x v="1"/>
    <x v="1"/>
    <x v="9"/>
    <x v="81"/>
    <x v="87"/>
    <x v="4"/>
    <x v="11"/>
    <x v="183"/>
    <x v="123"/>
  </r>
  <r>
    <x v="16"/>
    <x v="0"/>
    <x v="1"/>
    <x v="1"/>
    <x v="1"/>
    <x v="6"/>
    <x v="82"/>
    <x v="80"/>
    <x v="9"/>
    <x v="32"/>
    <x v="184"/>
    <x v="87"/>
  </r>
  <r>
    <x v="17"/>
    <x v="0"/>
    <x v="1"/>
    <x v="1"/>
    <x v="1"/>
    <x v="6"/>
    <x v="82"/>
    <x v="80"/>
    <x v="9"/>
    <x v="36"/>
    <x v="73"/>
    <x v="139"/>
  </r>
  <r>
    <x v="18"/>
    <x v="0"/>
    <x v="1"/>
    <x v="1"/>
    <x v="1"/>
    <x v="9"/>
    <x v="81"/>
    <x v="70"/>
    <x v="4"/>
    <x v="26"/>
    <x v="78"/>
    <x v="76"/>
  </r>
  <r>
    <x v="19"/>
    <x v="0"/>
    <x v="1"/>
    <x v="1"/>
    <x v="1"/>
    <x v="9"/>
    <x v="81"/>
    <x v="71"/>
    <x v="3"/>
    <x v="16"/>
    <x v="54"/>
    <x v="42"/>
  </r>
  <r>
    <x v="20"/>
    <x v="0"/>
    <x v="1"/>
    <x v="1"/>
    <x v="1"/>
    <x v="9"/>
    <x v="81"/>
    <x v="71"/>
    <x v="9"/>
    <x v="13"/>
    <x v="1"/>
    <x v="105"/>
  </r>
  <r>
    <x v="21"/>
    <x v="0"/>
    <x v="1"/>
    <x v="1"/>
    <x v="1"/>
    <x v="9"/>
    <x v="81"/>
    <x v="71"/>
    <x v="11"/>
    <x v="15"/>
    <x v="108"/>
    <x v="41"/>
  </r>
  <r>
    <x v="22"/>
    <x v="0"/>
    <x v="1"/>
    <x v="1"/>
    <x v="1"/>
    <x v="9"/>
    <x v="81"/>
    <x v="71"/>
    <x v="4"/>
    <x v="2"/>
    <x v="17"/>
    <x v="9"/>
  </r>
  <r>
    <x v="23"/>
    <x v="0"/>
    <x v="1"/>
    <x v="1"/>
    <x v="1"/>
    <x v="9"/>
    <x v="81"/>
    <x v="71"/>
    <x v="11"/>
    <x v="0"/>
    <x v="2"/>
    <x v="33"/>
  </r>
  <r>
    <x v="0"/>
    <x v="0"/>
    <x v="2"/>
    <x v="2"/>
    <x v="1"/>
    <x v="4"/>
    <x v="75"/>
    <x v="60"/>
    <x v="11"/>
    <x v="0"/>
    <x v="21"/>
    <x v="62"/>
  </r>
  <r>
    <x v="1"/>
    <x v="0"/>
    <x v="2"/>
    <x v="2"/>
    <x v="1"/>
    <x v="4"/>
    <x v="75"/>
    <x v="60"/>
    <x v="11"/>
    <x v="5"/>
    <x v="8"/>
    <x v="85"/>
  </r>
  <r>
    <x v="2"/>
    <x v="0"/>
    <x v="2"/>
    <x v="2"/>
    <x v="1"/>
    <x v="5"/>
    <x v="70"/>
    <x v="57"/>
    <x v="4"/>
    <x v="3"/>
    <x v="6"/>
    <x v="5"/>
  </r>
  <r>
    <x v="3"/>
    <x v="0"/>
    <x v="2"/>
    <x v="2"/>
    <x v="1"/>
    <x v="10"/>
    <x v="68"/>
    <x v="64"/>
    <x v="6"/>
    <x v="5"/>
    <x v="4"/>
    <x v="5"/>
  </r>
  <r>
    <x v="4"/>
    <x v="0"/>
    <x v="2"/>
    <x v="2"/>
    <x v="1"/>
    <x v="3"/>
    <x v="69"/>
    <x v="51"/>
    <x v="3"/>
    <x v="3"/>
    <x v="6"/>
    <x v="5"/>
  </r>
  <r>
    <x v="5"/>
    <x v="0"/>
    <x v="2"/>
    <x v="2"/>
    <x v="1"/>
    <x v="3"/>
    <x v="69"/>
    <x v="51"/>
    <x v="3"/>
    <x v="3"/>
    <x v="35"/>
    <x v="6"/>
  </r>
  <r>
    <x v="6"/>
    <x v="0"/>
    <x v="2"/>
    <x v="2"/>
    <x v="1"/>
    <x v="10"/>
    <x v="69"/>
    <x v="64"/>
    <x v="4"/>
    <x v="5"/>
    <x v="18"/>
    <x v="132"/>
  </r>
  <r>
    <x v="7"/>
    <x v="0"/>
    <x v="2"/>
    <x v="2"/>
    <x v="1"/>
    <x v="10"/>
    <x v="69"/>
    <x v="64"/>
    <x v="4"/>
    <x v="4"/>
    <x v="185"/>
    <x v="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2">
  <location ref="A3:B28" firstHeaderRow="1" firstDataRow="1" firstDataCol="1"/>
  <pivotFields count="2">
    <pivotField axis="axisRow" compact="0" showAll="0">
      <items count="25">
        <item x="22"/>
        <item x="21"/>
        <item x="20"/>
        <item x="19"/>
        <item x="18"/>
        <item x="16"/>
        <item x="14"/>
        <item x="13"/>
        <item x="15"/>
        <item x="2"/>
        <item x="1"/>
        <item x="0"/>
        <item x="12"/>
        <item x="17"/>
        <item x="11"/>
        <item x="3"/>
        <item x="10"/>
        <item x="5"/>
        <item x="4"/>
        <item x="9"/>
        <item x="6"/>
        <item x="8"/>
        <item x="7"/>
        <item x="23"/>
        <item t="default"/>
      </items>
    </pivotField>
    <pivotField dataField="1" compact="0" showAll="0">
      <items count="85">
        <item x="80"/>
        <item x="79"/>
        <item x="76"/>
        <item x="73"/>
        <item x="74"/>
        <item x="72"/>
        <item x="66"/>
        <item x="65"/>
        <item x="58"/>
        <item x="64"/>
        <item x="63"/>
        <item x="62"/>
        <item x="59"/>
        <item x="71"/>
        <item x="60"/>
        <item x="57"/>
        <item x="61"/>
        <item x="40"/>
        <item x="67"/>
        <item x="44"/>
        <item x="24"/>
        <item x="69"/>
        <item x="68"/>
        <item x="25"/>
        <item x="39"/>
        <item x="70"/>
        <item x="46"/>
        <item x="78"/>
        <item x="23"/>
        <item x="42"/>
        <item x="77"/>
        <item x="38"/>
        <item x="41"/>
        <item x="17"/>
        <item x="75"/>
        <item x="22"/>
        <item x="81"/>
        <item x="48"/>
        <item x="16"/>
        <item x="82"/>
        <item x="21"/>
        <item x="18"/>
        <item x="49"/>
        <item x="15"/>
        <item x="19"/>
        <item x="37"/>
        <item x="36"/>
        <item x="20"/>
        <item x="33"/>
        <item x="35"/>
        <item x="45"/>
        <item x="47"/>
        <item x="28"/>
        <item x="34"/>
        <item x="14"/>
        <item x="52"/>
        <item x="29"/>
        <item x="54"/>
        <item x="53"/>
        <item x="51"/>
        <item x="30"/>
        <item x="26"/>
        <item x="55"/>
        <item x="13"/>
        <item x="31"/>
        <item x="27"/>
        <item x="56"/>
        <item x="12"/>
        <item x="6"/>
        <item x="32"/>
        <item x="2"/>
        <item x="4"/>
        <item x="5"/>
        <item x="1"/>
        <item x="0"/>
        <item x="7"/>
        <item x="3"/>
        <item x="9"/>
        <item x="8"/>
        <item x="50"/>
        <item x="43"/>
        <item x="10"/>
        <item x="11"/>
        <item x="83"/>
        <item t="default"/>
      </items>
    </pivotField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HUMIDITY" fld="1" baseField="0" baseItem="0"/>
  </dataField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4" cacheId="1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4">
  <location ref="A3:C47" firstHeaderRow="0" firstDataRow="1" firstDataCol="1" rowPageCount="1" colPageCount="1"/>
  <pivotFields count="3">
    <pivotField axis="axisRow" compact="0" showAll="0">
      <items count="44">
        <item x="3"/>
        <item x="5"/>
        <item x="4"/>
        <item x="0"/>
        <item x="17"/>
        <item x="2"/>
        <item x="15"/>
        <item x="18"/>
        <item x="1"/>
        <item x="14"/>
        <item x="22"/>
        <item x="16"/>
        <item x="6"/>
        <item x="23"/>
        <item x="24"/>
        <item x="13"/>
        <item x="19"/>
        <item x="26"/>
        <item x="25"/>
        <item x="21"/>
        <item x="20"/>
        <item x="27"/>
        <item x="30"/>
        <item x="29"/>
        <item x="31"/>
        <item x="7"/>
        <item x="37"/>
        <item x="32"/>
        <item x="8"/>
        <item x="36"/>
        <item x="38"/>
        <item x="28"/>
        <item x="10"/>
        <item x="11"/>
        <item x="12"/>
        <item x="35"/>
        <item x="9"/>
        <item x="33"/>
        <item x="41"/>
        <item x="34"/>
        <item x="39"/>
        <item x="40"/>
        <item x="42"/>
        <item t="default"/>
      </items>
    </pivotField>
    <pivotField axis="axisPage" dataField="1" compact="0" showAll="0">
      <items count="188">
        <item x="5"/>
        <item x="4"/>
        <item x="6"/>
        <item x="35"/>
        <item x="22"/>
        <item x="34"/>
        <item x="8"/>
        <item x="7"/>
        <item x="21"/>
        <item x="33"/>
        <item x="3"/>
        <item x="48"/>
        <item x="98"/>
        <item x="0"/>
        <item x="88"/>
        <item x="89"/>
        <item x="20"/>
        <item x="19"/>
        <item x="72"/>
        <item x="23"/>
        <item x="32"/>
        <item x="144"/>
        <item x="97"/>
        <item x="140"/>
        <item x="9"/>
        <item x="18"/>
        <item x="16"/>
        <item x="2"/>
        <item x="95"/>
        <item x="31"/>
        <item x="10"/>
        <item x="17"/>
        <item x="1"/>
        <item x="39"/>
        <item x="60"/>
        <item x="96"/>
        <item x="49"/>
        <item x="53"/>
        <item x="101"/>
        <item x="87"/>
        <item x="71"/>
        <item x="40"/>
        <item x="76"/>
        <item x="30"/>
        <item x="100"/>
        <item x="108"/>
        <item x="24"/>
        <item x="12"/>
        <item x="41"/>
        <item x="47"/>
        <item x="54"/>
        <item x="82"/>
        <item x="15"/>
        <item x="42"/>
        <item x="25"/>
        <item x="11"/>
        <item x="90"/>
        <item x="77"/>
        <item x="29"/>
        <item x="79"/>
        <item x="91"/>
        <item x="124"/>
        <item x="133"/>
        <item x="36"/>
        <item x="27"/>
        <item x="65"/>
        <item x="43"/>
        <item x="28"/>
        <item x="56"/>
        <item x="94"/>
        <item x="14"/>
        <item x="13"/>
        <item x="109"/>
        <item x="26"/>
        <item x="64"/>
        <item x="102"/>
        <item x="83"/>
        <item x="99"/>
        <item x="78"/>
        <item x="55"/>
        <item x="122"/>
        <item x="38"/>
        <item x="70"/>
        <item x="93"/>
        <item x="151"/>
        <item x="66"/>
        <item x="132"/>
        <item x="61"/>
        <item x="152"/>
        <item x="121"/>
        <item x="92"/>
        <item x="164"/>
        <item x="50"/>
        <item x="139"/>
        <item x="111"/>
        <item x="73"/>
        <item x="185"/>
        <item x="106"/>
        <item x="52"/>
        <item x="176"/>
        <item x="129"/>
        <item x="143"/>
        <item x="46"/>
        <item x="145"/>
        <item x="153"/>
        <item x="159"/>
        <item x="184"/>
        <item x="128"/>
        <item x="123"/>
        <item x="63"/>
        <item x="59"/>
        <item x="180"/>
        <item x="155"/>
        <item x="182"/>
        <item x="156"/>
        <item x="168"/>
        <item x="75"/>
        <item x="118"/>
        <item x="138"/>
        <item x="178"/>
        <item x="183"/>
        <item x="170"/>
        <item x="125"/>
        <item x="85"/>
        <item x="167"/>
        <item x="69"/>
        <item x="172"/>
        <item x="110"/>
        <item x="126"/>
        <item x="149"/>
        <item x="120"/>
        <item x="113"/>
        <item x="115"/>
        <item x="112"/>
        <item x="131"/>
        <item x="116"/>
        <item x="142"/>
        <item x="44"/>
        <item x="150"/>
        <item x="45"/>
        <item x="137"/>
        <item x="166"/>
        <item x="37"/>
        <item x="105"/>
        <item x="119"/>
        <item x="117"/>
        <item x="174"/>
        <item x="81"/>
        <item x="136"/>
        <item x="80"/>
        <item x="158"/>
        <item x="68"/>
        <item x="175"/>
        <item x="162"/>
        <item x="141"/>
        <item x="157"/>
        <item x="177"/>
        <item x="104"/>
        <item x="161"/>
        <item x="51"/>
        <item x="86"/>
        <item x="58"/>
        <item x="154"/>
        <item x="160"/>
        <item x="103"/>
        <item x="67"/>
        <item x="84"/>
        <item x="62"/>
        <item x="181"/>
        <item x="165"/>
        <item x="127"/>
        <item x="114"/>
        <item x="173"/>
        <item x="57"/>
        <item x="134"/>
        <item x="147"/>
        <item x="135"/>
        <item x="179"/>
        <item x="107"/>
        <item x="74"/>
        <item x="163"/>
        <item x="148"/>
        <item x="169"/>
        <item x="146"/>
        <item x="171"/>
        <item x="130"/>
        <item x="186"/>
        <item t="default"/>
      </items>
    </pivotField>
    <pivotField dataField="1" compact="0" showAll="0">
      <items count="193">
        <item x="4"/>
        <item x="5"/>
        <item x="6"/>
        <item x="48"/>
        <item x="36"/>
        <item x="24"/>
        <item x="85"/>
        <item x="7"/>
        <item x="23"/>
        <item x="98"/>
        <item x="62"/>
        <item x="47"/>
        <item x="3"/>
        <item x="8"/>
        <item x="93"/>
        <item x="0"/>
        <item x="22"/>
        <item x="109"/>
        <item x="75"/>
        <item x="25"/>
        <item x="137"/>
        <item x="34"/>
        <item x="84"/>
        <item x="108"/>
        <item x="94"/>
        <item x="132"/>
        <item x="110"/>
        <item x="20"/>
        <item x="115"/>
        <item x="33"/>
        <item x="35"/>
        <item x="2"/>
        <item x="63"/>
        <item x="19"/>
        <item x="17"/>
        <item x="9"/>
        <item x="18"/>
        <item x="103"/>
        <item x="21"/>
        <item x="1"/>
        <item x="102"/>
        <item x="51"/>
        <item x="74"/>
        <item x="40"/>
        <item x="79"/>
        <item x="66"/>
        <item x="105"/>
        <item x="61"/>
        <item x="99"/>
        <item x="89"/>
        <item x="41"/>
        <item x="46"/>
        <item x="26"/>
        <item x="60"/>
        <item x="97"/>
        <item x="10"/>
        <item x="52"/>
        <item x="154"/>
        <item x="29"/>
        <item x="122"/>
        <item x="42"/>
        <item x="69"/>
        <item x="55"/>
        <item x="37"/>
        <item x="32"/>
        <item x="180"/>
        <item x="16"/>
        <item x="118"/>
        <item x="83"/>
        <item x="27"/>
        <item x="68"/>
        <item x="44"/>
        <item x="88"/>
        <item x="30"/>
        <item x="28"/>
        <item x="31"/>
        <item x="43"/>
        <item x="53"/>
        <item x="67"/>
        <item x="138"/>
        <item x="117"/>
        <item x="100"/>
        <item x="56"/>
        <item x="11"/>
        <item x="80"/>
        <item x="90"/>
        <item x="39"/>
        <item x="70"/>
        <item x="127"/>
        <item x="134"/>
        <item x="101"/>
        <item x="15"/>
        <item x="12"/>
        <item x="76"/>
        <item x="152"/>
        <item x="54"/>
        <item x="95"/>
        <item x="111"/>
        <item x="50"/>
        <item x="129"/>
        <item x="96"/>
        <item x="153"/>
        <item x="133"/>
        <item x="136"/>
        <item x="13"/>
        <item x="166"/>
        <item x="159"/>
        <item x="142"/>
        <item x="14"/>
        <item x="168"/>
        <item x="59"/>
        <item x="135"/>
        <item x="181"/>
        <item x="65"/>
        <item x="155"/>
        <item x="126"/>
        <item x="130"/>
        <item x="164"/>
        <item x="151"/>
        <item x="178"/>
        <item x="78"/>
        <item x="92"/>
        <item x="139"/>
        <item x="149"/>
        <item x="175"/>
        <item x="116"/>
        <item x="131"/>
        <item x="113"/>
        <item x="73"/>
        <item x="140"/>
        <item x="87"/>
        <item x="169"/>
        <item x="114"/>
        <item x="120"/>
        <item x="119"/>
        <item x="188"/>
        <item x="145"/>
        <item x="124"/>
        <item x="190"/>
        <item x="163"/>
        <item x="173"/>
        <item x="165"/>
        <item x="148"/>
        <item x="158"/>
        <item x="38"/>
        <item x="107"/>
        <item x="167"/>
        <item x="45"/>
        <item x="125"/>
        <item x="128"/>
        <item x="187"/>
        <item x="143"/>
        <item x="123"/>
        <item x="82"/>
        <item x="186"/>
        <item x="150"/>
        <item x="171"/>
        <item x="72"/>
        <item x="185"/>
        <item x="81"/>
        <item x="177"/>
        <item x="172"/>
        <item x="170"/>
        <item x="156"/>
        <item x="106"/>
        <item x="49"/>
        <item x="58"/>
        <item x="157"/>
        <item x="147"/>
        <item x="91"/>
        <item x="104"/>
        <item x="71"/>
        <item x="64"/>
        <item x="141"/>
        <item x="184"/>
        <item x="121"/>
        <item x="176"/>
        <item x="86"/>
        <item x="189"/>
        <item x="57"/>
        <item x="146"/>
        <item x="182"/>
        <item x="112"/>
        <item x="77"/>
        <item x="174"/>
        <item x="161"/>
        <item x="162"/>
        <item x="179"/>
        <item x="160"/>
        <item x="183"/>
        <item x="144"/>
        <item x="191"/>
        <item t="default"/>
      </items>
    </pivotField>
  </pivotFields>
  <rowFields count="1">
    <field x="0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0"/>
  </pageFields>
  <dataFields count="2">
    <dataField name="Sum of COUNT" fld="2" baseField="0" baseItem="0"/>
    <dataField name="Sum of REGISTERED" fld="1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PivotTable6" cacheId="3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4">
  <location ref="A3:B24" firstHeaderRow="1" firstDataRow="1" firstDataCol="1"/>
  <pivotFields count="2">
    <pivotField dataField="1" compact="0" showAll="0">
      <items count="89">
        <item x="28"/>
        <item x="29"/>
        <item x="26"/>
        <item x="27"/>
        <item x="22"/>
        <item x="23"/>
        <item x="24"/>
        <item x="15"/>
        <item x="16"/>
        <item x="14"/>
        <item x="20"/>
        <item x="17"/>
        <item x="18"/>
        <item x="13"/>
        <item x="84"/>
        <item x="12"/>
        <item x="11"/>
        <item x="85"/>
        <item x="19"/>
        <item x="78"/>
        <item x="2"/>
        <item x="79"/>
        <item x="77"/>
        <item x="1"/>
        <item x="80"/>
        <item x="0"/>
        <item x="76"/>
        <item x="87"/>
        <item x="25"/>
        <item x="81"/>
        <item x="21"/>
        <item x="70"/>
        <item x="72"/>
        <item x="6"/>
        <item x="75"/>
        <item x="4"/>
        <item x="71"/>
        <item x="73"/>
        <item x="60"/>
        <item x="69"/>
        <item x="74"/>
        <item x="5"/>
        <item x="57"/>
        <item x="10"/>
        <item x="86"/>
        <item x="52"/>
        <item x="7"/>
        <item x="58"/>
        <item x="9"/>
        <item x="56"/>
        <item x="53"/>
        <item x="8"/>
        <item x="64"/>
        <item x="55"/>
        <item x="54"/>
        <item x="63"/>
        <item x="59"/>
        <item x="61"/>
        <item x="42"/>
        <item x="51"/>
        <item x="67"/>
        <item x="38"/>
        <item x="44"/>
        <item x="66"/>
        <item x="37"/>
        <item x="34"/>
        <item x="43"/>
        <item x="65"/>
        <item x="62"/>
        <item x="35"/>
        <item x="33"/>
        <item x="68"/>
        <item x="82"/>
        <item x="36"/>
        <item x="32"/>
        <item x="50"/>
        <item x="83"/>
        <item x="39"/>
        <item x="31"/>
        <item x="49"/>
        <item x="30"/>
        <item x="45"/>
        <item x="48"/>
        <item x="41"/>
        <item x="46"/>
        <item x="40"/>
        <item x="47"/>
        <item x="3"/>
        <item t="default"/>
      </items>
    </pivotField>
    <pivotField axis="axisRow" compact="0" showAll="0">
      <items count="21">
        <item x="0"/>
        <item x="1"/>
        <item x="14"/>
        <item x="7"/>
        <item x="8"/>
        <item x="5"/>
        <item x="6"/>
        <item x="2"/>
        <item x="3"/>
        <item x="4"/>
        <item x="9"/>
        <item x="11"/>
        <item x="13"/>
        <item x="12"/>
        <item x="10"/>
        <item x="17"/>
        <item x="15"/>
        <item x="18"/>
        <item x="16"/>
        <item x="19"/>
        <item t="default"/>
      </items>
    </pivotField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ATEMP" fld="0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PivotTable8" cacheId="4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 chartFormat="4">
  <location ref="A3:C28" firstHeaderRow="0" firstDataRow="1" firstDataCol="1"/>
  <pivotFields count="12">
    <pivotField axis="axisRow" compact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87">
        <item x="5"/>
        <item x="4"/>
        <item x="6"/>
        <item x="35"/>
        <item x="22"/>
        <item x="34"/>
        <item x="8"/>
        <item x="7"/>
        <item x="21"/>
        <item x="33"/>
        <item x="3"/>
        <item x="48"/>
        <item x="98"/>
        <item x="0"/>
        <item x="88"/>
        <item x="89"/>
        <item x="20"/>
        <item x="19"/>
        <item x="72"/>
        <item x="23"/>
        <item x="32"/>
        <item x="144"/>
        <item x="97"/>
        <item x="140"/>
        <item x="9"/>
        <item x="18"/>
        <item x="16"/>
        <item x="2"/>
        <item x="95"/>
        <item x="31"/>
        <item x="10"/>
        <item x="17"/>
        <item x="1"/>
        <item x="39"/>
        <item x="60"/>
        <item x="96"/>
        <item x="49"/>
        <item x="53"/>
        <item x="101"/>
        <item x="87"/>
        <item x="71"/>
        <item x="40"/>
        <item x="76"/>
        <item x="30"/>
        <item x="100"/>
        <item x="108"/>
        <item x="24"/>
        <item x="12"/>
        <item x="41"/>
        <item x="47"/>
        <item x="54"/>
        <item x="82"/>
        <item x="15"/>
        <item x="42"/>
        <item x="25"/>
        <item x="11"/>
        <item x="90"/>
        <item x="77"/>
        <item x="29"/>
        <item x="79"/>
        <item x="91"/>
        <item x="124"/>
        <item x="133"/>
        <item x="36"/>
        <item x="27"/>
        <item x="65"/>
        <item x="43"/>
        <item x="28"/>
        <item x="56"/>
        <item x="94"/>
        <item x="14"/>
        <item x="13"/>
        <item x="109"/>
        <item x="26"/>
        <item x="64"/>
        <item x="102"/>
        <item x="83"/>
        <item x="99"/>
        <item x="78"/>
        <item x="55"/>
        <item x="122"/>
        <item x="38"/>
        <item x="70"/>
        <item x="93"/>
        <item x="151"/>
        <item x="66"/>
        <item x="132"/>
        <item x="61"/>
        <item x="152"/>
        <item x="121"/>
        <item x="92"/>
        <item x="164"/>
        <item x="50"/>
        <item x="139"/>
        <item x="111"/>
        <item x="73"/>
        <item x="185"/>
        <item x="106"/>
        <item x="52"/>
        <item x="176"/>
        <item x="129"/>
        <item x="143"/>
        <item x="46"/>
        <item x="145"/>
        <item x="153"/>
        <item x="159"/>
        <item x="184"/>
        <item x="128"/>
        <item x="123"/>
        <item x="63"/>
        <item x="59"/>
        <item x="180"/>
        <item x="155"/>
        <item x="182"/>
        <item x="156"/>
        <item x="168"/>
        <item x="75"/>
        <item x="118"/>
        <item x="138"/>
        <item x="178"/>
        <item x="183"/>
        <item x="170"/>
        <item x="125"/>
        <item x="85"/>
        <item x="167"/>
        <item x="69"/>
        <item x="172"/>
        <item x="110"/>
        <item x="126"/>
        <item x="149"/>
        <item x="120"/>
        <item x="113"/>
        <item x="115"/>
        <item x="112"/>
        <item x="131"/>
        <item x="116"/>
        <item x="142"/>
        <item x="44"/>
        <item x="150"/>
        <item x="45"/>
        <item x="137"/>
        <item x="166"/>
        <item x="37"/>
        <item x="105"/>
        <item x="119"/>
        <item x="117"/>
        <item x="174"/>
        <item x="81"/>
        <item x="136"/>
        <item x="80"/>
        <item x="158"/>
        <item x="68"/>
        <item x="175"/>
        <item x="162"/>
        <item x="141"/>
        <item x="157"/>
        <item x="177"/>
        <item x="104"/>
        <item x="161"/>
        <item x="51"/>
        <item x="86"/>
        <item x="58"/>
        <item x="154"/>
        <item x="160"/>
        <item x="103"/>
        <item x="67"/>
        <item x="84"/>
        <item x="62"/>
        <item x="181"/>
        <item x="165"/>
        <item x="127"/>
        <item x="114"/>
        <item x="173"/>
        <item x="57"/>
        <item x="134"/>
        <item x="147"/>
        <item x="135"/>
        <item x="179"/>
        <item x="107"/>
        <item x="74"/>
        <item x="163"/>
        <item x="148"/>
        <item x="169"/>
        <item x="146"/>
        <item x="171"/>
        <item x="130"/>
        <item t="default"/>
      </items>
    </pivotField>
    <pivotField dataField="1" compact="0" showAll="0">
      <items count="192">
        <item x="4"/>
        <item x="5"/>
        <item x="6"/>
        <item x="48"/>
        <item x="36"/>
        <item x="24"/>
        <item x="85"/>
        <item x="7"/>
        <item x="23"/>
        <item x="98"/>
        <item x="62"/>
        <item x="47"/>
        <item x="3"/>
        <item x="8"/>
        <item x="93"/>
        <item x="0"/>
        <item x="22"/>
        <item x="109"/>
        <item x="75"/>
        <item x="25"/>
        <item x="137"/>
        <item x="34"/>
        <item x="84"/>
        <item x="108"/>
        <item x="94"/>
        <item x="132"/>
        <item x="110"/>
        <item x="20"/>
        <item x="115"/>
        <item x="33"/>
        <item x="35"/>
        <item x="2"/>
        <item x="63"/>
        <item x="19"/>
        <item x="17"/>
        <item x="9"/>
        <item x="18"/>
        <item x="103"/>
        <item x="21"/>
        <item x="1"/>
        <item x="102"/>
        <item x="51"/>
        <item x="74"/>
        <item x="40"/>
        <item x="79"/>
        <item x="66"/>
        <item x="105"/>
        <item x="61"/>
        <item x="99"/>
        <item x="89"/>
        <item x="41"/>
        <item x="46"/>
        <item x="26"/>
        <item x="60"/>
        <item x="97"/>
        <item x="10"/>
        <item x="52"/>
        <item x="154"/>
        <item x="29"/>
        <item x="122"/>
        <item x="42"/>
        <item x="69"/>
        <item x="55"/>
        <item x="37"/>
        <item x="32"/>
        <item x="180"/>
        <item x="16"/>
        <item x="118"/>
        <item x="83"/>
        <item x="27"/>
        <item x="68"/>
        <item x="44"/>
        <item x="88"/>
        <item x="30"/>
        <item x="28"/>
        <item x="31"/>
        <item x="43"/>
        <item x="53"/>
        <item x="67"/>
        <item x="138"/>
        <item x="117"/>
        <item x="100"/>
        <item x="56"/>
        <item x="11"/>
        <item x="80"/>
        <item x="90"/>
        <item x="39"/>
        <item x="70"/>
        <item x="127"/>
        <item x="134"/>
        <item x="101"/>
        <item x="15"/>
        <item x="12"/>
        <item x="76"/>
        <item x="152"/>
        <item x="54"/>
        <item x="95"/>
        <item x="111"/>
        <item x="50"/>
        <item x="129"/>
        <item x="96"/>
        <item x="153"/>
        <item x="133"/>
        <item x="136"/>
        <item x="13"/>
        <item x="166"/>
        <item x="159"/>
        <item x="142"/>
        <item x="14"/>
        <item x="168"/>
        <item x="59"/>
        <item x="135"/>
        <item x="181"/>
        <item x="65"/>
        <item x="155"/>
        <item x="126"/>
        <item x="130"/>
        <item x="164"/>
        <item x="151"/>
        <item x="178"/>
        <item x="78"/>
        <item x="92"/>
        <item x="139"/>
        <item x="149"/>
        <item x="175"/>
        <item x="116"/>
        <item x="131"/>
        <item x="113"/>
        <item x="73"/>
        <item x="140"/>
        <item x="87"/>
        <item x="169"/>
        <item x="114"/>
        <item x="120"/>
        <item x="119"/>
        <item x="188"/>
        <item x="145"/>
        <item x="124"/>
        <item x="190"/>
        <item x="163"/>
        <item x="173"/>
        <item x="165"/>
        <item x="148"/>
        <item x="158"/>
        <item x="38"/>
        <item x="107"/>
        <item x="167"/>
        <item x="45"/>
        <item x="125"/>
        <item x="128"/>
        <item x="187"/>
        <item x="143"/>
        <item x="123"/>
        <item x="82"/>
        <item x="186"/>
        <item x="150"/>
        <item x="171"/>
        <item x="72"/>
        <item x="185"/>
        <item x="81"/>
        <item x="177"/>
        <item x="172"/>
        <item x="170"/>
        <item x="156"/>
        <item x="106"/>
        <item x="49"/>
        <item x="58"/>
        <item x="157"/>
        <item x="147"/>
        <item x="91"/>
        <item x="104"/>
        <item x="71"/>
        <item x="64"/>
        <item x="141"/>
        <item x="184"/>
        <item x="121"/>
        <item x="176"/>
        <item x="86"/>
        <item x="189"/>
        <item x="57"/>
        <item x="146"/>
        <item x="182"/>
        <item x="112"/>
        <item x="77"/>
        <item x="174"/>
        <item x="161"/>
        <item x="162"/>
        <item x="179"/>
        <item x="160"/>
        <item x="183"/>
        <item x="144"/>
        <item t="default"/>
      </items>
    </pivotField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OUNT" fld="11" baseField="0" baseItem="0"/>
    <dataField name="Sum of REGISTERED" fld="10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5000000}" name="PivotTable2" cacheId="1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U3:W830" firstHeaderRow="1" firstDataRow="1" firstDataCol="2"/>
  <pivotFields count="3">
    <pivotField axis="axisRow" compact="0" showAll="0">
      <items count="44">
        <item x="3"/>
        <item x="5"/>
        <item x="4"/>
        <item x="0"/>
        <item x="17"/>
        <item x="2"/>
        <item x="15"/>
        <item x="18"/>
        <item x="1"/>
        <item x="14"/>
        <item x="22"/>
        <item x="16"/>
        <item x="6"/>
        <item x="23"/>
        <item x="24"/>
        <item x="13"/>
        <item x="19"/>
        <item x="26"/>
        <item x="25"/>
        <item x="21"/>
        <item x="20"/>
        <item x="27"/>
        <item x="30"/>
        <item x="29"/>
        <item x="31"/>
        <item x="7"/>
        <item x="37"/>
        <item x="32"/>
        <item x="8"/>
        <item x="36"/>
        <item x="38"/>
        <item x="28"/>
        <item x="10"/>
        <item x="11"/>
        <item x="12"/>
        <item x="35"/>
        <item x="9"/>
        <item x="33"/>
        <item x="41"/>
        <item x="34"/>
        <item x="39"/>
        <item x="40"/>
        <item x="42"/>
        <item t="default"/>
      </items>
    </pivotField>
    <pivotField dataField="1" compact="0" showAll="0">
      <items count="188">
        <item x="5"/>
        <item x="4"/>
        <item x="6"/>
        <item x="35"/>
        <item x="22"/>
        <item x="34"/>
        <item x="8"/>
        <item x="7"/>
        <item x="21"/>
        <item x="33"/>
        <item x="3"/>
        <item x="48"/>
        <item x="98"/>
        <item x="0"/>
        <item x="88"/>
        <item x="89"/>
        <item x="20"/>
        <item x="19"/>
        <item x="72"/>
        <item x="23"/>
        <item x="32"/>
        <item x="144"/>
        <item x="97"/>
        <item x="140"/>
        <item x="9"/>
        <item x="18"/>
        <item x="16"/>
        <item x="2"/>
        <item x="95"/>
        <item x="31"/>
        <item x="10"/>
        <item x="17"/>
        <item x="1"/>
        <item x="39"/>
        <item x="60"/>
        <item x="96"/>
        <item x="49"/>
        <item x="53"/>
        <item x="101"/>
        <item x="87"/>
        <item x="71"/>
        <item x="40"/>
        <item x="76"/>
        <item x="30"/>
        <item x="100"/>
        <item x="108"/>
        <item x="24"/>
        <item x="12"/>
        <item x="41"/>
        <item x="47"/>
        <item x="54"/>
        <item x="82"/>
        <item x="15"/>
        <item x="42"/>
        <item x="25"/>
        <item x="11"/>
        <item x="90"/>
        <item x="77"/>
        <item x="29"/>
        <item x="79"/>
        <item x="91"/>
        <item x="124"/>
        <item x="133"/>
        <item x="36"/>
        <item x="27"/>
        <item x="65"/>
        <item x="43"/>
        <item x="28"/>
        <item x="56"/>
        <item x="94"/>
        <item x="14"/>
        <item x="13"/>
        <item x="109"/>
        <item x="26"/>
        <item x="64"/>
        <item x="102"/>
        <item x="83"/>
        <item x="99"/>
        <item x="78"/>
        <item x="55"/>
        <item x="122"/>
        <item x="38"/>
        <item x="70"/>
        <item x="93"/>
        <item x="151"/>
        <item x="66"/>
        <item x="132"/>
        <item x="61"/>
        <item x="152"/>
        <item x="121"/>
        <item x="92"/>
        <item x="164"/>
        <item x="50"/>
        <item x="139"/>
        <item x="111"/>
        <item x="73"/>
        <item x="185"/>
        <item x="106"/>
        <item x="52"/>
        <item x="176"/>
        <item x="129"/>
        <item x="143"/>
        <item x="46"/>
        <item x="145"/>
        <item x="153"/>
        <item x="159"/>
        <item x="184"/>
        <item x="128"/>
        <item x="123"/>
        <item x="63"/>
        <item x="59"/>
        <item x="180"/>
        <item x="155"/>
        <item x="182"/>
        <item x="156"/>
        <item x="168"/>
        <item x="75"/>
        <item x="118"/>
        <item x="138"/>
        <item x="178"/>
        <item x="183"/>
        <item x="170"/>
        <item x="125"/>
        <item x="85"/>
        <item x="167"/>
        <item x="69"/>
        <item x="172"/>
        <item x="110"/>
        <item x="126"/>
        <item x="149"/>
        <item x="120"/>
        <item x="113"/>
        <item x="115"/>
        <item x="112"/>
        <item x="131"/>
        <item x="116"/>
        <item x="142"/>
        <item x="44"/>
        <item x="150"/>
        <item x="45"/>
        <item x="137"/>
        <item x="166"/>
        <item x="37"/>
        <item x="105"/>
        <item x="119"/>
        <item x="117"/>
        <item x="174"/>
        <item x="81"/>
        <item x="136"/>
        <item x="80"/>
        <item x="158"/>
        <item x="68"/>
        <item x="175"/>
        <item x="162"/>
        <item x="141"/>
        <item x="157"/>
        <item x="177"/>
        <item x="104"/>
        <item x="161"/>
        <item x="51"/>
        <item x="86"/>
        <item x="58"/>
        <item x="154"/>
        <item x="160"/>
        <item x="103"/>
        <item x="67"/>
        <item x="84"/>
        <item x="62"/>
        <item x="181"/>
        <item x="165"/>
        <item x="127"/>
        <item x="114"/>
        <item x="173"/>
        <item x="57"/>
        <item x="134"/>
        <item x="147"/>
        <item x="135"/>
        <item x="179"/>
        <item x="107"/>
        <item x="74"/>
        <item x="163"/>
        <item x="148"/>
        <item x="169"/>
        <item x="146"/>
        <item x="171"/>
        <item x="130"/>
        <item x="186"/>
        <item t="default"/>
      </items>
    </pivotField>
    <pivotField axis="axisRow" compact="0" multipleItemSelectionAllowed="1" showAll="0">
      <items count="193">
        <item h="1" x="4"/>
        <item x="5"/>
        <item x="6"/>
        <item x="48"/>
        <item x="36"/>
        <item x="24"/>
        <item x="85"/>
        <item x="7"/>
        <item x="23"/>
        <item x="98"/>
        <item x="62"/>
        <item x="47"/>
        <item x="3"/>
        <item x="8"/>
        <item x="93"/>
        <item x="0"/>
        <item x="22"/>
        <item x="109"/>
        <item x="75"/>
        <item x="25"/>
        <item x="137"/>
        <item x="34"/>
        <item x="84"/>
        <item x="108"/>
        <item x="94"/>
        <item x="132"/>
        <item x="110"/>
        <item x="20"/>
        <item x="115"/>
        <item x="33"/>
        <item x="35"/>
        <item x="2"/>
        <item x="63"/>
        <item x="19"/>
        <item x="17"/>
        <item x="9"/>
        <item x="18"/>
        <item x="103"/>
        <item x="21"/>
        <item x="1"/>
        <item x="102"/>
        <item x="51"/>
        <item x="74"/>
        <item x="40"/>
        <item x="79"/>
        <item x="66"/>
        <item x="105"/>
        <item x="61"/>
        <item x="99"/>
        <item x="89"/>
        <item x="41"/>
        <item x="46"/>
        <item x="26"/>
        <item x="60"/>
        <item x="97"/>
        <item x="10"/>
        <item x="52"/>
        <item x="154"/>
        <item x="29"/>
        <item x="122"/>
        <item x="42"/>
        <item x="69"/>
        <item x="55"/>
        <item x="37"/>
        <item x="32"/>
        <item x="180"/>
        <item x="16"/>
        <item x="118"/>
        <item x="83"/>
        <item x="27"/>
        <item x="68"/>
        <item x="44"/>
        <item x="88"/>
        <item x="30"/>
        <item x="28"/>
        <item x="31"/>
        <item x="43"/>
        <item x="53"/>
        <item x="67"/>
        <item x="138"/>
        <item x="117"/>
        <item x="100"/>
        <item x="56"/>
        <item x="11"/>
        <item x="80"/>
        <item x="90"/>
        <item x="39"/>
        <item x="70"/>
        <item x="127"/>
        <item x="134"/>
        <item x="101"/>
        <item x="15"/>
        <item x="12"/>
        <item x="76"/>
        <item x="152"/>
        <item x="54"/>
        <item x="95"/>
        <item x="111"/>
        <item x="50"/>
        <item x="129"/>
        <item x="96"/>
        <item x="153"/>
        <item x="133"/>
        <item x="136"/>
        <item x="13"/>
        <item x="166"/>
        <item x="159"/>
        <item x="142"/>
        <item x="14"/>
        <item x="168"/>
        <item x="59"/>
        <item x="135"/>
        <item x="181"/>
        <item x="65"/>
        <item x="155"/>
        <item x="126"/>
        <item x="130"/>
        <item x="164"/>
        <item x="151"/>
        <item x="178"/>
        <item x="78"/>
        <item x="92"/>
        <item x="139"/>
        <item x="149"/>
        <item x="175"/>
        <item x="116"/>
        <item x="131"/>
        <item x="113"/>
        <item x="73"/>
        <item x="140"/>
        <item x="87"/>
        <item x="169"/>
        <item x="114"/>
        <item x="120"/>
        <item x="119"/>
        <item x="188"/>
        <item x="145"/>
        <item x="124"/>
        <item x="190"/>
        <item x="163"/>
        <item x="173"/>
        <item x="165"/>
        <item x="148"/>
        <item x="158"/>
        <item x="38"/>
        <item x="107"/>
        <item x="167"/>
        <item x="45"/>
        <item x="125"/>
        <item x="128"/>
        <item x="187"/>
        <item x="143"/>
        <item x="123"/>
        <item x="82"/>
        <item x="186"/>
        <item x="150"/>
        <item x="171"/>
        <item x="72"/>
        <item x="185"/>
        <item x="81"/>
        <item x="177"/>
        <item x="172"/>
        <item x="170"/>
        <item x="156"/>
        <item x="106"/>
        <item x="49"/>
        <item x="58"/>
        <item x="157"/>
        <item x="147"/>
        <item x="91"/>
        <item x="104"/>
        <item x="71"/>
        <item x="64"/>
        <item x="141"/>
        <item x="184"/>
        <item x="121"/>
        <item x="176"/>
        <item x="86"/>
        <item x="189"/>
        <item x="57"/>
        <item x="146"/>
        <item x="182"/>
        <item x="112"/>
        <item x="77"/>
        <item x="174"/>
        <item x="161"/>
        <item x="162"/>
        <item x="179"/>
        <item x="160"/>
        <item x="183"/>
        <item x="144"/>
        <item x="191"/>
        <item t="default"/>
      </items>
    </pivotField>
  </pivotFields>
  <rowFields count="2">
    <field x="2"/>
    <field x="0"/>
  </rowFields>
  <rowItems count="827"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4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 r="1">
      <x v="3"/>
    </i>
    <i>
      <x v="8"/>
    </i>
    <i r="1">
      <x/>
    </i>
    <i r="1">
      <x v="1"/>
    </i>
    <i r="1">
      <x v="3"/>
    </i>
    <i>
      <x v="9"/>
    </i>
    <i r="1">
      <x/>
    </i>
    <i r="1">
      <x v="1"/>
    </i>
    <i r="1">
      <x v="3"/>
    </i>
    <i r="1">
      <x v="4"/>
    </i>
    <i>
      <x v="10"/>
    </i>
    <i r="1">
      <x/>
    </i>
    <i r="1">
      <x v="1"/>
    </i>
    <i r="1">
      <x v="2"/>
    </i>
    <i r="1">
      <x v="3"/>
    </i>
    <i>
      <x v="11"/>
    </i>
    <i r="1">
      <x/>
    </i>
    <i r="1">
      <x v="1"/>
    </i>
    <i r="1">
      <x v="2"/>
    </i>
    <i r="1">
      <x v="3"/>
    </i>
    <i r="1">
      <x v="4"/>
    </i>
    <i>
      <x v="12"/>
    </i>
    <i r="1">
      <x/>
    </i>
    <i r="1">
      <x v="1"/>
    </i>
    <i r="1">
      <x v="3"/>
    </i>
    <i r="1">
      <x v="4"/>
    </i>
    <i r="1">
      <x v="5"/>
    </i>
    <i>
      <x v="13"/>
    </i>
    <i r="1">
      <x/>
    </i>
    <i r="1">
      <x v="2"/>
    </i>
    <i r="1">
      <x v="8"/>
    </i>
    <i>
      <x v="14"/>
    </i>
    <i r="1">
      <x/>
    </i>
    <i r="1">
      <x v="1"/>
    </i>
    <i r="1">
      <x v="2"/>
    </i>
    <i r="1">
      <x v="5"/>
    </i>
    <i r="1">
      <x v="9"/>
    </i>
    <i>
      <x v="15"/>
    </i>
    <i r="1">
      <x/>
    </i>
    <i r="1">
      <x v="1"/>
    </i>
    <i r="1">
      <x v="3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>
      <x v="17"/>
    </i>
    <i r="1">
      <x/>
    </i>
    <i r="1">
      <x v="1"/>
    </i>
    <i r="1">
      <x v="3"/>
    </i>
    <i>
      <x v="18"/>
    </i>
    <i r="1">
      <x/>
    </i>
    <i r="1">
      <x v="1"/>
    </i>
    <i r="1">
      <x v="2"/>
    </i>
    <i>
      <x v="19"/>
    </i>
    <i r="1">
      <x/>
    </i>
    <i r="1">
      <x v="1"/>
    </i>
    <i r="1">
      <x v="2"/>
    </i>
    <i r="1">
      <x v="3"/>
    </i>
    <i>
      <x v="20"/>
    </i>
    <i r="1">
      <x v="1"/>
    </i>
    <i r="1">
      <x v="2"/>
    </i>
    <i r="1">
      <x v="4"/>
    </i>
    <i r="1">
      <x v="5"/>
    </i>
    <i>
      <x v="21"/>
    </i>
    <i r="1">
      <x/>
    </i>
    <i r="1">
      <x v="2"/>
    </i>
    <i r="1">
      <x v="5"/>
    </i>
    <i>
      <x v="22"/>
    </i>
    <i r="1">
      <x v="1"/>
    </i>
    <i r="1">
      <x v="2"/>
    </i>
    <i r="1">
      <x v="4"/>
    </i>
    <i>
      <x v="23"/>
    </i>
    <i r="1">
      <x v="1"/>
    </i>
    <i r="1">
      <x v="2"/>
    </i>
    <i r="1">
      <x v="3"/>
    </i>
    <i>
      <x v="24"/>
    </i>
    <i r="1">
      <x v="1"/>
    </i>
    <i r="1">
      <x v="5"/>
    </i>
    <i r="1">
      <x v="6"/>
    </i>
    <i>
      <x v="25"/>
    </i>
    <i r="1">
      <x/>
    </i>
    <i r="1">
      <x v="1"/>
    </i>
    <i r="1">
      <x v="5"/>
    </i>
    <i>
      <x v="26"/>
    </i>
    <i r="1">
      <x/>
    </i>
    <i r="1">
      <x v="1"/>
    </i>
    <i r="1">
      <x v="3"/>
    </i>
    <i r="1">
      <x v="5"/>
    </i>
    <i>
      <x v="27"/>
    </i>
    <i r="1">
      <x/>
    </i>
    <i r="1">
      <x v="1"/>
    </i>
    <i r="1">
      <x v="2"/>
    </i>
    <i r="1">
      <x v="3"/>
    </i>
    <i r="1">
      <x v="5"/>
    </i>
    <i r="1">
      <x v="6"/>
    </i>
    <i r="1">
      <x v="11"/>
    </i>
    <i>
      <x v="28"/>
    </i>
    <i r="1">
      <x/>
    </i>
    <i r="1">
      <x v="1"/>
    </i>
    <i r="1">
      <x v="7"/>
    </i>
    <i>
      <x v="29"/>
    </i>
    <i r="1">
      <x/>
    </i>
    <i r="1">
      <x v="1"/>
    </i>
    <i r="1">
      <x v="2"/>
    </i>
    <i r="1">
      <x v="3"/>
    </i>
    <i r="1">
      <x v="4"/>
    </i>
    <i r="1">
      <x v="7"/>
    </i>
    <i>
      <x v="30"/>
    </i>
    <i r="1">
      <x/>
    </i>
    <i r="1">
      <x v="1"/>
    </i>
    <i r="1">
      <x v="3"/>
    </i>
    <i r="1">
      <x v="11"/>
    </i>
    <i>
      <x v="31"/>
    </i>
    <i r="1">
      <x/>
    </i>
    <i r="1">
      <x v="1"/>
    </i>
    <i r="1">
      <x v="3"/>
    </i>
    <i r="1">
      <x v="4"/>
    </i>
    <i r="1">
      <x v="5"/>
    </i>
    <i>
      <x v="32"/>
    </i>
    <i r="1">
      <x/>
    </i>
    <i r="1">
      <x v="1"/>
    </i>
    <i r="1">
      <x v="2"/>
    </i>
    <i r="1">
      <x v="3"/>
    </i>
    <i r="1">
      <x v="4"/>
    </i>
    <i>
      <x v="33"/>
    </i>
    <i r="1">
      <x/>
    </i>
    <i r="1">
      <x v="1"/>
    </i>
    <i r="1">
      <x v="3"/>
    </i>
    <i r="1">
      <x v="8"/>
    </i>
    <i>
      <x v="34"/>
    </i>
    <i r="1">
      <x/>
    </i>
    <i r="1">
      <x v="1"/>
    </i>
    <i r="1">
      <x v="3"/>
    </i>
    <i r="1">
      <x v="4"/>
    </i>
    <i r="1">
      <x v="9"/>
    </i>
    <i>
      <x v="35"/>
    </i>
    <i r="1">
      <x/>
    </i>
    <i r="1">
      <x v="1"/>
    </i>
    <i r="1">
      <x v="2"/>
    </i>
    <i r="1">
      <x v="5"/>
    </i>
    <i r="1">
      <x v="11"/>
    </i>
    <i r="1">
      <x v="12"/>
    </i>
    <i>
      <x v="36"/>
    </i>
    <i r="1">
      <x/>
    </i>
    <i r="1">
      <x v="2"/>
    </i>
    <i r="1">
      <x v="3"/>
    </i>
    <i r="1">
      <x v="4"/>
    </i>
    <i r="1">
      <x v="6"/>
    </i>
    <i>
      <x v="37"/>
    </i>
    <i r="1">
      <x/>
    </i>
    <i r="1">
      <x v="1"/>
    </i>
    <i r="1">
      <x v="2"/>
    </i>
    <i r="1">
      <x v="4"/>
    </i>
    <i>
      <x v="38"/>
    </i>
    <i r="1">
      <x/>
    </i>
    <i r="1">
      <x v="2"/>
    </i>
    <i r="1">
      <x v="3"/>
    </i>
    <i r="1">
      <x v="5"/>
    </i>
    <i r="1">
      <x v="6"/>
    </i>
    <i r="1">
      <x v="15"/>
    </i>
    <i>
      <x v="39"/>
    </i>
    <i r="1">
      <x/>
    </i>
    <i r="1">
      <x v="1"/>
    </i>
    <i r="1">
      <x v="3"/>
    </i>
    <i r="1">
      <x v="5"/>
    </i>
    <i r="1">
      <x v="6"/>
    </i>
    <i r="1">
      <x v="8"/>
    </i>
    <i>
      <x v="40"/>
    </i>
    <i r="1">
      <x/>
    </i>
    <i r="1">
      <x v="1"/>
    </i>
    <i r="1">
      <x v="2"/>
    </i>
    <i r="1">
      <x v="6"/>
    </i>
    <i>
      <x v="41"/>
    </i>
    <i r="1">
      <x v="1"/>
    </i>
    <i r="1">
      <x v="3"/>
    </i>
    <i r="1">
      <x v="5"/>
    </i>
    <i>
      <x v="42"/>
    </i>
    <i r="1">
      <x/>
    </i>
    <i r="1">
      <x v="1"/>
    </i>
    <i r="1">
      <x v="2"/>
    </i>
    <i r="1">
      <x v="3"/>
    </i>
    <i r="1">
      <x v="5"/>
    </i>
    <i>
      <x v="43"/>
    </i>
    <i r="1">
      <x/>
    </i>
    <i r="1">
      <x v="3"/>
    </i>
    <i r="1">
      <x v="4"/>
    </i>
    <i r="1">
      <x v="5"/>
    </i>
    <i r="1">
      <x v="11"/>
    </i>
    <i>
      <x v="44"/>
    </i>
    <i r="1">
      <x v="1"/>
    </i>
    <i r="1">
      <x v="2"/>
    </i>
    <i r="1">
      <x v="3"/>
    </i>
    <i r="1">
      <x v="5"/>
    </i>
    <i r="1">
      <x v="6"/>
    </i>
    <i r="1">
      <x v="7"/>
    </i>
    <i>
      <x v="45"/>
    </i>
    <i r="1">
      <x v="1"/>
    </i>
    <i r="1">
      <x v="3"/>
    </i>
    <i r="1">
      <x v="4"/>
    </i>
    <i r="1">
      <x v="12"/>
    </i>
    <i>
      <x v="46"/>
    </i>
    <i r="1">
      <x/>
    </i>
    <i r="1">
      <x v="1"/>
    </i>
    <i r="1">
      <x v="2"/>
    </i>
    <i r="1">
      <x v="4"/>
    </i>
    <i r="1">
      <x v="8"/>
    </i>
    <i r="1">
      <x v="11"/>
    </i>
    <i r="1">
      <x v="12"/>
    </i>
    <i r="1">
      <x v="15"/>
    </i>
    <i>
      <x v="47"/>
    </i>
    <i r="1">
      <x/>
    </i>
    <i r="1">
      <x v="2"/>
    </i>
    <i r="1">
      <x v="4"/>
    </i>
    <i r="1">
      <x v="6"/>
    </i>
    <i r="1">
      <x v="7"/>
    </i>
    <i>
      <x v="48"/>
    </i>
    <i r="1">
      <x/>
    </i>
    <i r="1">
      <x v="1"/>
    </i>
    <i r="1">
      <x v="2"/>
    </i>
    <i r="1">
      <x v="5"/>
    </i>
    <i>
      <x v="49"/>
    </i>
    <i r="1">
      <x/>
    </i>
    <i r="1">
      <x v="1"/>
    </i>
    <i r="1">
      <x v="2"/>
    </i>
    <i r="1">
      <x v="4"/>
    </i>
    <i r="1">
      <x v="5"/>
    </i>
    <i r="1">
      <x v="7"/>
    </i>
    <i>
      <x v="50"/>
    </i>
    <i r="1">
      <x/>
    </i>
    <i r="1">
      <x v="1"/>
    </i>
    <i r="1">
      <x v="2"/>
    </i>
    <i r="1">
      <x v="4"/>
    </i>
    <i r="1">
      <x v="5"/>
    </i>
    <i r="1">
      <x v="6"/>
    </i>
    <i r="1">
      <x v="9"/>
    </i>
    <i r="1">
      <x v="10"/>
    </i>
    <i>
      <x v="5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10"/>
    </i>
    <i>
      <x v="52"/>
    </i>
    <i r="1">
      <x v="1"/>
    </i>
    <i r="1">
      <x v="3"/>
    </i>
    <i r="1">
      <x v="4"/>
    </i>
    <i r="1">
      <x v="5"/>
    </i>
    <i r="1">
      <x v="6"/>
    </i>
    <i r="1">
      <x v="7"/>
    </i>
    <i r="1">
      <x v="10"/>
    </i>
    <i>
      <x v="53"/>
    </i>
    <i r="1">
      <x/>
    </i>
    <i r="1">
      <x v="1"/>
    </i>
    <i r="1">
      <x v="2"/>
    </i>
    <i r="1">
      <x v="3"/>
    </i>
    <i r="1">
      <x v="4"/>
    </i>
    <i r="1">
      <x v="5"/>
    </i>
    <i r="1">
      <x v="8"/>
    </i>
    <i>
      <x v="54"/>
    </i>
    <i r="1">
      <x v="2"/>
    </i>
    <i r="1">
      <x v="3"/>
    </i>
    <i r="1">
      <x v="4"/>
    </i>
    <i r="1">
      <x v="5"/>
    </i>
    <i r="1">
      <x v="6"/>
    </i>
    <i r="1">
      <x v="9"/>
    </i>
    <i>
      <x v="55"/>
    </i>
    <i r="1">
      <x/>
    </i>
    <i r="1">
      <x v="2"/>
    </i>
    <i r="1">
      <x v="3"/>
    </i>
    <i r="1">
      <x v="25"/>
    </i>
    <i>
      <x v="56"/>
    </i>
    <i r="1">
      <x/>
    </i>
    <i r="1">
      <x v="1"/>
    </i>
    <i r="1">
      <x v="2"/>
    </i>
    <i r="1">
      <x v="3"/>
    </i>
    <i r="1">
      <x v="4"/>
    </i>
    <i r="1">
      <x v="6"/>
    </i>
    <i r="1">
      <x v="7"/>
    </i>
    <i>
      <x v="57"/>
    </i>
    <i r="1">
      <x v="1"/>
    </i>
    <i r="1">
      <x v="2"/>
    </i>
    <i r="1">
      <x v="3"/>
    </i>
    <i r="1">
      <x v="6"/>
    </i>
    <i r="1">
      <x v="7"/>
    </i>
    <i>
      <x v="58"/>
    </i>
    <i r="1">
      <x v="2"/>
    </i>
    <i r="1">
      <x v="4"/>
    </i>
    <i r="1">
      <x v="6"/>
    </i>
    <i r="1">
      <x v="7"/>
    </i>
    <i r="1">
      <x v="8"/>
    </i>
    <i r="1">
      <x v="9"/>
    </i>
    <i>
      <x v="59"/>
    </i>
    <i r="1">
      <x v="2"/>
    </i>
    <i r="1">
      <x v="4"/>
    </i>
    <i r="1">
      <x v="5"/>
    </i>
    <i r="1">
      <x v="6"/>
    </i>
    <i r="1">
      <x v="8"/>
    </i>
    <i r="1">
      <x v="11"/>
    </i>
    <i>
      <x v="60"/>
    </i>
    <i r="1">
      <x/>
    </i>
    <i r="1">
      <x v="2"/>
    </i>
    <i r="1">
      <x v="4"/>
    </i>
    <i r="1">
      <x v="5"/>
    </i>
    <i r="1">
      <x v="6"/>
    </i>
    <i r="1">
      <x v="8"/>
    </i>
    <i r="1">
      <x v="11"/>
    </i>
    <i r="1">
      <x v="13"/>
    </i>
    <i r="1">
      <x v="14"/>
    </i>
    <i>
      <x v="61"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10"/>
    </i>
    <i>
      <x v="62"/>
    </i>
    <i r="1">
      <x v="1"/>
    </i>
    <i r="1">
      <x v="2"/>
    </i>
    <i r="1">
      <x v="3"/>
    </i>
    <i r="1">
      <x v="4"/>
    </i>
    <i r="1">
      <x v="6"/>
    </i>
    <i r="1">
      <x v="9"/>
    </i>
    <i r="1">
      <x v="11"/>
    </i>
    <i r="1">
      <x v="16"/>
    </i>
    <i>
      <x v="63"/>
    </i>
    <i r="1">
      <x/>
    </i>
    <i r="1">
      <x v="1"/>
    </i>
    <i r="1">
      <x v="3"/>
    </i>
    <i r="1">
      <x v="4"/>
    </i>
    <i r="1">
      <x v="5"/>
    </i>
    <i r="1">
      <x v="7"/>
    </i>
    <i r="1">
      <x v="9"/>
    </i>
    <i r="1">
      <x v="10"/>
    </i>
    <i r="1">
      <x v="12"/>
    </i>
    <i>
      <x v="64"/>
    </i>
    <i r="1">
      <x v="2"/>
    </i>
    <i r="1">
      <x v="4"/>
    </i>
    <i r="1">
      <x v="7"/>
    </i>
    <i r="1">
      <x v="8"/>
    </i>
    <i r="1">
      <x v="9"/>
    </i>
    <i r="1">
      <x v="17"/>
    </i>
    <i>
      <x v="65"/>
    </i>
    <i r="1">
      <x v="7"/>
    </i>
    <i>
      <x v="66"/>
    </i>
    <i r="1">
      <x v="8"/>
    </i>
    <i r="1">
      <x v="11"/>
    </i>
    <i r="1">
      <x v="12"/>
    </i>
    <i r="1">
      <x v="15"/>
    </i>
    <i r="1">
      <x v="19"/>
    </i>
    <i>
      <x v="67"/>
    </i>
    <i r="1">
      <x/>
    </i>
    <i r="1">
      <x v="2"/>
    </i>
    <i r="1">
      <x v="5"/>
    </i>
    <i r="1">
      <x v="6"/>
    </i>
    <i r="1">
      <x v="9"/>
    </i>
    <i r="1">
      <x v="11"/>
    </i>
    <i>
      <x v="68"/>
    </i>
    <i r="1">
      <x v="1"/>
    </i>
    <i r="1">
      <x v="2"/>
    </i>
    <i r="1">
      <x v="3"/>
    </i>
    <i r="1">
      <x v="4"/>
    </i>
    <i r="1">
      <x v="5"/>
    </i>
    <i>
      <x v="69"/>
    </i>
    <i r="1">
      <x/>
    </i>
    <i r="1">
      <x v="4"/>
    </i>
    <i r="1">
      <x v="5"/>
    </i>
    <i r="1">
      <x v="8"/>
    </i>
    <i r="1">
      <x v="10"/>
    </i>
    <i r="1">
      <x v="11"/>
    </i>
    <i r="1">
      <x v="16"/>
    </i>
    <i>
      <x v="70"/>
    </i>
    <i r="1">
      <x v="2"/>
    </i>
    <i r="1">
      <x v="4"/>
    </i>
    <i r="1">
      <x v="6"/>
    </i>
    <i r="1">
      <x v="7"/>
    </i>
    <i r="1">
      <x v="8"/>
    </i>
    <i>
      <x v="71"/>
    </i>
    <i r="1">
      <x/>
    </i>
    <i r="1">
      <x v="1"/>
    </i>
    <i r="1">
      <x v="2"/>
    </i>
    <i r="1">
      <x v="3"/>
    </i>
    <i r="1">
      <x v="8"/>
    </i>
    <i r="1">
      <x v="9"/>
    </i>
    <i r="1">
      <x v="10"/>
    </i>
    <i r="1">
      <x v="14"/>
    </i>
    <i r="1">
      <x v="18"/>
    </i>
    <i>
      <x v="72"/>
    </i>
    <i r="1">
      <x v="8"/>
    </i>
    <i r="1">
      <x v="9"/>
    </i>
    <i>
      <x v="73"/>
    </i>
    <i r="1">
      <x v="1"/>
    </i>
    <i r="1">
      <x v="4"/>
    </i>
    <i r="1">
      <x v="5"/>
    </i>
    <i r="1">
      <x v="12"/>
    </i>
    <i r="1">
      <x v="14"/>
    </i>
    <i r="1">
      <x v="19"/>
    </i>
    <i>
      <x v="74"/>
    </i>
    <i r="1">
      <x v="1"/>
    </i>
    <i r="1">
      <x v="4"/>
    </i>
    <i r="1">
      <x v="6"/>
    </i>
    <i r="1">
      <x v="7"/>
    </i>
    <i r="1">
      <x v="11"/>
    </i>
    <i>
      <x v="75"/>
    </i>
    <i r="1">
      <x v="2"/>
    </i>
    <i r="1">
      <x v="4"/>
    </i>
    <i r="1">
      <x v="8"/>
    </i>
    <i r="1">
      <x v="9"/>
    </i>
    <i r="1">
      <x v="10"/>
    </i>
    <i>
      <x v="76"/>
    </i>
    <i r="1">
      <x v="2"/>
    </i>
    <i r="1">
      <x v="4"/>
    </i>
    <i r="1">
      <x v="6"/>
    </i>
    <i r="1">
      <x v="11"/>
    </i>
    <i r="1">
      <x v="13"/>
    </i>
    <i>
      <x v="77"/>
    </i>
    <i r="1">
      <x/>
    </i>
    <i r="1">
      <x v="2"/>
    </i>
    <i r="1">
      <x v="3"/>
    </i>
    <i r="1">
      <x v="5"/>
    </i>
    <i r="1">
      <x v="11"/>
    </i>
    <i r="1">
      <x v="12"/>
    </i>
    <i r="1">
      <x v="13"/>
    </i>
    <i r="1">
      <x v="14"/>
    </i>
    <i>
      <x v="78"/>
    </i>
    <i r="1">
      <x v="3"/>
    </i>
    <i r="1">
      <x v="5"/>
    </i>
    <i r="1">
      <x v="7"/>
    </i>
    <i r="1">
      <x v="8"/>
    </i>
    <i>
      <x v="79"/>
    </i>
    <i r="1">
      <x v="4"/>
    </i>
    <i r="1">
      <x v="10"/>
    </i>
    <i>
      <x v="80"/>
    </i>
    <i r="1">
      <x v="1"/>
    </i>
    <i r="1">
      <x v="3"/>
    </i>
    <i r="1">
      <x v="6"/>
    </i>
    <i>
      <x v="81"/>
    </i>
    <i r="1">
      <x v="4"/>
    </i>
    <i r="1">
      <x v="5"/>
    </i>
    <i r="1">
      <x v="6"/>
    </i>
    <i r="1">
      <x v="9"/>
    </i>
    <i>
      <x v="82"/>
    </i>
    <i r="1">
      <x/>
    </i>
    <i r="1">
      <x v="1"/>
    </i>
    <i r="1">
      <x v="2"/>
    </i>
    <i r="1">
      <x v="4"/>
    </i>
    <i r="1">
      <x v="11"/>
    </i>
    <i r="1">
      <x v="15"/>
    </i>
    <i r="1">
      <x v="28"/>
    </i>
    <i>
      <x v="83"/>
    </i>
    <i r="1">
      <x/>
    </i>
    <i r="1">
      <x v="2"/>
    </i>
    <i r="1">
      <x v="5"/>
    </i>
    <i r="1">
      <x v="6"/>
    </i>
    <i r="1">
      <x v="7"/>
    </i>
    <i r="1">
      <x v="8"/>
    </i>
    <i r="1">
      <x v="12"/>
    </i>
    <i r="1">
      <x v="13"/>
    </i>
    <i r="1">
      <x v="15"/>
    </i>
    <i r="1">
      <x v="17"/>
    </i>
    <i r="1">
      <x v="21"/>
    </i>
    <i r="1">
      <x v="28"/>
    </i>
    <i>
      <x v="84"/>
    </i>
    <i r="1">
      <x v="1"/>
    </i>
    <i r="1">
      <x v="3"/>
    </i>
    <i r="1">
      <x v="8"/>
    </i>
    <i r="1">
      <x v="12"/>
    </i>
    <i>
      <x v="85"/>
    </i>
    <i r="1">
      <x/>
    </i>
    <i r="1">
      <x v="1"/>
    </i>
    <i r="1">
      <x v="5"/>
    </i>
    <i r="1">
      <x v="12"/>
    </i>
    <i>
      <x v="86"/>
    </i>
    <i r="1">
      <x v="1"/>
    </i>
    <i r="1">
      <x v="6"/>
    </i>
    <i r="1">
      <x v="7"/>
    </i>
    <i>
      <x v="87"/>
    </i>
    <i r="1">
      <x v="4"/>
    </i>
    <i r="1">
      <x v="5"/>
    </i>
    <i r="1">
      <x v="7"/>
    </i>
    <i r="1">
      <x v="15"/>
    </i>
    <i>
      <x v="88"/>
    </i>
    <i r="1">
      <x v="1"/>
    </i>
    <i r="1">
      <x v="3"/>
    </i>
    <i r="1">
      <x v="9"/>
    </i>
    <i>
      <x v="89"/>
    </i>
    <i r="1">
      <x v="3"/>
    </i>
    <i r="1">
      <x v="8"/>
    </i>
    <i r="1">
      <x v="9"/>
    </i>
    <i r="1">
      <x v="15"/>
    </i>
    <i r="1">
      <x v="22"/>
    </i>
    <i>
      <x v="90"/>
    </i>
    <i r="1">
      <x v="3"/>
    </i>
    <i r="1">
      <x v="7"/>
    </i>
    <i r="1">
      <x v="13"/>
    </i>
    <i>
      <x v="91"/>
    </i>
    <i r="1">
      <x v="13"/>
    </i>
    <i r="1">
      <x v="20"/>
    </i>
    <i r="1">
      <x v="21"/>
    </i>
    <i r="1">
      <x v="23"/>
    </i>
    <i r="1">
      <x v="34"/>
    </i>
    <i>
      <x v="92"/>
    </i>
    <i r="1">
      <x v="2"/>
    </i>
    <i r="1">
      <x v="36"/>
    </i>
    <i>
      <x v="93"/>
    </i>
    <i r="1">
      <x/>
    </i>
    <i r="1">
      <x v="1"/>
    </i>
    <i r="1">
      <x v="3"/>
    </i>
    <i r="1">
      <x v="6"/>
    </i>
    <i r="1">
      <x v="12"/>
    </i>
    <i r="1">
      <x v="17"/>
    </i>
    <i>
      <x v="94"/>
    </i>
    <i r="1">
      <x v="3"/>
    </i>
    <i r="1">
      <x v="4"/>
    </i>
    <i>
      <x v="95"/>
    </i>
    <i r="1">
      <x/>
    </i>
    <i r="1">
      <x v="4"/>
    </i>
    <i r="1">
      <x v="10"/>
    </i>
    <i r="1">
      <x v="18"/>
    </i>
    <i>
      <x v="96"/>
    </i>
    <i r="1">
      <x v="2"/>
    </i>
    <i r="1">
      <x v="8"/>
    </i>
    <i r="1">
      <x v="12"/>
    </i>
    <i>
      <x v="97"/>
    </i>
    <i r="1">
      <x/>
    </i>
    <i r="1">
      <x v="1"/>
    </i>
    <i r="1">
      <x v="2"/>
    </i>
    <i r="1">
      <x v="4"/>
    </i>
    <i r="1">
      <x v="8"/>
    </i>
    <i r="1">
      <x v="10"/>
    </i>
    <i r="1">
      <x v="22"/>
    </i>
    <i>
      <x v="98"/>
    </i>
    <i r="1">
      <x v="2"/>
    </i>
    <i r="1">
      <x v="3"/>
    </i>
    <i>
      <x v="99"/>
    </i>
    <i r="1">
      <x v="1"/>
    </i>
    <i r="1">
      <x v="6"/>
    </i>
    <i r="1">
      <x v="7"/>
    </i>
    <i r="1">
      <x v="21"/>
    </i>
    <i>
      <x v="100"/>
    </i>
    <i r="1">
      <x v="4"/>
    </i>
    <i r="1">
      <x v="7"/>
    </i>
    <i>
      <x v="101"/>
    </i>
    <i r="1">
      <x v="1"/>
    </i>
    <i r="1">
      <x v="8"/>
    </i>
    <i r="1">
      <x v="10"/>
    </i>
    <i>
      <x v="102"/>
    </i>
    <i r="1">
      <x v="3"/>
    </i>
    <i r="1">
      <x v="10"/>
    </i>
    <i r="1">
      <x v="28"/>
    </i>
    <i>
      <x v="103"/>
    </i>
    <i r="1">
      <x v="19"/>
    </i>
    <i r="1">
      <x v="23"/>
    </i>
    <i>
      <x v="104"/>
    </i>
    <i r="1">
      <x v="5"/>
    </i>
    <i r="1">
      <x v="21"/>
    </i>
    <i r="1">
      <x v="32"/>
    </i>
    <i>
      <x v="105"/>
    </i>
    <i r="1">
      <x v="19"/>
    </i>
    <i>
      <x v="106"/>
    </i>
    <i r="1">
      <x v="3"/>
    </i>
    <i r="1">
      <x v="5"/>
    </i>
    <i>
      <x v="107"/>
    </i>
    <i r="1">
      <x v="1"/>
    </i>
    <i r="1">
      <x v="2"/>
    </i>
    <i r="1">
      <x v="14"/>
    </i>
    <i>
      <x v="108"/>
    </i>
    <i r="1">
      <x v="8"/>
    </i>
    <i r="1">
      <x v="17"/>
    </i>
    <i r="1">
      <x v="21"/>
    </i>
    <i r="1">
      <x v="33"/>
    </i>
    <i>
      <x v="109"/>
    </i>
    <i r="1">
      <x v="3"/>
    </i>
    <i>
      <x v="110"/>
    </i>
    <i r="1">
      <x/>
    </i>
    <i r="1">
      <x v="2"/>
    </i>
    <i r="1">
      <x v="3"/>
    </i>
    <i r="1">
      <x v="4"/>
    </i>
    <i r="1">
      <x v="25"/>
    </i>
    <i>
      <x v="111"/>
    </i>
    <i r="1">
      <x v="32"/>
    </i>
    <i>
      <x v="112"/>
    </i>
    <i r="1">
      <x v="16"/>
    </i>
    <i r="1">
      <x v="29"/>
    </i>
    <i>
      <x v="113"/>
    </i>
    <i r="1">
      <x v="6"/>
    </i>
    <i>
      <x v="114"/>
    </i>
    <i r="1">
      <x v="2"/>
    </i>
    <i r="1">
      <x v="14"/>
    </i>
    <i r="1">
      <x v="24"/>
    </i>
    <i>
      <x v="115"/>
    </i>
    <i r="1">
      <x/>
    </i>
    <i r="1">
      <x v="27"/>
    </i>
    <i>
      <x v="116"/>
    </i>
    <i r="1">
      <x v="3"/>
    </i>
    <i r="1">
      <x v="23"/>
    </i>
    <i r="1">
      <x v="25"/>
    </i>
    <i>
      <x v="117"/>
    </i>
    <i r="1">
      <x v="16"/>
    </i>
    <i>
      <x v="118"/>
    </i>
    <i r="1">
      <x v="1"/>
    </i>
    <i r="1">
      <x v="22"/>
    </i>
    <i r="1">
      <x v="26"/>
    </i>
    <i r="1">
      <x v="29"/>
    </i>
    <i>
      <x v="119"/>
    </i>
    <i r="1">
      <x v="24"/>
    </i>
    <i>
      <x v="120"/>
    </i>
    <i r="1">
      <x v="1"/>
    </i>
    <i r="1">
      <x v="6"/>
    </i>
    <i r="1">
      <x v="18"/>
    </i>
    <i>
      <x v="121"/>
    </i>
    <i r="1">
      <x v="4"/>
    </i>
    <i r="1">
      <x v="7"/>
    </i>
    <i r="1">
      <x v="19"/>
    </i>
    <i>
      <x v="122"/>
    </i>
    <i r="1">
      <x v="1"/>
    </i>
    <i r="1">
      <x v="14"/>
    </i>
    <i r="1">
      <x v="29"/>
    </i>
    <i>
      <x v="123"/>
    </i>
    <i r="1">
      <x v="2"/>
    </i>
    <i>
      <x v="124"/>
    </i>
    <i r="1">
      <x v="3"/>
    </i>
    <i>
      <x v="125"/>
    </i>
    <i r="1">
      <x v="3"/>
    </i>
    <i r="1">
      <x v="5"/>
    </i>
    <i r="1">
      <x v="31"/>
    </i>
    <i>
      <x v="126"/>
    </i>
    <i r="1">
      <x v="21"/>
    </i>
    <i>
      <x v="127"/>
    </i>
    <i r="1">
      <x v="3"/>
    </i>
    <i>
      <x v="128"/>
    </i>
    <i r="1">
      <x v="5"/>
    </i>
    <i>
      <x v="129"/>
    </i>
    <i r="1">
      <x v="1"/>
    </i>
    <i r="1">
      <x v="6"/>
    </i>
    <i>
      <x v="130"/>
    </i>
    <i r="1">
      <x v="9"/>
    </i>
    <i r="1">
      <x v="27"/>
    </i>
    <i>
      <x v="131"/>
    </i>
    <i r="1">
      <x v="3"/>
    </i>
    <i r="1">
      <x v="7"/>
    </i>
    <i r="1">
      <x v="30"/>
    </i>
    <i>
      <x v="132"/>
    </i>
    <i r="1">
      <x v="6"/>
    </i>
    <i>
      <x v="133"/>
    </i>
    <i r="1">
      <x v="2"/>
    </i>
    <i r="1">
      <x v="24"/>
    </i>
    <i>
      <x v="134"/>
    </i>
    <i r="1">
      <x/>
    </i>
    <i r="1">
      <x v="2"/>
    </i>
    <i r="1">
      <x v="5"/>
    </i>
    <i>
      <x v="135"/>
    </i>
    <i r="1">
      <x v="8"/>
    </i>
    <i>
      <x v="136"/>
    </i>
    <i r="1">
      <x v="3"/>
    </i>
    <i>
      <x v="137"/>
    </i>
    <i r="1">
      <x v="3"/>
    </i>
    <i r="1">
      <x v="10"/>
    </i>
    <i>
      <x v="138"/>
    </i>
    <i r="1">
      <x v="35"/>
    </i>
    <i>
      <x v="139"/>
    </i>
    <i r="1">
      <x v="13"/>
    </i>
    <i>
      <x v="140"/>
    </i>
    <i r="1">
      <x v="2"/>
    </i>
    <i>
      <x v="141"/>
    </i>
    <i r="1">
      <x v="2"/>
    </i>
    <i>
      <x v="142"/>
    </i>
    <i r="1">
      <x v="1"/>
    </i>
    <i r="1">
      <x v="6"/>
    </i>
    <i r="1">
      <x v="40"/>
    </i>
    <i>
      <x v="143"/>
    </i>
    <i r="1">
      <x v="8"/>
    </i>
    <i>
      <x v="144"/>
    </i>
    <i r="1">
      <x v="1"/>
    </i>
    <i r="1">
      <x v="41"/>
    </i>
    <i>
      <x v="145"/>
    </i>
    <i r="1">
      <x v="1"/>
    </i>
    <i r="1">
      <x v="3"/>
    </i>
    <i>
      <x v="146"/>
    </i>
    <i r="1">
      <x v="3"/>
    </i>
    <i>
      <x v="147"/>
    </i>
    <i r="1">
      <x v="2"/>
    </i>
    <i r="1">
      <x v="9"/>
    </i>
    <i r="1">
      <x v="11"/>
    </i>
    <i r="1">
      <x v="35"/>
    </i>
    <i>
      <x v="148"/>
    </i>
    <i r="1">
      <x v="2"/>
    </i>
    <i>
      <x v="149"/>
    </i>
    <i r="1">
      <x v="4"/>
    </i>
    <i>
      <x v="150"/>
    </i>
    <i r="1">
      <x v="3"/>
    </i>
    <i>
      <x v="151"/>
    </i>
    <i r="1">
      <x v="5"/>
    </i>
    <i r="1">
      <x v="6"/>
    </i>
    <i r="1">
      <x v="10"/>
    </i>
    <i r="1">
      <x v="36"/>
    </i>
    <i r="1">
      <x v="38"/>
    </i>
    <i>
      <x v="152"/>
    </i>
    <i r="1">
      <x v="4"/>
    </i>
    <i r="1">
      <x v="33"/>
    </i>
    <i>
      <x v="153"/>
    </i>
    <i r="1">
      <x v="5"/>
    </i>
    <i>
      <x v="154"/>
    </i>
    <i r="1">
      <x v="6"/>
    </i>
    <i>
      <x v="155"/>
    </i>
    <i r="1">
      <x v="7"/>
    </i>
    <i r="1">
      <x v="9"/>
    </i>
    <i>
      <x v="156"/>
    </i>
    <i r="1">
      <x v="3"/>
    </i>
    <i>
      <x v="157"/>
    </i>
    <i r="1">
      <x v="3"/>
    </i>
    <i>
      <x v="158"/>
    </i>
    <i r="1">
      <x v="2"/>
    </i>
    <i>
      <x v="159"/>
    </i>
    <i r="1">
      <x v="9"/>
    </i>
    <i>
      <x v="160"/>
    </i>
    <i r="1">
      <x v="9"/>
    </i>
    <i r="1">
      <x v="36"/>
    </i>
    <i r="1">
      <x v="37"/>
    </i>
    <i>
      <x v="161"/>
    </i>
    <i r="1">
      <x v="5"/>
    </i>
    <i>
      <x v="162"/>
    </i>
    <i r="1">
      <x v="4"/>
    </i>
    <i>
      <x v="163"/>
    </i>
    <i r="1">
      <x v="6"/>
    </i>
    <i>
      <x v="164"/>
    </i>
    <i r="1">
      <x v="4"/>
    </i>
    <i r="1">
      <x v="5"/>
    </i>
    <i>
      <x v="165"/>
    </i>
    <i r="1">
      <x v="2"/>
    </i>
    <i>
      <x v="166"/>
    </i>
    <i r="1">
      <x v="3"/>
    </i>
    <i r="1">
      <x v="7"/>
    </i>
    <i r="1">
      <x v="36"/>
    </i>
    <i r="1">
      <x v="39"/>
    </i>
    <i>
      <x v="167"/>
    </i>
    <i r="1">
      <x v="6"/>
    </i>
    <i>
      <x v="168"/>
    </i>
    <i r="1">
      <x v="1"/>
    </i>
    <i r="1">
      <x v="3"/>
    </i>
    <i>
      <x v="169"/>
    </i>
    <i r="1">
      <x v="9"/>
    </i>
    <i>
      <x v="170"/>
    </i>
    <i r="1">
      <x v="4"/>
    </i>
    <i>
      <x v="171"/>
    </i>
    <i r="1">
      <x v="4"/>
    </i>
    <i r="1">
      <x v="7"/>
    </i>
    <i>
      <x v="172"/>
    </i>
    <i r="1">
      <x v="3"/>
    </i>
    <i>
      <x v="173"/>
    </i>
    <i r="1">
      <x v="1"/>
    </i>
    <i r="1">
      <x v="7"/>
    </i>
    <i>
      <x v="174"/>
    </i>
    <i r="1">
      <x v="1"/>
    </i>
    <i>
      <x v="175"/>
    </i>
    <i r="1">
      <x v="5"/>
    </i>
    <i>
      <x v="176"/>
    </i>
    <i r="1">
      <x v="10"/>
    </i>
    <i>
      <x v="177"/>
    </i>
    <i r="1">
      <x v="20"/>
    </i>
    <i>
      <x v="178"/>
    </i>
    <i r="1">
      <x v="18"/>
    </i>
    <i>
      <x v="179"/>
    </i>
    <i r="1">
      <x v="10"/>
    </i>
    <i>
      <x v="180"/>
    </i>
    <i r="1">
      <x v="8"/>
    </i>
    <i>
      <x v="181"/>
    </i>
    <i r="1">
      <x v="4"/>
    </i>
    <i r="1">
      <x v="9"/>
    </i>
    <i>
      <x v="182"/>
    </i>
    <i r="1">
      <x v="3"/>
    </i>
    <i r="1">
      <x v="7"/>
    </i>
    <i>
      <x v="183"/>
    </i>
    <i r="1">
      <x v="3"/>
    </i>
    <i>
      <x v="184"/>
    </i>
    <i r="1">
      <x v="3"/>
    </i>
    <i>
      <x v="185"/>
    </i>
    <i r="1">
      <x v="14"/>
    </i>
    <i>
      <x v="186"/>
    </i>
    <i r="1">
      <x v="7"/>
    </i>
    <i>
      <x v="187"/>
    </i>
    <i r="1">
      <x v="7"/>
    </i>
    <i>
      <x v="188"/>
    </i>
    <i r="1">
      <x v="5"/>
    </i>
    <i>
      <x v="189"/>
    </i>
    <i r="1">
      <x v="7"/>
    </i>
    <i>
      <x v="190"/>
    </i>
    <i r="1">
      <x v="2"/>
    </i>
    <i>
      <x v="191"/>
    </i>
    <i r="1">
      <x v="42"/>
    </i>
    <i t="grand">
      <x/>
    </i>
  </rowItems>
  <colItems count="1">
    <i/>
  </colItems>
  <dataFields count="1">
    <dataField name="Sum of REGISTERED" fld="1" baseField="0" baseItem="0"/>
  </dataField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4000000}" name="PivotTable5" cacheId="2" applyNumberFormats="0" applyBorderFormats="0" applyFontFormats="0" applyPatternFormats="0" applyAlignmentFormats="0" applyWidthHeightFormats="1" dataCaption="Values" updatedVersion="5" minRefreshableVersion="3" useAutoFormatting="1" createdVersion="5" indent="0" compact="0" outline="1" outlineData="1" compactData="0" multipleFieldFilters="0">
  <location ref="AD11:AD33" firstHeaderRow="1" firstDataRow="1" firstDataCol="1"/>
  <pivotFields count="1">
    <pivotField axis="axisRow" compact="0" showAll="0">
      <items count="22">
        <item x="0"/>
        <item x="1"/>
        <item x="14"/>
        <item x="7"/>
        <item x="8"/>
        <item x="5"/>
        <item x="6"/>
        <item x="2"/>
        <item x="3"/>
        <item x="4"/>
        <item x="9"/>
        <item x="11"/>
        <item x="13"/>
        <item x="12"/>
        <item x="10"/>
        <item x="17"/>
        <item x="15"/>
        <item x="18"/>
        <item x="16"/>
        <item x="19"/>
        <item x="20"/>
        <item t="default"/>
      </items>
    </pivotField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pivotTableStyleInfo name="PivotStylePreset2_Accen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28"/>
  <sheetViews>
    <sheetView workbookViewId="0">
      <selection activeCell="A3" sqref="A3"/>
    </sheetView>
  </sheetViews>
  <sheetFormatPr defaultColWidth="8.7265625" defaultRowHeight="14.5"/>
  <cols>
    <col min="1" max="1" width="11.6328125"/>
    <col min="2" max="2" width="17.26953125"/>
  </cols>
  <sheetData>
    <row r="3" spans="1:2">
      <c r="A3" t="s">
        <v>0</v>
      </c>
      <c r="B3" t="s">
        <v>1</v>
      </c>
    </row>
    <row r="4" spans="1:2">
      <c r="A4">
        <v>0.02</v>
      </c>
      <c r="B4">
        <v>4.96</v>
      </c>
    </row>
    <row r="5" spans="1:2">
      <c r="A5">
        <v>0.04</v>
      </c>
      <c r="B5">
        <v>6.74</v>
      </c>
    </row>
    <row r="6" spans="1:2">
      <c r="A6">
        <v>0.06</v>
      </c>
      <c r="B6">
        <v>5.1894999999999998</v>
      </c>
    </row>
    <row r="7" spans="1:2">
      <c r="A7">
        <v>0.08</v>
      </c>
      <c r="B7">
        <v>4.3437000000000001</v>
      </c>
    </row>
    <row r="8" spans="1:2">
      <c r="A8">
        <v>0.1</v>
      </c>
      <c r="B8">
        <v>11.632099999999999</v>
      </c>
    </row>
    <row r="9" spans="1:2">
      <c r="A9">
        <v>0.12</v>
      </c>
      <c r="B9">
        <v>15.9712</v>
      </c>
    </row>
    <row r="10" spans="1:2">
      <c r="A10">
        <v>0.14000000000000001</v>
      </c>
      <c r="B10">
        <v>36.720999999999997</v>
      </c>
    </row>
    <row r="11" spans="1:2">
      <c r="A11">
        <v>0.16</v>
      </c>
      <c r="B11">
        <v>60.333900000000099</v>
      </c>
    </row>
    <row r="12" spans="1:2">
      <c r="A12">
        <v>0.18</v>
      </c>
      <c r="B12">
        <v>35.639400000000002</v>
      </c>
    </row>
    <row r="13" spans="1:2">
      <c r="A13">
        <v>0.2</v>
      </c>
      <c r="B13">
        <v>55.537500000000001</v>
      </c>
    </row>
    <row r="14" spans="1:2">
      <c r="A14">
        <v>0.22</v>
      </c>
      <c r="B14">
        <v>64.264899999999997</v>
      </c>
    </row>
    <row r="15" spans="1:2">
      <c r="A15">
        <v>0.24</v>
      </c>
      <c r="B15">
        <v>33.8399</v>
      </c>
    </row>
    <row r="16" spans="1:2">
      <c r="A16">
        <v>0.26</v>
      </c>
      <c r="B16">
        <v>22.173200000000001</v>
      </c>
    </row>
    <row r="17" spans="1:2">
      <c r="A17">
        <v>0.28000000000000003</v>
      </c>
      <c r="B17">
        <v>9.3178000000000001</v>
      </c>
    </row>
    <row r="18" spans="1:2">
      <c r="A18">
        <v>0.3</v>
      </c>
      <c r="B18">
        <v>13.929</v>
      </c>
    </row>
    <row r="19" spans="1:2">
      <c r="A19">
        <v>0.32</v>
      </c>
      <c r="B19">
        <v>9.41</v>
      </c>
    </row>
    <row r="20" spans="1:2">
      <c r="A20">
        <v>0.34</v>
      </c>
      <c r="B20">
        <v>7.9489000000000001</v>
      </c>
    </row>
    <row r="21" spans="1:2">
      <c r="A21">
        <v>0.36</v>
      </c>
      <c r="B21">
        <v>7.8186999999999998</v>
      </c>
    </row>
    <row r="22" spans="1:2">
      <c r="A22">
        <v>0.38</v>
      </c>
      <c r="B22">
        <v>4.4634</v>
      </c>
    </row>
    <row r="23" spans="1:2">
      <c r="A23">
        <v>0.4</v>
      </c>
      <c r="B23">
        <v>9.1628000000000007</v>
      </c>
    </row>
    <row r="24" spans="1:2">
      <c r="A24">
        <v>0.42</v>
      </c>
      <c r="B24">
        <v>5.9683999999999999</v>
      </c>
    </row>
    <row r="25" spans="1:2">
      <c r="A25">
        <v>0.44</v>
      </c>
      <c r="B25">
        <v>2.5299999999999998</v>
      </c>
    </row>
    <row r="26" spans="1:2">
      <c r="A26">
        <v>0.46</v>
      </c>
      <c r="B26">
        <v>5.08</v>
      </c>
    </row>
    <row r="27" spans="1:2">
      <c r="A27" t="s">
        <v>2</v>
      </c>
    </row>
    <row r="28" spans="1:2">
      <c r="A28" t="s">
        <v>3</v>
      </c>
      <c r="B28">
        <v>432.9753</v>
      </c>
    </row>
  </sheetData>
  <pageMargins left="0.75" right="0.75" top="1" bottom="1" header="0.5" footer="0.5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7"/>
  <sheetViews>
    <sheetView workbookViewId="0">
      <selection activeCell="C6" sqref="C6"/>
    </sheetView>
  </sheetViews>
  <sheetFormatPr defaultColWidth="8.7265625" defaultRowHeight="14.5"/>
  <cols>
    <col min="1" max="1" width="12"/>
    <col min="2" max="375" width="19"/>
    <col min="376" max="376" width="19.54296875"/>
    <col min="377" max="377" width="24.26953125"/>
  </cols>
  <sheetData>
    <row r="1" spans="1:3">
      <c r="A1" t="s">
        <v>4</v>
      </c>
      <c r="B1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>
        <v>0</v>
      </c>
      <c r="B4">
        <v>4557</v>
      </c>
      <c r="C4">
        <v>4557</v>
      </c>
    </row>
    <row r="5" spans="1:3">
      <c r="A5">
        <v>1</v>
      </c>
      <c r="B5">
        <v>6090</v>
      </c>
      <c r="C5">
        <v>5945</v>
      </c>
    </row>
    <row r="6" spans="1:3">
      <c r="A6">
        <v>2</v>
      </c>
      <c r="B6">
        <v>5815</v>
      </c>
      <c r="C6">
        <v>5619</v>
      </c>
    </row>
    <row r="7" spans="1:3">
      <c r="A7">
        <v>3</v>
      </c>
      <c r="B7">
        <v>6911</v>
      </c>
      <c r="C7">
        <v>6611</v>
      </c>
    </row>
    <row r="8" spans="1:3">
      <c r="A8">
        <v>4</v>
      </c>
      <c r="B8">
        <v>5063</v>
      </c>
      <c r="C8">
        <v>4783</v>
      </c>
    </row>
    <row r="9" spans="1:3">
      <c r="A9">
        <v>5</v>
      </c>
      <c r="B9">
        <v>4225</v>
      </c>
      <c r="C9">
        <v>3940</v>
      </c>
    </row>
    <row r="10" spans="1:3">
      <c r="A10">
        <v>6</v>
      </c>
      <c r="B10">
        <v>3509</v>
      </c>
      <c r="C10">
        <v>3239</v>
      </c>
    </row>
    <row r="11" spans="1:3">
      <c r="A11">
        <v>7</v>
      </c>
      <c r="B11">
        <v>3598</v>
      </c>
      <c r="C11">
        <v>3346</v>
      </c>
    </row>
    <row r="12" spans="1:3">
      <c r="A12">
        <v>8</v>
      </c>
      <c r="B12">
        <v>2183</v>
      </c>
      <c r="C12">
        <v>1967</v>
      </c>
    </row>
    <row r="13" spans="1:3">
      <c r="A13">
        <v>9</v>
      </c>
      <c r="B13">
        <v>2497</v>
      </c>
      <c r="C13">
        <v>2254</v>
      </c>
    </row>
    <row r="14" spans="1:3">
      <c r="A14">
        <v>10</v>
      </c>
      <c r="B14">
        <v>1785</v>
      </c>
      <c r="C14">
        <v>1605</v>
      </c>
    </row>
    <row r="15" spans="1:3">
      <c r="A15">
        <v>11</v>
      </c>
      <c r="B15">
        <v>1198</v>
      </c>
      <c r="C15">
        <v>1000</v>
      </c>
    </row>
    <row r="16" spans="1:3">
      <c r="A16">
        <v>12</v>
      </c>
      <c r="B16">
        <v>1026</v>
      </c>
      <c r="C16">
        <v>858</v>
      </c>
    </row>
    <row r="17" spans="1:3">
      <c r="A17">
        <v>13</v>
      </c>
      <c r="B17">
        <v>715</v>
      </c>
      <c r="C17">
        <v>611</v>
      </c>
    </row>
    <row r="18" spans="1:3">
      <c r="A18">
        <v>14</v>
      </c>
      <c r="B18">
        <v>857</v>
      </c>
      <c r="C18">
        <v>745</v>
      </c>
    </row>
    <row r="19" spans="1:3">
      <c r="A19">
        <v>15</v>
      </c>
      <c r="B19">
        <v>589</v>
      </c>
      <c r="C19">
        <v>469</v>
      </c>
    </row>
    <row r="20" spans="1:3">
      <c r="A20">
        <v>16</v>
      </c>
      <c r="B20">
        <v>366</v>
      </c>
      <c r="C20">
        <v>302</v>
      </c>
    </row>
    <row r="21" spans="1:3">
      <c r="A21">
        <v>17</v>
      </c>
      <c r="B21">
        <v>354</v>
      </c>
      <c r="C21">
        <v>286</v>
      </c>
    </row>
    <row r="22" spans="1:3">
      <c r="A22">
        <v>18</v>
      </c>
      <c r="B22">
        <v>502</v>
      </c>
      <c r="C22">
        <v>430</v>
      </c>
    </row>
    <row r="23" spans="1:3">
      <c r="A23">
        <v>19</v>
      </c>
      <c r="B23">
        <v>476</v>
      </c>
      <c r="C23">
        <v>381</v>
      </c>
    </row>
    <row r="24" spans="1:3">
      <c r="A24">
        <v>20</v>
      </c>
      <c r="B24">
        <v>303</v>
      </c>
      <c r="C24">
        <v>263</v>
      </c>
    </row>
    <row r="25" spans="1:3">
      <c r="A25">
        <v>21</v>
      </c>
      <c r="B25">
        <v>716</v>
      </c>
      <c r="C25">
        <v>569</v>
      </c>
    </row>
    <row r="26" spans="1:3">
      <c r="A26">
        <v>22</v>
      </c>
      <c r="B26">
        <v>409</v>
      </c>
      <c r="C26">
        <v>321</v>
      </c>
    </row>
    <row r="27" spans="1:3">
      <c r="A27">
        <v>23</v>
      </c>
      <c r="B27">
        <v>316</v>
      </c>
      <c r="C27">
        <v>247</v>
      </c>
    </row>
    <row r="28" spans="1:3">
      <c r="A28">
        <v>24</v>
      </c>
      <c r="B28">
        <v>374</v>
      </c>
      <c r="C28">
        <v>302</v>
      </c>
    </row>
    <row r="29" spans="1:3">
      <c r="A29">
        <v>26</v>
      </c>
      <c r="B29">
        <v>286</v>
      </c>
      <c r="C29">
        <v>208</v>
      </c>
    </row>
    <row r="30" spans="1:3">
      <c r="A30">
        <v>27</v>
      </c>
      <c r="B30">
        <v>120</v>
      </c>
      <c r="C30">
        <v>93</v>
      </c>
    </row>
    <row r="31" spans="1:3">
      <c r="A31">
        <v>28</v>
      </c>
      <c r="B31">
        <v>251</v>
      </c>
      <c r="C31">
        <v>195</v>
      </c>
    </row>
    <row r="32" spans="1:3">
      <c r="A32">
        <v>29</v>
      </c>
      <c r="B32">
        <v>271</v>
      </c>
      <c r="C32">
        <v>184</v>
      </c>
    </row>
    <row r="33" spans="1:3">
      <c r="A33">
        <v>30</v>
      </c>
      <c r="B33">
        <v>359</v>
      </c>
      <c r="C33">
        <v>269</v>
      </c>
    </row>
    <row r="34" spans="1:3">
      <c r="A34">
        <v>32</v>
      </c>
      <c r="B34">
        <v>135</v>
      </c>
      <c r="C34">
        <v>103</v>
      </c>
    </row>
    <row r="35" spans="1:3">
      <c r="A35">
        <v>33</v>
      </c>
      <c r="B35">
        <v>128</v>
      </c>
      <c r="C35">
        <v>95</v>
      </c>
    </row>
    <row r="36" spans="1:3">
      <c r="A36">
        <v>35</v>
      </c>
      <c r="B36">
        <v>219</v>
      </c>
      <c r="C36">
        <v>149</v>
      </c>
    </row>
    <row r="37" spans="1:3">
      <c r="A37">
        <v>40</v>
      </c>
      <c r="B37">
        <v>272</v>
      </c>
      <c r="C37">
        <v>192</v>
      </c>
    </row>
    <row r="38" spans="1:3">
      <c r="A38">
        <v>41</v>
      </c>
      <c r="B38">
        <v>93</v>
      </c>
      <c r="C38">
        <v>52</v>
      </c>
    </row>
    <row r="39" spans="1:3">
      <c r="A39">
        <v>42</v>
      </c>
      <c r="B39">
        <v>302</v>
      </c>
      <c r="C39">
        <v>218</v>
      </c>
    </row>
    <row r="40" spans="1:3">
      <c r="A40">
        <v>47</v>
      </c>
      <c r="B40">
        <v>611</v>
      </c>
      <c r="C40">
        <v>423</v>
      </c>
    </row>
    <row r="41" spans="1:3">
      <c r="A41">
        <v>48</v>
      </c>
      <c r="B41">
        <v>174</v>
      </c>
      <c r="C41">
        <v>126</v>
      </c>
    </row>
    <row r="42" spans="1:3">
      <c r="A42">
        <v>51</v>
      </c>
      <c r="B42">
        <v>161</v>
      </c>
      <c r="C42">
        <v>110</v>
      </c>
    </row>
    <row r="43" spans="1:3">
      <c r="A43">
        <v>52</v>
      </c>
      <c r="B43">
        <v>182</v>
      </c>
      <c r="C43">
        <v>130</v>
      </c>
    </row>
    <row r="44" spans="1:3">
      <c r="A44">
        <v>58</v>
      </c>
      <c r="B44">
        <v>152</v>
      </c>
      <c r="C44">
        <v>94</v>
      </c>
    </row>
    <row r="45" spans="1:3">
      <c r="A45">
        <v>62</v>
      </c>
      <c r="B45">
        <v>154</v>
      </c>
      <c r="C45">
        <v>92</v>
      </c>
    </row>
    <row r="46" spans="1:3">
      <c r="A46" t="s">
        <v>2</v>
      </c>
    </row>
    <row r="47" spans="1:3">
      <c r="A47" t="s">
        <v>3</v>
      </c>
      <c r="B47">
        <v>58304</v>
      </c>
      <c r="C47">
        <v>53383</v>
      </c>
    </row>
  </sheetData>
  <pageMargins left="0.75" right="0.75" top="1" bottom="1" header="0.5" footer="0.5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24"/>
  <sheetViews>
    <sheetView workbookViewId="0">
      <selection activeCell="A3" sqref="A3"/>
    </sheetView>
  </sheetViews>
  <sheetFormatPr defaultColWidth="8.7265625" defaultRowHeight="14.5"/>
  <cols>
    <col min="1" max="1" width="14"/>
    <col min="2" max="2" width="14.36328125"/>
  </cols>
  <sheetData>
    <row r="3" spans="1:2">
      <c r="A3" t="s">
        <v>9</v>
      </c>
      <c r="B3" t="s">
        <v>10</v>
      </c>
    </row>
    <row r="4" spans="1:2">
      <c r="A4">
        <v>0</v>
      </c>
      <c r="B4">
        <v>68.751000000000005</v>
      </c>
    </row>
    <row r="5" spans="1:2">
      <c r="A5">
        <v>8.9599999999999999E-2</v>
      </c>
      <c r="B5">
        <v>34.290799999999997</v>
      </c>
    </row>
    <row r="6" spans="1:2">
      <c r="A6">
        <v>0.1045</v>
      </c>
      <c r="B6">
        <v>32.767899999999997</v>
      </c>
    </row>
    <row r="7" spans="1:2">
      <c r="A7">
        <v>0.1343</v>
      </c>
      <c r="B7">
        <v>40.296199999999999</v>
      </c>
    </row>
    <row r="8" spans="1:2">
      <c r="A8">
        <v>0.16420000000000001</v>
      </c>
      <c r="B8">
        <v>36.182200000000002</v>
      </c>
    </row>
    <row r="9" spans="1:2">
      <c r="A9">
        <v>0.19400000000000001</v>
      </c>
      <c r="B9">
        <v>28.067299999999999</v>
      </c>
    </row>
    <row r="10" spans="1:2">
      <c r="A10">
        <v>0.22389999999999999</v>
      </c>
      <c r="B10">
        <v>20.790400000000002</v>
      </c>
    </row>
    <row r="11" spans="1:2">
      <c r="A11">
        <v>0.25369999999999998</v>
      </c>
      <c r="B11">
        <v>19.0914</v>
      </c>
    </row>
    <row r="12" spans="1:2">
      <c r="A12">
        <v>0.28360000000000002</v>
      </c>
      <c r="B12">
        <v>16.790600000000001</v>
      </c>
    </row>
    <row r="13" spans="1:2">
      <c r="A13">
        <v>0.29849999999999999</v>
      </c>
      <c r="B13">
        <v>13.0466</v>
      </c>
    </row>
    <row r="14" spans="1:2">
      <c r="A14">
        <v>0.32840000000000003</v>
      </c>
      <c r="B14">
        <v>14.4947</v>
      </c>
    </row>
    <row r="15" spans="1:2">
      <c r="A15">
        <v>0.35820000000000002</v>
      </c>
      <c r="B15">
        <v>9.1471999999999998</v>
      </c>
    </row>
    <row r="16" spans="1:2">
      <c r="A16">
        <v>0.3881</v>
      </c>
      <c r="B16">
        <v>4.7458</v>
      </c>
    </row>
    <row r="17" spans="1:2">
      <c r="A17">
        <v>0.41789999999999999</v>
      </c>
      <c r="B17">
        <v>5.4615</v>
      </c>
    </row>
    <row r="18" spans="1:2">
      <c r="A18">
        <v>0.44779999999999998</v>
      </c>
      <c r="B18">
        <v>5.5674999999999999</v>
      </c>
    </row>
    <row r="19" spans="1:2">
      <c r="A19">
        <v>0.4627</v>
      </c>
      <c r="B19">
        <v>3.1372</v>
      </c>
    </row>
    <row r="20" spans="1:2">
      <c r="A20">
        <v>0.49249999999999999</v>
      </c>
      <c r="B20">
        <v>2.0767000000000002</v>
      </c>
    </row>
    <row r="21" spans="1:2">
      <c r="A21">
        <v>0.52239999999999998</v>
      </c>
      <c r="B21">
        <v>2.13</v>
      </c>
    </row>
    <row r="22" spans="1:2">
      <c r="A22">
        <v>0.55220000000000002</v>
      </c>
      <c r="B22">
        <v>1.4912000000000001</v>
      </c>
    </row>
    <row r="23" spans="1:2">
      <c r="A23">
        <v>0.58209999999999995</v>
      </c>
      <c r="B23">
        <v>0.80479999999999996</v>
      </c>
    </row>
    <row r="24" spans="1:2">
      <c r="A24" t="s">
        <v>3</v>
      </c>
      <c r="B24">
        <v>359.13099999999997</v>
      </c>
    </row>
  </sheetData>
  <pageMargins left="0.75" right="0.75" top="1" bottom="1" header="0.5" footer="0.5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8"/>
  <sheetViews>
    <sheetView workbookViewId="0">
      <selection activeCell="E1" sqref="E1"/>
    </sheetView>
  </sheetViews>
  <sheetFormatPr defaultColWidth="8.7265625" defaultRowHeight="14.5"/>
  <cols>
    <col min="1" max="1" width="11.6328125"/>
    <col min="2" max="3" width="19"/>
  </cols>
  <sheetData>
    <row r="1" spans="1:5">
      <c r="E1" s="13"/>
    </row>
    <row r="3" spans="1:5">
      <c r="A3" t="s">
        <v>11</v>
      </c>
      <c r="B3" t="s">
        <v>7</v>
      </c>
      <c r="C3" t="s">
        <v>8</v>
      </c>
    </row>
    <row r="4" spans="1:5">
      <c r="A4">
        <v>0</v>
      </c>
      <c r="B4">
        <v>703</v>
      </c>
      <c r="C4">
        <v>629</v>
      </c>
    </row>
    <row r="5" spans="1:5">
      <c r="A5">
        <v>1</v>
      </c>
      <c r="B5">
        <v>460</v>
      </c>
      <c r="C5">
        <v>412</v>
      </c>
    </row>
    <row r="6" spans="1:5">
      <c r="A6">
        <v>2</v>
      </c>
      <c r="B6">
        <v>294</v>
      </c>
      <c r="C6">
        <v>261</v>
      </c>
    </row>
    <row r="7" spans="1:5">
      <c r="A7">
        <v>3</v>
      </c>
      <c r="B7">
        <v>151</v>
      </c>
      <c r="C7">
        <v>117</v>
      </c>
    </row>
    <row r="8" spans="1:5">
      <c r="A8">
        <v>4</v>
      </c>
      <c r="B8">
        <v>69</v>
      </c>
      <c r="C8">
        <v>62</v>
      </c>
    </row>
    <row r="9" spans="1:5">
      <c r="A9">
        <v>5</v>
      </c>
      <c r="B9">
        <v>164</v>
      </c>
      <c r="C9">
        <v>161</v>
      </c>
    </row>
    <row r="10" spans="1:5">
      <c r="A10">
        <v>6</v>
      </c>
      <c r="B10">
        <v>822</v>
      </c>
      <c r="C10">
        <v>801</v>
      </c>
    </row>
    <row r="11" spans="1:5">
      <c r="A11">
        <v>7</v>
      </c>
      <c r="B11">
        <v>2339</v>
      </c>
      <c r="C11">
        <v>2275</v>
      </c>
    </row>
    <row r="12" spans="1:5">
      <c r="A12">
        <v>8</v>
      </c>
      <c r="B12">
        <v>5388</v>
      </c>
      <c r="C12">
        <v>5261</v>
      </c>
    </row>
    <row r="13" spans="1:5">
      <c r="A13">
        <v>9</v>
      </c>
      <c r="B13">
        <v>3672</v>
      </c>
      <c r="C13">
        <v>3500</v>
      </c>
    </row>
    <row r="14" spans="1:5">
      <c r="A14">
        <v>10</v>
      </c>
      <c r="B14">
        <v>2253</v>
      </c>
      <c r="C14">
        <v>2037</v>
      </c>
    </row>
    <row r="15" spans="1:5">
      <c r="A15">
        <v>11</v>
      </c>
      <c r="B15">
        <v>2494</v>
      </c>
      <c r="C15">
        <v>2127</v>
      </c>
    </row>
    <row r="16" spans="1:5">
      <c r="A16">
        <v>12</v>
      </c>
      <c r="B16">
        <v>3283</v>
      </c>
      <c r="C16">
        <v>2801</v>
      </c>
    </row>
    <row r="17" spans="1:3">
      <c r="A17">
        <v>13</v>
      </c>
      <c r="B17">
        <v>3376</v>
      </c>
      <c r="C17">
        <v>2863</v>
      </c>
    </row>
    <row r="18" spans="1:3">
      <c r="A18">
        <v>14</v>
      </c>
      <c r="B18">
        <v>3200</v>
      </c>
      <c r="C18">
        <v>2734</v>
      </c>
    </row>
    <row r="19" spans="1:3">
      <c r="A19">
        <v>15</v>
      </c>
      <c r="B19">
        <v>3352</v>
      </c>
      <c r="C19">
        <v>2816</v>
      </c>
    </row>
    <row r="20" spans="1:3">
      <c r="A20">
        <v>16</v>
      </c>
      <c r="B20">
        <v>3928</v>
      </c>
      <c r="C20">
        <v>3435</v>
      </c>
    </row>
    <row r="21" spans="1:3">
      <c r="A21">
        <v>17</v>
      </c>
      <c r="B21">
        <v>6169</v>
      </c>
      <c r="C21">
        <v>5774</v>
      </c>
    </row>
    <row r="22" spans="1:3">
      <c r="A22">
        <v>18</v>
      </c>
      <c r="B22">
        <v>5283</v>
      </c>
      <c r="C22">
        <v>5061</v>
      </c>
    </row>
    <row r="23" spans="1:3">
      <c r="A23">
        <v>19</v>
      </c>
      <c r="B23">
        <v>3661</v>
      </c>
      <c r="C23">
        <v>3474</v>
      </c>
    </row>
    <row r="24" spans="1:3">
      <c r="A24">
        <v>20</v>
      </c>
      <c r="B24">
        <v>2656</v>
      </c>
      <c r="C24">
        <v>2516</v>
      </c>
    </row>
    <row r="25" spans="1:3">
      <c r="A25">
        <v>21</v>
      </c>
      <c r="B25">
        <v>1996</v>
      </c>
      <c r="C25">
        <v>1879</v>
      </c>
    </row>
    <row r="26" spans="1:3">
      <c r="A26">
        <v>22</v>
      </c>
      <c r="B26">
        <v>1508</v>
      </c>
      <c r="C26">
        <v>1405</v>
      </c>
    </row>
    <row r="27" spans="1:3">
      <c r="A27">
        <v>23</v>
      </c>
      <c r="B27">
        <v>1083</v>
      </c>
      <c r="C27">
        <v>982</v>
      </c>
    </row>
    <row r="28" spans="1:3">
      <c r="A28" t="s">
        <v>3</v>
      </c>
      <c r="B28">
        <v>58304</v>
      </c>
      <c r="C28">
        <v>53383</v>
      </c>
    </row>
  </sheetData>
  <pageMargins left="0.75" right="0.75" top="1" bottom="1" header="0.5" footer="0.5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4223"/>
  <sheetViews>
    <sheetView tabSelected="1" topLeftCell="X28" zoomScale="98" zoomScaleNormal="98" workbookViewId="0">
      <selection activeCell="AE44" sqref="AE44"/>
    </sheetView>
  </sheetViews>
  <sheetFormatPr defaultColWidth="8.7265625" defaultRowHeight="14.5"/>
  <cols>
    <col min="2" max="2" width="11"/>
    <col min="3" max="3" width="8" customWidth="1"/>
    <col min="5" max="5" width="8.7265625" style="1"/>
    <col min="8" max="8" width="12" customWidth="1"/>
    <col min="9" max="9" width="11.08984375" customWidth="1"/>
    <col min="10" max="10" width="15" style="1" customWidth="1"/>
    <col min="11" max="11" width="11"/>
    <col min="12" max="12" width="11.54296875" customWidth="1"/>
    <col min="14" max="14" width="13.1796875" customWidth="1"/>
    <col min="16" max="16" width="13.54296875" customWidth="1"/>
    <col min="21" max="21" width="11.6328125"/>
    <col min="22" max="22" width="10"/>
    <col min="23" max="23" width="19"/>
    <col min="24" max="208" width="14"/>
    <col min="209" max="209" width="11.54296875"/>
  </cols>
  <sheetData>
    <row r="1" spans="1:30" ht="25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11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0</v>
      </c>
      <c r="L1" s="5" t="s">
        <v>21</v>
      </c>
      <c r="M1" s="5" t="s">
        <v>22</v>
      </c>
      <c r="N1" s="5" t="s">
        <v>9</v>
      </c>
      <c r="O1" s="5" t="s">
        <v>6</v>
      </c>
      <c r="P1" s="5" t="s">
        <v>4</v>
      </c>
      <c r="Q1" s="5" t="s">
        <v>23</v>
      </c>
    </row>
    <row r="2" spans="1:30" ht="18.5">
      <c r="A2" s="3">
        <v>1</v>
      </c>
      <c r="B2" s="4">
        <v>40544</v>
      </c>
      <c r="C2" s="3">
        <v>1</v>
      </c>
      <c r="D2" s="3">
        <v>0</v>
      </c>
      <c r="E2" s="3" t="str">
        <f>TEXT(B2,"MMMM")</f>
        <v>January</v>
      </c>
      <c r="F2" s="3">
        <v>0</v>
      </c>
      <c r="G2" s="3" t="b">
        <v>0</v>
      </c>
      <c r="H2" s="3" t="str">
        <f>TEXT(B2,"dddd")</f>
        <v>Saturday</v>
      </c>
      <c r="I2" s="3">
        <v>6</v>
      </c>
      <c r="J2" s="3" t="str">
        <f>IF($K2&lt;=0.24,"Foggy",IF($K2&gt;0.24,"Clear"))</f>
        <v>Foggy</v>
      </c>
      <c r="K2" s="3">
        <v>0.24</v>
      </c>
      <c r="L2" s="6">
        <v>0.81</v>
      </c>
      <c r="M2" s="6">
        <v>0.28789999999999999</v>
      </c>
      <c r="N2" s="6">
        <v>0</v>
      </c>
      <c r="O2" s="6">
        <v>3</v>
      </c>
      <c r="P2" s="6">
        <v>13</v>
      </c>
      <c r="Q2" s="6">
        <v>16</v>
      </c>
      <c r="R2" s="7"/>
      <c r="S2" s="7"/>
      <c r="T2" s="7"/>
      <c r="U2" s="7"/>
      <c r="V2" s="7"/>
      <c r="AA2" s="14" t="s">
        <v>24</v>
      </c>
      <c r="AB2" s="15"/>
      <c r="AC2" s="15"/>
      <c r="AD2" s="15"/>
    </row>
    <row r="3" spans="1:30">
      <c r="A3" s="3">
        <v>2</v>
      </c>
      <c r="B3" s="4">
        <v>40544</v>
      </c>
      <c r="C3" s="3">
        <v>1</v>
      </c>
      <c r="D3" s="3">
        <v>0</v>
      </c>
      <c r="E3" s="3" t="str">
        <f t="shared" ref="E3:E66" si="0">TEXT(B3,"MMMM")</f>
        <v>January</v>
      </c>
      <c r="F3" s="3">
        <v>1</v>
      </c>
      <c r="G3" s="3" t="b">
        <v>0</v>
      </c>
      <c r="H3" s="3" t="str">
        <f t="shared" ref="H3:H45" si="1">TEXT(B3,"dddd")</f>
        <v>Saturday</v>
      </c>
      <c r="I3" s="3">
        <v>6</v>
      </c>
      <c r="J3" s="3" t="str">
        <f>IF($K3&lt;=0.24,"Foggy",IF($K3&gt;0.24,"Clear"))</f>
        <v>Foggy</v>
      </c>
      <c r="K3" s="3">
        <v>0.22</v>
      </c>
      <c r="L3" s="6">
        <v>0.8</v>
      </c>
      <c r="M3" s="6">
        <v>0.2727</v>
      </c>
      <c r="N3" s="6">
        <v>0</v>
      </c>
      <c r="O3" s="6">
        <v>8</v>
      </c>
      <c r="P3" s="6">
        <v>32</v>
      </c>
      <c r="Q3" s="6">
        <v>40</v>
      </c>
      <c r="R3" s="8"/>
      <c r="S3" s="8"/>
      <c r="T3" s="8"/>
      <c r="U3" t="s">
        <v>23</v>
      </c>
      <c r="V3" t="s">
        <v>6</v>
      </c>
      <c r="W3" t="s">
        <v>8</v>
      </c>
    </row>
    <row r="4" spans="1:30">
      <c r="A4" s="3">
        <v>3</v>
      </c>
      <c r="B4" s="4">
        <v>40544</v>
      </c>
      <c r="C4" s="3">
        <v>1</v>
      </c>
      <c r="D4" s="3">
        <v>0</v>
      </c>
      <c r="E4" s="3" t="str">
        <f t="shared" si="0"/>
        <v>January</v>
      </c>
      <c r="F4" s="3">
        <v>2</v>
      </c>
      <c r="G4" s="3" t="b">
        <v>0</v>
      </c>
      <c r="H4" s="3" t="str">
        <f t="shared" si="1"/>
        <v>Saturday</v>
      </c>
      <c r="I4" s="3">
        <v>6</v>
      </c>
      <c r="J4" s="3" t="str">
        <f>IF($K4&lt;=0.24,"Foggy",IF($K4&gt;0.24,"Clear"))</f>
        <v>Foggy</v>
      </c>
      <c r="K4" s="3">
        <v>0.22</v>
      </c>
      <c r="L4" s="6">
        <v>0.8</v>
      </c>
      <c r="M4" s="6">
        <v>0.2727</v>
      </c>
      <c r="N4" s="6">
        <v>0</v>
      </c>
      <c r="O4" s="6">
        <v>5</v>
      </c>
      <c r="P4" s="6">
        <v>27</v>
      </c>
      <c r="Q4" s="6">
        <v>32</v>
      </c>
      <c r="R4" s="8"/>
      <c r="S4" s="8"/>
      <c r="T4" s="8"/>
      <c r="U4">
        <v>2</v>
      </c>
      <c r="W4">
        <v>67</v>
      </c>
    </row>
    <row r="5" spans="1:30">
      <c r="A5" s="3">
        <v>4</v>
      </c>
      <c r="B5" s="4">
        <v>40544</v>
      </c>
      <c r="C5" s="3">
        <v>1</v>
      </c>
      <c r="D5" s="3">
        <v>0</v>
      </c>
      <c r="E5" s="3" t="str">
        <f t="shared" si="0"/>
        <v>January</v>
      </c>
      <c r="F5" s="3">
        <v>3</v>
      </c>
      <c r="G5" s="3" t="b">
        <v>0</v>
      </c>
      <c r="H5" s="3" t="str">
        <f t="shared" si="1"/>
        <v>Saturday</v>
      </c>
      <c r="I5" s="3">
        <v>6</v>
      </c>
      <c r="J5" s="3" t="str">
        <f>IF($K5&lt;=0.24,"Foggy",IF($K5&gt;0.24,"Clear"))</f>
        <v>Foggy</v>
      </c>
      <c r="K5" s="3">
        <v>0.24</v>
      </c>
      <c r="L5" s="6">
        <v>0.75</v>
      </c>
      <c r="M5" s="6">
        <v>0.28789999999999999</v>
      </c>
      <c r="N5" s="6">
        <v>0</v>
      </c>
      <c r="O5" s="6">
        <v>3</v>
      </c>
      <c r="P5" s="6">
        <v>10</v>
      </c>
      <c r="Q5" s="6">
        <v>13</v>
      </c>
      <c r="R5" s="8"/>
      <c r="S5" s="8"/>
      <c r="T5" s="8"/>
      <c r="V5">
        <v>0</v>
      </c>
      <c r="W5">
        <v>60</v>
      </c>
    </row>
    <row r="6" spans="1:30">
      <c r="A6" s="3">
        <v>5</v>
      </c>
      <c r="B6" s="4">
        <v>40544</v>
      </c>
      <c r="C6" s="3">
        <v>1</v>
      </c>
      <c r="D6" s="3">
        <v>0</v>
      </c>
      <c r="E6" s="3" t="str">
        <f t="shared" si="0"/>
        <v>January</v>
      </c>
      <c r="F6" s="3">
        <v>4</v>
      </c>
      <c r="G6" s="3" t="b">
        <v>0</v>
      </c>
      <c r="H6" s="3" t="str">
        <f t="shared" si="1"/>
        <v>Saturday</v>
      </c>
      <c r="I6" s="3">
        <v>6</v>
      </c>
      <c r="J6" s="3" t="str">
        <f>IF($K6&lt;=0.24,"Foggy",IF($K6&gt;0.24,"Clear"))</f>
        <v>Foggy</v>
      </c>
      <c r="K6" s="3">
        <v>0.24</v>
      </c>
      <c r="L6" s="6">
        <v>0.75</v>
      </c>
      <c r="M6" s="6">
        <v>0.28789999999999999</v>
      </c>
      <c r="N6" s="6">
        <v>0</v>
      </c>
      <c r="O6" s="6">
        <v>0</v>
      </c>
      <c r="P6" s="6">
        <v>1</v>
      </c>
      <c r="Q6" s="6">
        <v>1</v>
      </c>
      <c r="R6" s="8"/>
      <c r="S6" s="8"/>
      <c r="T6" s="8"/>
      <c r="V6">
        <v>1</v>
      </c>
      <c r="W6">
        <v>7</v>
      </c>
    </row>
    <row r="7" spans="1:30">
      <c r="A7" s="3">
        <v>6</v>
      </c>
      <c r="B7" s="4">
        <v>40544</v>
      </c>
      <c r="C7" s="3">
        <v>1</v>
      </c>
      <c r="D7" s="3">
        <v>0</v>
      </c>
      <c r="E7" s="3" t="str">
        <f t="shared" si="0"/>
        <v>January</v>
      </c>
      <c r="F7" s="3">
        <v>5</v>
      </c>
      <c r="G7" s="3" t="b">
        <v>0</v>
      </c>
      <c r="H7" s="3" t="str">
        <f t="shared" si="1"/>
        <v>Saturday</v>
      </c>
      <c r="I7" s="3">
        <v>6</v>
      </c>
      <c r="J7" s="3" t="str">
        <f t="shared" ref="J7:J70" si="2">IF($K7&lt;=0.24,"Foggy",IF($K7&gt;0.24,"Clear"))</f>
        <v>Foggy</v>
      </c>
      <c r="K7" s="3">
        <v>0.24</v>
      </c>
      <c r="L7" s="6">
        <v>0.75</v>
      </c>
      <c r="M7" s="6">
        <v>0.2576</v>
      </c>
      <c r="N7" s="6">
        <v>8.9599999999999999E-2</v>
      </c>
      <c r="O7" s="6">
        <v>0</v>
      </c>
      <c r="P7" s="6">
        <v>1</v>
      </c>
      <c r="Q7" s="6">
        <v>1</v>
      </c>
      <c r="R7" s="8"/>
      <c r="S7" s="8"/>
      <c r="T7" s="8"/>
      <c r="V7">
        <v>2</v>
      </c>
      <c r="W7">
        <v>0</v>
      </c>
    </row>
    <row r="8" spans="1:30">
      <c r="A8" s="3">
        <v>7</v>
      </c>
      <c r="B8" s="4">
        <v>40544</v>
      </c>
      <c r="C8" s="3">
        <v>1</v>
      </c>
      <c r="D8" s="3">
        <v>0</v>
      </c>
      <c r="E8" s="3" t="str">
        <f t="shared" si="0"/>
        <v>January</v>
      </c>
      <c r="F8" s="3">
        <v>6</v>
      </c>
      <c r="G8" s="3" t="b">
        <v>0</v>
      </c>
      <c r="H8" s="3" t="str">
        <f t="shared" si="1"/>
        <v>Saturday</v>
      </c>
      <c r="I8" s="3">
        <v>6</v>
      </c>
      <c r="J8" s="3" t="str">
        <f t="shared" si="2"/>
        <v>Foggy</v>
      </c>
      <c r="K8" s="3">
        <v>0.22</v>
      </c>
      <c r="L8" s="6">
        <v>0.8</v>
      </c>
      <c r="M8" s="6">
        <v>0.2727</v>
      </c>
      <c r="N8" s="6">
        <v>0</v>
      </c>
      <c r="O8" s="6">
        <v>2</v>
      </c>
      <c r="P8" s="6">
        <v>0</v>
      </c>
      <c r="Q8" s="6">
        <v>2</v>
      </c>
      <c r="R8" s="8"/>
      <c r="S8" s="8"/>
      <c r="T8" s="8"/>
      <c r="U8">
        <v>3</v>
      </c>
      <c r="W8">
        <v>93</v>
      </c>
    </row>
    <row r="9" spans="1:30">
      <c r="A9" s="3">
        <v>8</v>
      </c>
      <c r="B9" s="4">
        <v>40544</v>
      </c>
      <c r="C9" s="3">
        <v>1</v>
      </c>
      <c r="D9" s="3">
        <v>0</v>
      </c>
      <c r="E9" s="3" t="str">
        <f t="shared" si="0"/>
        <v>January</v>
      </c>
      <c r="F9" s="3">
        <v>7</v>
      </c>
      <c r="G9" s="3" t="b">
        <v>0</v>
      </c>
      <c r="H9" s="3" t="str">
        <f t="shared" si="1"/>
        <v>Saturday</v>
      </c>
      <c r="I9" s="3">
        <v>6</v>
      </c>
      <c r="J9" s="3" t="str">
        <f t="shared" si="2"/>
        <v>Foggy</v>
      </c>
      <c r="K9" s="3">
        <v>0.2</v>
      </c>
      <c r="L9" s="6">
        <v>0.86</v>
      </c>
      <c r="M9" s="6">
        <v>0.2576</v>
      </c>
      <c r="N9" s="6">
        <v>0</v>
      </c>
      <c r="O9" s="6">
        <v>1</v>
      </c>
      <c r="P9" s="6">
        <v>2</v>
      </c>
      <c r="Q9" s="6">
        <v>3</v>
      </c>
      <c r="R9" s="8"/>
      <c r="S9" s="8"/>
      <c r="T9" s="8"/>
      <c r="V9">
        <v>0</v>
      </c>
      <c r="W9">
        <v>78</v>
      </c>
    </row>
    <row r="10" spans="1:30">
      <c r="A10" s="3">
        <v>9</v>
      </c>
      <c r="B10" s="4">
        <v>40544</v>
      </c>
      <c r="C10" s="3">
        <v>1</v>
      </c>
      <c r="D10" s="3">
        <v>0</v>
      </c>
      <c r="E10" s="3" t="str">
        <f t="shared" si="0"/>
        <v>January</v>
      </c>
      <c r="F10" s="3">
        <v>8</v>
      </c>
      <c r="G10" s="3" t="b">
        <v>0</v>
      </c>
      <c r="H10" s="3" t="str">
        <f t="shared" si="1"/>
        <v>Saturday</v>
      </c>
      <c r="I10" s="3">
        <v>6</v>
      </c>
      <c r="J10" s="3" t="str">
        <f t="shared" si="2"/>
        <v>Foggy</v>
      </c>
      <c r="K10" s="3">
        <v>0.24</v>
      </c>
      <c r="L10" s="6">
        <v>0.75</v>
      </c>
      <c r="M10" s="6"/>
      <c r="N10" s="6">
        <v>0</v>
      </c>
      <c r="O10" s="6">
        <v>1</v>
      </c>
      <c r="P10" s="6">
        <v>7</v>
      </c>
      <c r="Q10" s="6">
        <v>8</v>
      </c>
      <c r="R10" s="8"/>
      <c r="S10" s="8"/>
      <c r="T10" s="8"/>
      <c r="V10">
        <v>1</v>
      </c>
      <c r="W10">
        <v>14</v>
      </c>
    </row>
    <row r="11" spans="1:30">
      <c r="A11" s="3">
        <v>10</v>
      </c>
      <c r="B11" s="4">
        <v>40544</v>
      </c>
      <c r="C11" s="3">
        <v>1</v>
      </c>
      <c r="D11" s="3">
        <v>0</v>
      </c>
      <c r="E11" s="3" t="str">
        <f t="shared" si="0"/>
        <v>January</v>
      </c>
      <c r="F11" s="3">
        <v>9</v>
      </c>
      <c r="G11" s="3" t="b">
        <v>0</v>
      </c>
      <c r="H11" s="3" t="str">
        <f t="shared" si="1"/>
        <v>Saturday</v>
      </c>
      <c r="I11" s="3">
        <v>6</v>
      </c>
      <c r="J11" s="3" t="str">
        <f t="shared" si="2"/>
        <v>Clear</v>
      </c>
      <c r="K11" s="3">
        <v>0.32</v>
      </c>
      <c r="L11" s="6">
        <v>0.76</v>
      </c>
      <c r="M11" s="6">
        <v>0.34849999999999998</v>
      </c>
      <c r="N11" s="6">
        <v>0</v>
      </c>
      <c r="O11" s="6">
        <v>8</v>
      </c>
      <c r="P11" s="6">
        <v>6</v>
      </c>
      <c r="Q11" s="6">
        <v>14</v>
      </c>
      <c r="R11" s="8"/>
      <c r="S11" s="8"/>
      <c r="T11" s="8"/>
      <c r="V11">
        <v>2</v>
      </c>
      <c r="W11">
        <v>1</v>
      </c>
      <c r="AD11" t="s">
        <v>9</v>
      </c>
    </row>
    <row r="12" spans="1:30">
      <c r="A12" s="3">
        <v>11</v>
      </c>
      <c r="B12" s="4">
        <v>40544</v>
      </c>
      <c r="C12" s="3">
        <v>1</v>
      </c>
      <c r="D12" s="3">
        <v>0</v>
      </c>
      <c r="E12" s="3" t="str">
        <f t="shared" si="0"/>
        <v>January</v>
      </c>
      <c r="F12" s="3">
        <v>10</v>
      </c>
      <c r="G12" s="3" t="b">
        <v>0</v>
      </c>
      <c r="H12" s="3" t="str">
        <f t="shared" si="1"/>
        <v>Saturday</v>
      </c>
      <c r="I12" s="3">
        <v>6</v>
      </c>
      <c r="J12" s="3" t="str">
        <f t="shared" si="2"/>
        <v>Clear</v>
      </c>
      <c r="K12" s="3">
        <v>0.38</v>
      </c>
      <c r="L12" s="6">
        <v>0.76</v>
      </c>
      <c r="M12" s="6">
        <v>0.39389999999999997</v>
      </c>
      <c r="N12" s="6">
        <v>0.25369999999999998</v>
      </c>
      <c r="O12" s="6">
        <v>12</v>
      </c>
      <c r="P12" s="6">
        <v>24</v>
      </c>
      <c r="Q12" s="6">
        <v>36</v>
      </c>
      <c r="R12" s="8"/>
      <c r="S12" s="8"/>
      <c r="T12" s="8"/>
      <c r="U12">
        <v>4</v>
      </c>
      <c r="W12">
        <v>47</v>
      </c>
      <c r="AD12">
        <v>0</v>
      </c>
    </row>
    <row r="13" spans="1:30">
      <c r="A13" s="3">
        <v>12</v>
      </c>
      <c r="B13" s="4">
        <v>40544</v>
      </c>
      <c r="C13" s="3">
        <v>1</v>
      </c>
      <c r="D13" s="3">
        <v>0</v>
      </c>
      <c r="E13" s="3" t="str">
        <f t="shared" si="0"/>
        <v>January</v>
      </c>
      <c r="F13" s="3">
        <v>11</v>
      </c>
      <c r="G13" s="3" t="b">
        <v>0</v>
      </c>
      <c r="H13" s="3" t="str">
        <f t="shared" si="1"/>
        <v>Saturday</v>
      </c>
      <c r="I13" s="3">
        <v>6</v>
      </c>
      <c r="J13" s="3" t="str">
        <f t="shared" si="2"/>
        <v>Clear</v>
      </c>
      <c r="K13" s="3">
        <v>0.36</v>
      </c>
      <c r="L13" s="6">
        <v>0.81</v>
      </c>
      <c r="M13" s="6">
        <v>0.33329999999999999</v>
      </c>
      <c r="N13" s="6">
        <v>0.28360000000000002</v>
      </c>
      <c r="O13" s="6">
        <v>26</v>
      </c>
      <c r="P13" s="6">
        <v>30</v>
      </c>
      <c r="Q13" s="6">
        <v>56</v>
      </c>
      <c r="R13" s="8"/>
      <c r="S13" s="8"/>
      <c r="T13" s="8"/>
      <c r="V13">
        <v>0</v>
      </c>
      <c r="W13">
        <v>44</v>
      </c>
      <c r="AD13">
        <v>8.9599999999999999E-2</v>
      </c>
    </row>
    <row r="14" spans="1:30">
      <c r="A14" s="3">
        <v>13</v>
      </c>
      <c r="B14" s="4">
        <v>40544</v>
      </c>
      <c r="C14" s="3">
        <v>1</v>
      </c>
      <c r="D14" s="3">
        <v>0</v>
      </c>
      <c r="E14" s="3" t="str">
        <f t="shared" si="0"/>
        <v>January</v>
      </c>
      <c r="F14" s="3">
        <v>12</v>
      </c>
      <c r="G14" s="3" t="b">
        <v>0</v>
      </c>
      <c r="H14" s="3" t="str">
        <f t="shared" si="1"/>
        <v>Saturday</v>
      </c>
      <c r="I14" s="3">
        <v>6</v>
      </c>
      <c r="J14" s="3" t="str">
        <f t="shared" si="2"/>
        <v>Clear</v>
      </c>
      <c r="K14" s="3">
        <v>0.42</v>
      </c>
      <c r="L14" s="6">
        <v>0.77</v>
      </c>
      <c r="M14" s="6">
        <v>0.42420000000000002</v>
      </c>
      <c r="N14" s="6">
        <v>0.28360000000000002</v>
      </c>
      <c r="O14" s="6">
        <v>29</v>
      </c>
      <c r="P14" s="6">
        <v>55</v>
      </c>
      <c r="Q14" s="6">
        <v>84</v>
      </c>
      <c r="R14" s="8"/>
      <c r="S14" s="8"/>
      <c r="T14" s="8"/>
      <c r="V14">
        <v>1</v>
      </c>
      <c r="W14">
        <v>3</v>
      </c>
      <c r="AD14">
        <v>0.1045</v>
      </c>
    </row>
    <row r="15" spans="1:30">
      <c r="A15" s="3">
        <v>14</v>
      </c>
      <c r="B15" s="4">
        <v>40544</v>
      </c>
      <c r="C15" s="3">
        <v>1</v>
      </c>
      <c r="D15" s="3">
        <v>0</v>
      </c>
      <c r="E15" s="3" t="str">
        <f t="shared" si="0"/>
        <v>January</v>
      </c>
      <c r="F15" s="3">
        <v>13</v>
      </c>
      <c r="G15" s="3" t="b">
        <v>0</v>
      </c>
      <c r="H15" s="3" t="str">
        <f t="shared" si="1"/>
        <v>Saturday</v>
      </c>
      <c r="I15" s="3">
        <v>6</v>
      </c>
      <c r="J15" s="3" t="str">
        <f t="shared" si="2"/>
        <v>Clear</v>
      </c>
      <c r="K15" s="3">
        <v>0.46</v>
      </c>
      <c r="L15" s="6">
        <v>0.72</v>
      </c>
      <c r="M15" s="6">
        <v>0.45450000000000002</v>
      </c>
      <c r="N15" s="6">
        <v>0.29849999999999999</v>
      </c>
      <c r="O15" s="6">
        <v>47</v>
      </c>
      <c r="P15" s="6">
        <v>47</v>
      </c>
      <c r="Q15" s="6">
        <v>94</v>
      </c>
      <c r="R15" s="8"/>
      <c r="S15" s="8"/>
      <c r="T15" s="8"/>
      <c r="V15">
        <v>4</v>
      </c>
      <c r="W15">
        <v>0</v>
      </c>
      <c r="AD15">
        <v>0.1343</v>
      </c>
    </row>
    <row r="16" spans="1:30">
      <c r="A16" s="3">
        <v>15</v>
      </c>
      <c r="B16" s="4">
        <v>40544</v>
      </c>
      <c r="C16" s="3">
        <v>1</v>
      </c>
      <c r="D16" s="3">
        <v>0</v>
      </c>
      <c r="E16" s="3" t="str">
        <f t="shared" si="0"/>
        <v>January</v>
      </c>
      <c r="F16" s="3">
        <v>14</v>
      </c>
      <c r="G16" s="3" t="b">
        <v>0</v>
      </c>
      <c r="H16" s="3" t="str">
        <f t="shared" si="1"/>
        <v>Saturday</v>
      </c>
      <c r="I16" s="3">
        <v>6</v>
      </c>
      <c r="J16" s="3" t="str">
        <f t="shared" si="2"/>
        <v>Clear</v>
      </c>
      <c r="K16" s="3">
        <v>0.46</v>
      </c>
      <c r="L16" s="6">
        <v>0.72</v>
      </c>
      <c r="M16" s="6">
        <v>0.45450000000000002</v>
      </c>
      <c r="N16" s="6">
        <v>0.28360000000000002</v>
      </c>
      <c r="O16" s="6">
        <v>35</v>
      </c>
      <c r="P16" s="6">
        <v>71</v>
      </c>
      <c r="Q16" s="6">
        <v>106</v>
      </c>
      <c r="R16" s="8"/>
      <c r="S16" s="8"/>
      <c r="T16" s="8"/>
      <c r="U16">
        <v>5</v>
      </c>
      <c r="W16">
        <v>85</v>
      </c>
      <c r="AD16">
        <v>0.16420000000000001</v>
      </c>
    </row>
    <row r="17" spans="1:30">
      <c r="A17" s="3">
        <v>16</v>
      </c>
      <c r="B17" s="4">
        <v>40544</v>
      </c>
      <c r="C17" s="3">
        <v>1</v>
      </c>
      <c r="D17" s="3">
        <v>0</v>
      </c>
      <c r="E17" s="3" t="str">
        <f t="shared" si="0"/>
        <v>January</v>
      </c>
      <c r="F17" s="3">
        <v>15</v>
      </c>
      <c r="G17" s="3" t="b">
        <v>0</v>
      </c>
      <c r="H17" s="3" t="str">
        <f t="shared" si="1"/>
        <v>Saturday</v>
      </c>
      <c r="I17" s="3">
        <v>6</v>
      </c>
      <c r="J17" s="3" t="str">
        <f t="shared" si="2"/>
        <v>Clear</v>
      </c>
      <c r="K17" s="3">
        <v>0.44</v>
      </c>
      <c r="L17" s="6">
        <v>0.77</v>
      </c>
      <c r="M17" s="6">
        <v>0.43940000000000001</v>
      </c>
      <c r="N17" s="6">
        <v>0.29849999999999999</v>
      </c>
      <c r="O17" s="6">
        <v>40</v>
      </c>
      <c r="P17" s="6">
        <v>70</v>
      </c>
      <c r="Q17" s="6">
        <v>110</v>
      </c>
      <c r="R17" s="8"/>
      <c r="S17" s="8"/>
      <c r="T17" s="8"/>
      <c r="V17">
        <v>0</v>
      </c>
      <c r="W17">
        <v>60</v>
      </c>
      <c r="AD17">
        <v>0.19400000000000001</v>
      </c>
    </row>
    <row r="18" spans="1:30">
      <c r="A18" s="3">
        <v>17</v>
      </c>
      <c r="B18" s="4">
        <v>40544</v>
      </c>
      <c r="C18" s="3">
        <v>1</v>
      </c>
      <c r="D18" s="3">
        <v>0</v>
      </c>
      <c r="E18" s="3" t="str">
        <f t="shared" si="0"/>
        <v>January</v>
      </c>
      <c r="F18" s="3">
        <v>16</v>
      </c>
      <c r="G18" s="3" t="b">
        <v>0</v>
      </c>
      <c r="H18" s="3" t="str">
        <f t="shared" si="1"/>
        <v>Saturday</v>
      </c>
      <c r="I18" s="3">
        <v>6</v>
      </c>
      <c r="J18" s="3" t="str">
        <f t="shared" si="2"/>
        <v>Clear</v>
      </c>
      <c r="K18" s="3">
        <v>0.42</v>
      </c>
      <c r="L18" s="6">
        <v>0.82</v>
      </c>
      <c r="M18" s="6">
        <v>0.42420000000000002</v>
      </c>
      <c r="N18" s="6">
        <v>0.29849999999999999</v>
      </c>
      <c r="O18" s="6">
        <v>41</v>
      </c>
      <c r="P18" s="6">
        <v>52</v>
      </c>
      <c r="Q18" s="6">
        <v>93</v>
      </c>
      <c r="R18" s="8"/>
      <c r="S18" s="8"/>
      <c r="T18" s="8"/>
      <c r="V18">
        <v>1</v>
      </c>
      <c r="W18">
        <v>16</v>
      </c>
      <c r="AD18">
        <v>0.22389999999999999</v>
      </c>
    </row>
    <row r="19" spans="1:30">
      <c r="A19" s="3">
        <v>18</v>
      </c>
      <c r="B19" s="4">
        <v>40544</v>
      </c>
      <c r="C19" s="3">
        <v>1</v>
      </c>
      <c r="D19" s="3">
        <v>0</v>
      </c>
      <c r="E19" s="3" t="str">
        <f t="shared" si="0"/>
        <v>January</v>
      </c>
      <c r="F19" s="3">
        <v>17</v>
      </c>
      <c r="G19" s="3" t="b">
        <v>0</v>
      </c>
      <c r="H19" s="3" t="str">
        <f t="shared" si="1"/>
        <v>Saturday</v>
      </c>
      <c r="I19" s="3">
        <v>6</v>
      </c>
      <c r="J19" s="3" t="str">
        <f t="shared" si="2"/>
        <v>Clear</v>
      </c>
      <c r="K19" s="3">
        <v>0.44</v>
      </c>
      <c r="L19" s="6">
        <v>0.82</v>
      </c>
      <c r="M19" s="6"/>
      <c r="N19" s="6">
        <v>0.28360000000000002</v>
      </c>
      <c r="O19" s="6">
        <v>15</v>
      </c>
      <c r="P19" s="6">
        <v>52</v>
      </c>
      <c r="Q19" s="6">
        <v>67</v>
      </c>
      <c r="R19" s="8"/>
      <c r="S19" s="8"/>
      <c r="T19" s="8"/>
      <c r="V19">
        <v>2</v>
      </c>
      <c r="W19">
        <v>9</v>
      </c>
      <c r="AD19">
        <v>0.25369999999999998</v>
      </c>
    </row>
    <row r="20" spans="1:30">
      <c r="A20" s="3">
        <v>19</v>
      </c>
      <c r="B20" s="4">
        <v>40544</v>
      </c>
      <c r="C20" s="3">
        <v>1</v>
      </c>
      <c r="D20" s="3">
        <v>0</v>
      </c>
      <c r="E20" s="3" t="str">
        <f t="shared" si="0"/>
        <v>January</v>
      </c>
      <c r="F20" s="3">
        <v>18</v>
      </c>
      <c r="G20" s="3" t="b">
        <v>0</v>
      </c>
      <c r="H20" s="3" t="str">
        <f t="shared" si="1"/>
        <v>Saturday</v>
      </c>
      <c r="I20" s="3">
        <v>6</v>
      </c>
      <c r="J20" s="3" t="str">
        <f t="shared" si="2"/>
        <v>Clear</v>
      </c>
      <c r="K20" s="3">
        <v>0.42</v>
      </c>
      <c r="L20" s="6">
        <v>0.88</v>
      </c>
      <c r="M20" s="6">
        <v>0.42420000000000002</v>
      </c>
      <c r="N20" s="6">
        <v>0.25369999999999998</v>
      </c>
      <c r="O20" s="6">
        <v>9</v>
      </c>
      <c r="P20" s="6">
        <v>26</v>
      </c>
      <c r="Q20" s="6">
        <v>35</v>
      </c>
      <c r="R20" s="8"/>
      <c r="S20" s="8"/>
      <c r="T20" s="8"/>
      <c r="U20">
        <v>6</v>
      </c>
      <c r="W20">
        <v>57</v>
      </c>
      <c r="AD20">
        <v>0.28360000000000002</v>
      </c>
    </row>
    <row r="21" spans="1:30">
      <c r="A21" s="3">
        <v>20</v>
      </c>
      <c r="B21" s="4">
        <v>40544</v>
      </c>
      <c r="C21" s="3">
        <v>1</v>
      </c>
      <c r="D21" s="3">
        <v>0</v>
      </c>
      <c r="E21" s="3" t="str">
        <f t="shared" si="0"/>
        <v>January</v>
      </c>
      <c r="F21" s="3">
        <v>19</v>
      </c>
      <c r="G21" s="3" t="b">
        <v>0</v>
      </c>
      <c r="H21" s="3" t="str">
        <f t="shared" si="1"/>
        <v>Saturday</v>
      </c>
      <c r="I21" s="3">
        <v>6</v>
      </c>
      <c r="J21" s="3" t="str">
        <f t="shared" si="2"/>
        <v>Clear</v>
      </c>
      <c r="K21" s="3">
        <v>0.42</v>
      </c>
      <c r="L21" s="6">
        <v>0.88</v>
      </c>
      <c r="M21" s="6">
        <v>0.42420000000000002</v>
      </c>
      <c r="N21" s="6">
        <v>0.25369999999999998</v>
      </c>
      <c r="O21" s="6">
        <v>6</v>
      </c>
      <c r="P21" s="6">
        <v>31</v>
      </c>
      <c r="Q21" s="6">
        <v>37</v>
      </c>
      <c r="R21" s="8"/>
      <c r="S21" s="8"/>
      <c r="T21" s="8"/>
      <c r="V21">
        <v>0</v>
      </c>
      <c r="W21">
        <v>48</v>
      </c>
      <c r="AD21">
        <v>0.29849999999999999</v>
      </c>
    </row>
    <row r="22" spans="1:30">
      <c r="A22" s="3">
        <v>21</v>
      </c>
      <c r="B22" s="4">
        <v>40544</v>
      </c>
      <c r="C22" s="3">
        <v>1</v>
      </c>
      <c r="D22" s="3">
        <v>0</v>
      </c>
      <c r="E22" s="3" t="str">
        <f t="shared" si="0"/>
        <v>January</v>
      </c>
      <c r="F22" s="3">
        <v>20</v>
      </c>
      <c r="G22" s="3" t="b">
        <v>0</v>
      </c>
      <c r="H22" s="3" t="str">
        <f t="shared" si="1"/>
        <v>Saturday</v>
      </c>
      <c r="I22" s="3">
        <v>6</v>
      </c>
      <c r="J22" s="3" t="str">
        <f t="shared" si="2"/>
        <v>Clear</v>
      </c>
      <c r="K22" s="3">
        <v>0.4</v>
      </c>
      <c r="L22" s="6">
        <v>0.87</v>
      </c>
      <c r="M22" s="6">
        <v>0.40910000000000002</v>
      </c>
      <c r="N22" s="6">
        <v>0.25369999999999998</v>
      </c>
      <c r="O22" s="6">
        <v>11</v>
      </c>
      <c r="P22" s="6">
        <v>25</v>
      </c>
      <c r="Q22" s="6">
        <v>36</v>
      </c>
      <c r="R22" s="8"/>
      <c r="S22" s="8"/>
      <c r="T22" s="8"/>
      <c r="V22">
        <v>1</v>
      </c>
      <c r="W22">
        <v>5</v>
      </c>
      <c r="AD22">
        <v>0.32840000000000003</v>
      </c>
    </row>
    <row r="23" spans="1:30">
      <c r="A23" s="3">
        <v>22</v>
      </c>
      <c r="B23" s="4">
        <v>40544</v>
      </c>
      <c r="C23" s="3">
        <v>1</v>
      </c>
      <c r="D23" s="3">
        <v>0</v>
      </c>
      <c r="E23" s="3" t="str">
        <f t="shared" si="0"/>
        <v>January</v>
      </c>
      <c r="F23" s="3">
        <v>21</v>
      </c>
      <c r="G23" s="3" t="b">
        <v>0</v>
      </c>
      <c r="H23" s="3" t="str">
        <f t="shared" si="1"/>
        <v>Saturday</v>
      </c>
      <c r="I23" s="3">
        <v>6</v>
      </c>
      <c r="J23" s="3" t="str">
        <f t="shared" si="2"/>
        <v>Clear</v>
      </c>
      <c r="K23" s="3">
        <v>0.4</v>
      </c>
      <c r="L23" s="6">
        <v>0.87</v>
      </c>
      <c r="M23" s="6">
        <v>0.40910000000000002</v>
      </c>
      <c r="N23" s="6">
        <v>0.19400000000000001</v>
      </c>
      <c r="O23" s="6">
        <v>3</v>
      </c>
      <c r="P23" s="6">
        <v>31</v>
      </c>
      <c r="Q23" s="6">
        <v>34</v>
      </c>
      <c r="R23" s="8"/>
      <c r="S23" s="8"/>
      <c r="T23" s="8"/>
      <c r="V23">
        <v>2</v>
      </c>
      <c r="W23">
        <v>4</v>
      </c>
      <c r="AD23">
        <v>0.35820000000000002</v>
      </c>
    </row>
    <row r="24" spans="1:30">
      <c r="A24" s="3">
        <v>23</v>
      </c>
      <c r="B24" s="4">
        <v>40544</v>
      </c>
      <c r="C24" s="3">
        <v>1</v>
      </c>
      <c r="D24" s="3">
        <v>0</v>
      </c>
      <c r="E24" s="3" t="str">
        <f t="shared" si="0"/>
        <v>January</v>
      </c>
      <c r="F24" s="3">
        <v>22</v>
      </c>
      <c r="G24" s="3" t="b">
        <v>0</v>
      </c>
      <c r="H24" s="3" t="str">
        <f t="shared" si="1"/>
        <v>Saturday</v>
      </c>
      <c r="I24" s="3">
        <v>6</v>
      </c>
      <c r="J24" s="3" t="str">
        <f t="shared" si="2"/>
        <v>Clear</v>
      </c>
      <c r="K24" s="3">
        <v>0.4</v>
      </c>
      <c r="L24" s="6">
        <v>0.94</v>
      </c>
      <c r="M24" s="6">
        <v>0.40910000000000002</v>
      </c>
      <c r="N24" s="6">
        <v>0.22389999999999999</v>
      </c>
      <c r="O24" s="6">
        <v>11</v>
      </c>
      <c r="P24" s="6">
        <v>17</v>
      </c>
      <c r="Q24" s="6">
        <v>28</v>
      </c>
      <c r="R24" s="8"/>
      <c r="S24" s="8"/>
      <c r="T24" s="8"/>
      <c r="U24">
        <v>7</v>
      </c>
      <c r="W24">
        <v>109</v>
      </c>
      <c r="AD24">
        <v>0.3881</v>
      </c>
    </row>
    <row r="25" spans="1:30">
      <c r="A25" s="3">
        <v>24</v>
      </c>
      <c r="B25" s="4">
        <v>40544</v>
      </c>
      <c r="C25" s="3">
        <v>1</v>
      </c>
      <c r="D25" s="3">
        <v>0</v>
      </c>
      <c r="E25" s="3" t="str">
        <f t="shared" si="0"/>
        <v>January</v>
      </c>
      <c r="F25" s="3">
        <v>23</v>
      </c>
      <c r="G25" s="3" t="b">
        <v>0</v>
      </c>
      <c r="H25" s="3" t="str">
        <f t="shared" si="1"/>
        <v>Saturday</v>
      </c>
      <c r="I25" s="3">
        <v>6</v>
      </c>
      <c r="J25" s="3" t="str">
        <f t="shared" si="2"/>
        <v>Clear</v>
      </c>
      <c r="K25" s="3">
        <v>0.46</v>
      </c>
      <c r="L25" s="6">
        <v>0.88</v>
      </c>
      <c r="M25" s="6"/>
      <c r="N25" s="6">
        <v>0.29849999999999999</v>
      </c>
      <c r="O25" s="6">
        <v>15</v>
      </c>
      <c r="P25" s="6">
        <v>24</v>
      </c>
      <c r="Q25" s="6">
        <v>39</v>
      </c>
      <c r="R25" s="8"/>
      <c r="S25" s="8"/>
      <c r="T25" s="8"/>
      <c r="V25">
        <v>0</v>
      </c>
      <c r="W25">
        <v>63</v>
      </c>
      <c r="AD25">
        <v>0.41789999999999999</v>
      </c>
    </row>
    <row r="26" spans="1:30">
      <c r="A26" s="3">
        <v>25</v>
      </c>
      <c r="B26" s="4">
        <v>40545</v>
      </c>
      <c r="C26" s="3">
        <v>1</v>
      </c>
      <c r="D26" s="3">
        <v>0</v>
      </c>
      <c r="E26" s="3" t="str">
        <f t="shared" si="0"/>
        <v>January</v>
      </c>
      <c r="F26" s="3">
        <v>0</v>
      </c>
      <c r="G26" s="3" t="b">
        <v>0</v>
      </c>
      <c r="H26" s="3" t="str">
        <f t="shared" si="1"/>
        <v>Sunday</v>
      </c>
      <c r="I26" s="3">
        <v>0</v>
      </c>
      <c r="J26" s="3" t="str">
        <f t="shared" si="2"/>
        <v>Clear</v>
      </c>
      <c r="K26" s="3">
        <v>0.46</v>
      </c>
      <c r="L26" s="6">
        <v>0.88</v>
      </c>
      <c r="M26" s="6">
        <v>0.45450000000000002</v>
      </c>
      <c r="N26" s="6">
        <v>0.29849999999999999</v>
      </c>
      <c r="O26" s="6">
        <v>4</v>
      </c>
      <c r="P26" s="6">
        <v>13</v>
      </c>
      <c r="Q26" s="6">
        <v>17</v>
      </c>
      <c r="R26" s="8"/>
      <c r="S26" s="8"/>
      <c r="T26" s="8"/>
      <c r="V26">
        <v>1</v>
      </c>
      <c r="W26">
        <v>36</v>
      </c>
      <c r="AD26">
        <v>0.44779999999999998</v>
      </c>
    </row>
    <row r="27" spans="1:30">
      <c r="A27" s="3">
        <v>26</v>
      </c>
      <c r="B27" s="4">
        <v>40545</v>
      </c>
      <c r="C27" s="3">
        <v>1</v>
      </c>
      <c r="D27" s="3">
        <v>0</v>
      </c>
      <c r="E27" s="3" t="str">
        <f t="shared" si="0"/>
        <v>January</v>
      </c>
      <c r="F27" s="3">
        <v>1</v>
      </c>
      <c r="G27" s="3" t="b">
        <v>0</v>
      </c>
      <c r="H27" s="3" t="str">
        <f t="shared" si="1"/>
        <v>Sunday</v>
      </c>
      <c r="I27" s="3">
        <v>0</v>
      </c>
      <c r="J27" s="3" t="str">
        <f t="shared" si="2"/>
        <v>Clear</v>
      </c>
      <c r="K27" s="3">
        <v>0.44</v>
      </c>
      <c r="L27" s="6">
        <v>0.94</v>
      </c>
      <c r="M27" s="6">
        <v>0.43940000000000001</v>
      </c>
      <c r="N27" s="6">
        <v>0.25369999999999998</v>
      </c>
      <c r="O27" s="6">
        <v>1</v>
      </c>
      <c r="P27" s="6">
        <v>16</v>
      </c>
      <c r="Q27" s="6">
        <v>17</v>
      </c>
      <c r="R27" s="8"/>
      <c r="S27" s="8"/>
      <c r="T27" s="8"/>
      <c r="V27">
        <v>2</v>
      </c>
      <c r="W27">
        <v>10</v>
      </c>
      <c r="AD27">
        <v>0.4627</v>
      </c>
    </row>
    <row r="28" spans="1:30">
      <c r="A28" s="3">
        <v>27</v>
      </c>
      <c r="B28" s="4">
        <v>40545</v>
      </c>
      <c r="C28" s="3">
        <v>1</v>
      </c>
      <c r="D28" s="3">
        <v>0</v>
      </c>
      <c r="E28" s="3" t="str">
        <f t="shared" si="0"/>
        <v>January</v>
      </c>
      <c r="F28" s="3">
        <v>2</v>
      </c>
      <c r="G28" s="3" t="b">
        <v>0</v>
      </c>
      <c r="H28" s="3" t="str">
        <f t="shared" si="1"/>
        <v>Sunday</v>
      </c>
      <c r="I28" s="3">
        <v>0</v>
      </c>
      <c r="J28" s="3" t="str">
        <f t="shared" si="2"/>
        <v>Clear</v>
      </c>
      <c r="K28" s="3">
        <v>0.42</v>
      </c>
      <c r="L28" s="6">
        <v>1</v>
      </c>
      <c r="M28" s="6">
        <v>0.42420000000000002</v>
      </c>
      <c r="N28" s="6">
        <v>0.28360000000000002</v>
      </c>
      <c r="O28" s="6">
        <v>1</v>
      </c>
      <c r="P28" s="6">
        <v>8</v>
      </c>
      <c r="Q28" s="6">
        <v>9</v>
      </c>
      <c r="R28" s="8"/>
      <c r="S28" s="8"/>
      <c r="T28" s="8"/>
      <c r="U28">
        <v>8</v>
      </c>
      <c r="W28">
        <v>104</v>
      </c>
      <c r="AD28">
        <v>0.49249999999999999</v>
      </c>
    </row>
    <row r="29" spans="1:30">
      <c r="A29" s="3">
        <v>28</v>
      </c>
      <c r="B29" s="4">
        <v>40545</v>
      </c>
      <c r="C29" s="3">
        <v>1</v>
      </c>
      <c r="D29" s="3">
        <v>0</v>
      </c>
      <c r="E29" s="3" t="str">
        <f t="shared" si="0"/>
        <v>January</v>
      </c>
      <c r="F29" s="3">
        <v>3</v>
      </c>
      <c r="G29" s="3" t="b">
        <v>0</v>
      </c>
      <c r="H29" s="3" t="str">
        <f t="shared" si="1"/>
        <v>Sunday</v>
      </c>
      <c r="I29" s="3">
        <v>0</v>
      </c>
      <c r="J29" s="3" t="str">
        <f t="shared" si="2"/>
        <v>Clear</v>
      </c>
      <c r="K29" s="3">
        <v>0.46</v>
      </c>
      <c r="L29" s="6">
        <v>0.94</v>
      </c>
      <c r="M29" s="6">
        <v>0.45450000000000002</v>
      </c>
      <c r="N29" s="6">
        <v>0.19400000000000001</v>
      </c>
      <c r="O29" s="6">
        <v>2</v>
      </c>
      <c r="P29" s="6">
        <v>4</v>
      </c>
      <c r="Q29" s="6">
        <v>6</v>
      </c>
      <c r="R29" s="8"/>
      <c r="S29" s="8"/>
      <c r="T29" s="8"/>
      <c r="V29">
        <v>0</v>
      </c>
      <c r="W29">
        <v>72</v>
      </c>
      <c r="AD29">
        <v>0.52239999999999998</v>
      </c>
    </row>
    <row r="30" spans="1:30">
      <c r="A30" s="3">
        <v>29</v>
      </c>
      <c r="B30" s="4">
        <v>40545</v>
      </c>
      <c r="C30" s="3">
        <v>1</v>
      </c>
      <c r="D30" s="3">
        <v>0</v>
      </c>
      <c r="E30" s="3" t="str">
        <f t="shared" si="0"/>
        <v>January</v>
      </c>
      <c r="F30" s="3">
        <v>4</v>
      </c>
      <c r="G30" s="3" t="b">
        <v>0</v>
      </c>
      <c r="H30" s="3" t="str">
        <f t="shared" si="1"/>
        <v>Sunday</v>
      </c>
      <c r="I30" s="3">
        <v>0</v>
      </c>
      <c r="J30" s="3" t="str">
        <f t="shared" si="2"/>
        <v>Clear</v>
      </c>
      <c r="K30" s="3">
        <v>0.46</v>
      </c>
      <c r="L30" s="6">
        <v>0.94</v>
      </c>
      <c r="M30" s="6"/>
      <c r="N30" s="6">
        <v>0.19400000000000001</v>
      </c>
      <c r="O30" s="6">
        <v>2</v>
      </c>
      <c r="P30" s="6">
        <v>1</v>
      </c>
      <c r="Q30" s="6">
        <v>3</v>
      </c>
      <c r="R30" s="8"/>
      <c r="S30" s="8"/>
      <c r="T30" s="8"/>
      <c r="V30">
        <v>1</v>
      </c>
      <c r="W30">
        <v>21</v>
      </c>
      <c r="AD30">
        <v>0.55220000000000002</v>
      </c>
    </row>
    <row r="31" spans="1:30">
      <c r="A31" s="3">
        <v>30</v>
      </c>
      <c r="B31" s="4">
        <v>40545</v>
      </c>
      <c r="C31" s="3">
        <v>1</v>
      </c>
      <c r="D31" s="3">
        <v>0</v>
      </c>
      <c r="E31" s="3" t="str">
        <f t="shared" si="0"/>
        <v>January</v>
      </c>
      <c r="F31" s="3">
        <v>6</v>
      </c>
      <c r="G31" s="3" t="b">
        <v>0</v>
      </c>
      <c r="H31" s="3" t="str">
        <f t="shared" si="1"/>
        <v>Sunday</v>
      </c>
      <c r="I31" s="3">
        <v>0</v>
      </c>
      <c r="J31" s="3" t="str">
        <f t="shared" si="2"/>
        <v>Clear</v>
      </c>
      <c r="K31" s="3">
        <v>0.42</v>
      </c>
      <c r="L31" s="6">
        <v>0.77</v>
      </c>
      <c r="M31" s="6">
        <v>0.42420000000000002</v>
      </c>
      <c r="N31" s="6">
        <v>0.29849999999999999</v>
      </c>
      <c r="O31" s="6">
        <v>0</v>
      </c>
      <c r="P31" s="6">
        <v>2</v>
      </c>
      <c r="Q31" s="6">
        <v>2</v>
      </c>
      <c r="R31" s="8"/>
      <c r="S31" s="8"/>
      <c r="T31" s="8"/>
      <c r="V31">
        <v>2</v>
      </c>
      <c r="W31">
        <v>6</v>
      </c>
      <c r="AD31">
        <v>0.58209999999999995</v>
      </c>
    </row>
    <row r="32" spans="1:30">
      <c r="A32" s="3">
        <v>31</v>
      </c>
      <c r="B32" s="4">
        <v>40545</v>
      </c>
      <c r="C32" s="3">
        <v>1</v>
      </c>
      <c r="D32" s="3">
        <v>0</v>
      </c>
      <c r="E32" s="3" t="str">
        <f t="shared" si="0"/>
        <v>January</v>
      </c>
      <c r="F32" s="3">
        <v>7</v>
      </c>
      <c r="G32" s="3" t="b">
        <v>0</v>
      </c>
      <c r="H32" s="3" t="str">
        <f t="shared" si="1"/>
        <v>Sunday</v>
      </c>
      <c r="I32" s="3">
        <v>0</v>
      </c>
      <c r="J32" s="3" t="str">
        <f t="shared" si="2"/>
        <v>Clear</v>
      </c>
      <c r="K32" s="3">
        <v>0.4</v>
      </c>
      <c r="L32" s="6">
        <v>0.76</v>
      </c>
      <c r="M32" s="6">
        <v>0.40910000000000002</v>
      </c>
      <c r="N32" s="6">
        <v>0.19400000000000001</v>
      </c>
      <c r="O32" s="6">
        <v>0</v>
      </c>
      <c r="P32" s="6">
        <v>1</v>
      </c>
      <c r="Q32" s="6">
        <v>1</v>
      </c>
      <c r="R32" s="8"/>
      <c r="S32" s="8"/>
      <c r="T32" s="8"/>
      <c r="V32">
        <v>3</v>
      </c>
      <c r="W32">
        <v>5</v>
      </c>
      <c r="AD32" t="s">
        <v>2</v>
      </c>
    </row>
    <row r="33" spans="1:30">
      <c r="A33" s="3">
        <v>32</v>
      </c>
      <c r="B33" s="4">
        <v>40545</v>
      </c>
      <c r="C33" s="3">
        <v>1</v>
      </c>
      <c r="D33" s="3">
        <v>0</v>
      </c>
      <c r="E33" s="3" t="str">
        <f t="shared" si="0"/>
        <v>January</v>
      </c>
      <c r="F33" s="3">
        <v>8</v>
      </c>
      <c r="G33" s="3" t="b">
        <v>0</v>
      </c>
      <c r="H33" s="3" t="str">
        <f t="shared" si="1"/>
        <v>Sunday</v>
      </c>
      <c r="I33" s="3">
        <v>0</v>
      </c>
      <c r="J33" s="3" t="str">
        <f t="shared" si="2"/>
        <v>Clear</v>
      </c>
      <c r="K33" s="3">
        <v>0.4</v>
      </c>
      <c r="L33" s="6">
        <v>0.71</v>
      </c>
      <c r="M33" s="6">
        <v>0.40910000000000002</v>
      </c>
      <c r="N33" s="6">
        <v>0.22389999999999999</v>
      </c>
      <c r="O33" s="6">
        <v>0</v>
      </c>
      <c r="P33" s="6">
        <v>8</v>
      </c>
      <c r="Q33" s="6">
        <v>8</v>
      </c>
      <c r="R33" s="8"/>
      <c r="S33" s="8"/>
      <c r="T33" s="8"/>
      <c r="U33">
        <v>9</v>
      </c>
      <c r="W33">
        <v>58</v>
      </c>
      <c r="AD33" t="s">
        <v>3</v>
      </c>
    </row>
    <row r="34" spans="1:30">
      <c r="A34" s="3">
        <v>33</v>
      </c>
      <c r="B34" s="4">
        <v>40545</v>
      </c>
      <c r="C34" s="3">
        <v>1</v>
      </c>
      <c r="D34" s="3">
        <v>0</v>
      </c>
      <c r="E34" s="3" t="str">
        <f t="shared" si="0"/>
        <v>January</v>
      </c>
      <c r="F34" s="3">
        <v>9</v>
      </c>
      <c r="G34" s="3" t="b">
        <v>0</v>
      </c>
      <c r="H34" s="3" t="str">
        <f t="shared" si="1"/>
        <v>Sunday</v>
      </c>
      <c r="I34" s="3">
        <v>0</v>
      </c>
      <c r="J34" s="3" t="str">
        <f t="shared" si="2"/>
        <v>Clear</v>
      </c>
      <c r="K34" s="3">
        <v>0.38</v>
      </c>
      <c r="L34" s="6">
        <v>0.76</v>
      </c>
      <c r="M34" s="6"/>
      <c r="N34" s="6">
        <v>0.22389999999999999</v>
      </c>
      <c r="O34" s="6">
        <v>1</v>
      </c>
      <c r="P34" s="6">
        <v>19</v>
      </c>
      <c r="Q34" s="6">
        <v>20</v>
      </c>
      <c r="R34" s="8"/>
      <c r="S34" s="8"/>
      <c r="T34" s="8"/>
      <c r="V34">
        <v>0</v>
      </c>
      <c r="W34">
        <v>36</v>
      </c>
    </row>
    <row r="35" spans="1:30">
      <c r="A35" s="3">
        <v>34</v>
      </c>
      <c r="B35" s="4">
        <v>40545</v>
      </c>
      <c r="C35" s="3">
        <v>1</v>
      </c>
      <c r="D35" s="3">
        <v>0</v>
      </c>
      <c r="E35" s="3" t="str">
        <f t="shared" si="0"/>
        <v>January</v>
      </c>
      <c r="F35" s="3">
        <v>10</v>
      </c>
      <c r="G35" s="3" t="b">
        <v>0</v>
      </c>
      <c r="H35" s="3" t="str">
        <f t="shared" si="1"/>
        <v>Sunday</v>
      </c>
      <c r="I35" s="3">
        <v>0</v>
      </c>
      <c r="J35" s="3" t="str">
        <f t="shared" si="2"/>
        <v>Clear</v>
      </c>
      <c r="K35" s="3">
        <v>0.36</v>
      </c>
      <c r="L35" s="6">
        <v>0.81</v>
      </c>
      <c r="M35" s="6">
        <v>0.34849999999999998</v>
      </c>
      <c r="N35" s="6">
        <v>0.22389999999999999</v>
      </c>
      <c r="O35" s="6">
        <v>7</v>
      </c>
      <c r="P35" s="6">
        <v>46</v>
      </c>
      <c r="Q35" s="6">
        <v>53</v>
      </c>
      <c r="R35" s="8"/>
      <c r="S35" s="8"/>
      <c r="T35" s="8"/>
      <c r="V35">
        <v>1</v>
      </c>
      <c r="W35">
        <v>16</v>
      </c>
    </row>
    <row r="36" spans="1:30">
      <c r="A36" s="3">
        <v>35</v>
      </c>
      <c r="B36" s="4">
        <v>40545</v>
      </c>
      <c r="C36" s="3">
        <v>1</v>
      </c>
      <c r="D36" s="3">
        <v>0</v>
      </c>
      <c r="E36" s="3" t="str">
        <f t="shared" si="0"/>
        <v>January</v>
      </c>
      <c r="F36" s="3">
        <v>11</v>
      </c>
      <c r="G36" s="3" t="b">
        <v>0</v>
      </c>
      <c r="H36" s="3" t="str">
        <f t="shared" si="1"/>
        <v>Sunday</v>
      </c>
      <c r="I36" s="3">
        <v>0</v>
      </c>
      <c r="J36" s="3" t="str">
        <f t="shared" si="2"/>
        <v>Clear</v>
      </c>
      <c r="K36" s="3">
        <v>0.36</v>
      </c>
      <c r="L36" s="6">
        <v>0.71</v>
      </c>
      <c r="M36" s="6">
        <v>0.33329999999999999</v>
      </c>
      <c r="N36" s="6">
        <v>0.25369999999999998</v>
      </c>
      <c r="O36" s="6">
        <v>16</v>
      </c>
      <c r="P36" s="6">
        <v>54</v>
      </c>
      <c r="Q36" s="6">
        <v>70</v>
      </c>
      <c r="R36" s="8"/>
      <c r="S36" s="8"/>
      <c r="T36" s="8"/>
      <c r="V36">
        <v>3</v>
      </c>
      <c r="W36">
        <v>6</v>
      </c>
    </row>
    <row r="37" spans="1:30">
      <c r="A37" s="3">
        <v>36</v>
      </c>
      <c r="B37" s="4">
        <v>40545</v>
      </c>
      <c r="C37" s="3">
        <v>1</v>
      </c>
      <c r="D37" s="3">
        <v>0</v>
      </c>
      <c r="E37" s="3" t="str">
        <f t="shared" si="0"/>
        <v>January</v>
      </c>
      <c r="F37" s="3">
        <v>12</v>
      </c>
      <c r="G37" s="3" t="b">
        <v>0</v>
      </c>
      <c r="H37" s="3" t="str">
        <f t="shared" si="1"/>
        <v>Sunday</v>
      </c>
      <c r="I37" s="3">
        <v>0</v>
      </c>
      <c r="J37" s="3" t="str">
        <f t="shared" si="2"/>
        <v>Clear</v>
      </c>
      <c r="K37" s="3">
        <v>0.36</v>
      </c>
      <c r="L37" s="6">
        <v>0.66</v>
      </c>
      <c r="M37" s="6">
        <v>0.33329999999999999</v>
      </c>
      <c r="N37" s="6">
        <v>0.29849999999999999</v>
      </c>
      <c r="O37" s="6">
        <v>20</v>
      </c>
      <c r="P37" s="6">
        <v>73</v>
      </c>
      <c r="Q37" s="6">
        <v>93</v>
      </c>
      <c r="R37" s="8"/>
      <c r="S37" s="8"/>
      <c r="T37" s="8"/>
      <c r="U37">
        <v>10</v>
      </c>
      <c r="W37">
        <v>58</v>
      </c>
    </row>
    <row r="38" spans="1:30">
      <c r="A38" s="3">
        <v>37</v>
      </c>
      <c r="B38" s="4">
        <v>40545</v>
      </c>
      <c r="C38" s="3">
        <v>1</v>
      </c>
      <c r="D38" s="3">
        <v>0</v>
      </c>
      <c r="E38" s="3" t="str">
        <f t="shared" si="0"/>
        <v>January</v>
      </c>
      <c r="F38" s="3">
        <v>13</v>
      </c>
      <c r="G38" s="3" t="b">
        <v>0</v>
      </c>
      <c r="H38" s="3" t="str">
        <f t="shared" si="1"/>
        <v>Sunday</v>
      </c>
      <c r="I38" s="3">
        <v>0</v>
      </c>
      <c r="J38" s="3" t="str">
        <f t="shared" si="2"/>
        <v>Clear</v>
      </c>
      <c r="K38" s="3">
        <v>0.36</v>
      </c>
      <c r="L38" s="6">
        <v>0.66</v>
      </c>
      <c r="M38" s="6">
        <v>0.34849999999999998</v>
      </c>
      <c r="N38" s="6">
        <v>0.1343</v>
      </c>
      <c r="O38" s="6">
        <v>11</v>
      </c>
      <c r="P38" s="6">
        <v>64</v>
      </c>
      <c r="Q38" s="6">
        <v>75</v>
      </c>
      <c r="R38" s="8"/>
      <c r="S38" s="8"/>
      <c r="T38" s="8"/>
      <c r="V38">
        <v>0</v>
      </c>
      <c r="W38">
        <v>20</v>
      </c>
    </row>
    <row r="39" spans="1:30">
      <c r="A39" s="3">
        <v>38</v>
      </c>
      <c r="B39" s="4">
        <v>40545</v>
      </c>
      <c r="C39" s="3">
        <v>1</v>
      </c>
      <c r="D39" s="3">
        <v>0</v>
      </c>
      <c r="E39" s="3" t="str">
        <f t="shared" si="0"/>
        <v>January</v>
      </c>
      <c r="F39" s="3">
        <v>14</v>
      </c>
      <c r="G39" s="3" t="b">
        <v>0</v>
      </c>
      <c r="H39" s="3" t="str">
        <f t="shared" si="1"/>
        <v>Sunday</v>
      </c>
      <c r="I39" s="3">
        <v>0</v>
      </c>
      <c r="J39" s="3" t="str">
        <f t="shared" si="2"/>
        <v>Clear</v>
      </c>
      <c r="K39" s="3">
        <v>0.36</v>
      </c>
      <c r="L39" s="6">
        <v>0.76</v>
      </c>
      <c r="M39" s="6"/>
      <c r="N39" s="6">
        <v>0.19400000000000001</v>
      </c>
      <c r="O39" s="6">
        <v>4</v>
      </c>
      <c r="P39" s="6">
        <v>55</v>
      </c>
      <c r="Q39" s="6">
        <v>59</v>
      </c>
      <c r="R39" s="8"/>
      <c r="S39" s="8"/>
      <c r="T39" s="8"/>
      <c r="V39">
        <v>1</v>
      </c>
      <c r="W39">
        <v>18</v>
      </c>
    </row>
    <row r="40" spans="1:30">
      <c r="A40" s="3">
        <v>39</v>
      </c>
      <c r="B40" s="4">
        <v>40545</v>
      </c>
      <c r="C40" s="3">
        <v>1</v>
      </c>
      <c r="D40" s="3">
        <v>0</v>
      </c>
      <c r="E40" s="3" t="str">
        <f t="shared" si="0"/>
        <v>January</v>
      </c>
      <c r="F40" s="3">
        <v>15</v>
      </c>
      <c r="G40" s="3" t="b">
        <v>0</v>
      </c>
      <c r="H40" s="3" t="str">
        <f t="shared" si="1"/>
        <v>Sunday</v>
      </c>
      <c r="I40" s="3">
        <v>0</v>
      </c>
      <c r="J40" s="3" t="str">
        <f t="shared" si="2"/>
        <v>Clear</v>
      </c>
      <c r="K40" s="3">
        <v>0.34</v>
      </c>
      <c r="L40" s="6">
        <v>0.81</v>
      </c>
      <c r="M40" s="6">
        <v>0.33329999999999999</v>
      </c>
      <c r="N40" s="6">
        <v>0.16420000000000001</v>
      </c>
      <c r="O40" s="6">
        <v>19</v>
      </c>
      <c r="P40" s="6">
        <v>55</v>
      </c>
      <c r="Q40" s="6">
        <v>74</v>
      </c>
      <c r="R40" s="8"/>
      <c r="S40" s="8"/>
      <c r="T40" s="8"/>
      <c r="V40">
        <v>3</v>
      </c>
      <c r="W40">
        <v>14</v>
      </c>
    </row>
    <row r="41" spans="1:30">
      <c r="A41" s="3">
        <v>40</v>
      </c>
      <c r="B41" s="4">
        <v>40545</v>
      </c>
      <c r="C41" s="3">
        <v>1</v>
      </c>
      <c r="D41" s="3">
        <v>0</v>
      </c>
      <c r="E41" s="3" t="str">
        <f t="shared" si="0"/>
        <v>January</v>
      </c>
      <c r="F41" s="3">
        <v>16</v>
      </c>
      <c r="G41" s="3" t="b">
        <v>0</v>
      </c>
      <c r="H41" s="3" t="str">
        <f t="shared" si="1"/>
        <v>Sunday</v>
      </c>
      <c r="I41" s="3">
        <v>0</v>
      </c>
      <c r="J41" s="3" t="str">
        <f t="shared" si="2"/>
        <v>Clear</v>
      </c>
      <c r="K41" s="3">
        <v>0.34</v>
      </c>
      <c r="L41" s="6">
        <v>0.71</v>
      </c>
      <c r="M41" s="6">
        <v>0.33329999999999999</v>
      </c>
      <c r="N41" s="6">
        <v>0.16420000000000001</v>
      </c>
      <c r="O41" s="6">
        <v>9</v>
      </c>
      <c r="P41" s="6">
        <v>67</v>
      </c>
      <c r="Q41" s="6">
        <v>76</v>
      </c>
      <c r="R41" s="8"/>
      <c r="S41" s="8"/>
      <c r="T41" s="8"/>
      <c r="V41">
        <v>4</v>
      </c>
      <c r="W41">
        <v>6</v>
      </c>
    </row>
    <row r="42" spans="1:30">
      <c r="A42" s="3">
        <v>41</v>
      </c>
      <c r="B42" s="4">
        <v>40545</v>
      </c>
      <c r="C42" s="3">
        <v>1</v>
      </c>
      <c r="D42" s="3">
        <v>0</v>
      </c>
      <c r="E42" s="3" t="str">
        <f t="shared" si="0"/>
        <v>January</v>
      </c>
      <c r="F42" s="3">
        <v>17</v>
      </c>
      <c r="G42" s="3" t="b">
        <v>0</v>
      </c>
      <c r="H42" s="3" t="str">
        <f t="shared" si="1"/>
        <v>Sunday</v>
      </c>
      <c r="I42" s="3">
        <v>0</v>
      </c>
      <c r="J42" s="3" t="str">
        <f t="shared" si="2"/>
        <v>Clear</v>
      </c>
      <c r="K42" s="3">
        <v>0.34</v>
      </c>
      <c r="L42" s="6">
        <v>0.56999999999999995</v>
      </c>
      <c r="M42" s="6">
        <v>0.33329999999999999</v>
      </c>
      <c r="N42" s="6">
        <v>0.19400000000000001</v>
      </c>
      <c r="O42" s="6">
        <v>7</v>
      </c>
      <c r="P42" s="6">
        <v>58</v>
      </c>
      <c r="Q42" s="6">
        <v>65</v>
      </c>
      <c r="R42" s="8"/>
      <c r="S42" s="8"/>
      <c r="T42" s="8"/>
      <c r="U42">
        <v>11</v>
      </c>
      <c r="W42">
        <v>79</v>
      </c>
    </row>
    <row r="43" spans="1:30">
      <c r="A43" s="3">
        <v>42</v>
      </c>
      <c r="B43" s="4">
        <v>40545</v>
      </c>
      <c r="C43" s="3">
        <v>1</v>
      </c>
      <c r="D43" s="3">
        <v>0</v>
      </c>
      <c r="E43" s="3" t="str">
        <f t="shared" si="0"/>
        <v>January</v>
      </c>
      <c r="F43" s="3">
        <v>18</v>
      </c>
      <c r="G43" s="3" t="b">
        <v>0</v>
      </c>
      <c r="H43" s="3" t="str">
        <f t="shared" si="1"/>
        <v>Sunday</v>
      </c>
      <c r="I43" s="3">
        <v>0</v>
      </c>
      <c r="J43" s="3" t="str">
        <f t="shared" si="2"/>
        <v>Clear</v>
      </c>
      <c r="K43" s="3">
        <v>0.36</v>
      </c>
      <c r="L43" s="6">
        <v>0.46</v>
      </c>
      <c r="M43" s="6">
        <v>0.33329999999999999</v>
      </c>
      <c r="N43" s="6">
        <v>0.32840000000000003</v>
      </c>
      <c r="O43" s="6">
        <v>10</v>
      </c>
      <c r="P43" s="6">
        <v>43</v>
      </c>
      <c r="Q43" s="6">
        <v>53</v>
      </c>
      <c r="R43" s="8"/>
      <c r="S43" s="8"/>
      <c r="T43" s="8"/>
      <c r="V43">
        <v>0</v>
      </c>
      <c r="W43">
        <v>33</v>
      </c>
    </row>
    <row r="44" spans="1:30">
      <c r="A44" s="3">
        <v>43</v>
      </c>
      <c r="B44" s="4">
        <v>40545</v>
      </c>
      <c r="C44" s="3">
        <v>1</v>
      </c>
      <c r="D44" s="3">
        <v>0</v>
      </c>
      <c r="E44" s="3" t="str">
        <f t="shared" si="0"/>
        <v>January</v>
      </c>
      <c r="F44" s="3">
        <v>19</v>
      </c>
      <c r="G44" s="3" t="b">
        <v>0</v>
      </c>
      <c r="H44" s="3" t="str">
        <f t="shared" si="1"/>
        <v>Sunday</v>
      </c>
      <c r="I44" s="3">
        <v>0</v>
      </c>
      <c r="J44" s="3" t="str">
        <f t="shared" si="2"/>
        <v>Clear</v>
      </c>
      <c r="K44" s="3">
        <v>0.32</v>
      </c>
      <c r="L44" s="6">
        <v>0.42</v>
      </c>
      <c r="M44" s="6">
        <v>0.28789999999999999</v>
      </c>
      <c r="N44" s="6">
        <v>0.44779999999999998</v>
      </c>
      <c r="O44" s="6">
        <v>1</v>
      </c>
      <c r="P44" s="6">
        <v>29</v>
      </c>
      <c r="Q44" s="6">
        <v>30</v>
      </c>
      <c r="R44" s="8"/>
      <c r="S44" s="8"/>
      <c r="T44" s="8"/>
      <c r="V44">
        <v>1</v>
      </c>
      <c r="W44">
        <v>20</v>
      </c>
    </row>
    <row r="45" spans="1:30">
      <c r="A45" s="3">
        <v>44</v>
      </c>
      <c r="B45" s="4">
        <v>40545</v>
      </c>
      <c r="C45" s="3">
        <v>1</v>
      </c>
      <c r="D45" s="3">
        <v>0</v>
      </c>
      <c r="E45" s="3" t="str">
        <f t="shared" si="0"/>
        <v>January</v>
      </c>
      <c r="F45" s="3">
        <v>20</v>
      </c>
      <c r="G45" s="3" t="b">
        <v>0</v>
      </c>
      <c r="H45" s="3" t="str">
        <f t="shared" si="1"/>
        <v>Sunday</v>
      </c>
      <c r="I45" s="3">
        <v>0</v>
      </c>
      <c r="J45" s="3" t="str">
        <f t="shared" si="2"/>
        <v>Clear</v>
      </c>
      <c r="K45" s="3">
        <v>0.3</v>
      </c>
      <c r="L45" s="6">
        <v>0.39</v>
      </c>
      <c r="M45" s="6"/>
      <c r="N45" s="6">
        <v>0.35820000000000002</v>
      </c>
      <c r="O45" s="6">
        <v>5</v>
      </c>
      <c r="P45" s="6">
        <v>17</v>
      </c>
      <c r="Q45" s="6">
        <v>22</v>
      </c>
      <c r="R45" s="8"/>
      <c r="S45" s="8"/>
      <c r="T45" s="8"/>
      <c r="V45">
        <v>2</v>
      </c>
      <c r="W45">
        <v>18</v>
      </c>
    </row>
    <row r="46" spans="1:30">
      <c r="A46" s="3">
        <v>45</v>
      </c>
      <c r="B46" s="4">
        <v>40545</v>
      </c>
      <c r="C46" s="3">
        <v>1</v>
      </c>
      <c r="D46" s="3">
        <v>0</v>
      </c>
      <c r="E46" s="3" t="str">
        <f t="shared" si="0"/>
        <v>January</v>
      </c>
      <c r="F46" s="3">
        <v>21</v>
      </c>
      <c r="G46" s="3" t="b">
        <v>0</v>
      </c>
      <c r="H46" s="3" t="str">
        <f t="shared" ref="H46:H63" si="3">TEXT(B46,"dddd")</f>
        <v>Sunday</v>
      </c>
      <c r="I46" s="3">
        <v>0</v>
      </c>
      <c r="J46" s="3" t="str">
        <f t="shared" si="2"/>
        <v>Clear</v>
      </c>
      <c r="K46" s="3">
        <v>0.26</v>
      </c>
      <c r="L46" s="6">
        <v>0.44</v>
      </c>
      <c r="M46" s="6">
        <v>0.2273</v>
      </c>
      <c r="N46" s="6">
        <v>0.32840000000000003</v>
      </c>
      <c r="O46" s="6">
        <v>11</v>
      </c>
      <c r="P46" s="6">
        <v>20</v>
      </c>
      <c r="Q46" s="6">
        <v>31</v>
      </c>
      <c r="R46" s="8"/>
      <c r="S46" s="8"/>
      <c r="T46" s="8"/>
      <c r="V46">
        <v>3</v>
      </c>
      <c r="W46">
        <v>8</v>
      </c>
    </row>
    <row r="47" spans="1:30">
      <c r="A47" s="3">
        <v>46</v>
      </c>
      <c r="B47" s="4">
        <v>40545</v>
      </c>
      <c r="C47" s="3">
        <v>1</v>
      </c>
      <c r="D47" s="3">
        <v>0</v>
      </c>
      <c r="E47" s="3" t="str">
        <f t="shared" si="0"/>
        <v>January</v>
      </c>
      <c r="F47" s="3">
        <v>22</v>
      </c>
      <c r="G47" s="3" t="b">
        <v>0</v>
      </c>
      <c r="H47" s="3" t="str">
        <f t="shared" si="3"/>
        <v>Sunday</v>
      </c>
      <c r="I47" s="3">
        <v>0</v>
      </c>
      <c r="J47" s="3" t="str">
        <f t="shared" si="2"/>
        <v>Foggy</v>
      </c>
      <c r="K47" s="3">
        <v>0.24</v>
      </c>
      <c r="L47" s="6">
        <v>0.44</v>
      </c>
      <c r="M47" s="6">
        <v>0.21210000000000001</v>
      </c>
      <c r="N47" s="6">
        <v>0.29849999999999999</v>
      </c>
      <c r="O47" s="6">
        <v>0</v>
      </c>
      <c r="P47" s="6">
        <v>9</v>
      </c>
      <c r="Q47" s="6">
        <v>9</v>
      </c>
      <c r="R47" s="8"/>
      <c r="S47" s="8"/>
      <c r="T47" s="8"/>
      <c r="U47">
        <v>12</v>
      </c>
      <c r="W47">
        <v>104</v>
      </c>
    </row>
    <row r="48" spans="1:30">
      <c r="A48" s="3">
        <v>47</v>
      </c>
      <c r="B48" s="4">
        <v>40545</v>
      </c>
      <c r="C48" s="3">
        <v>1</v>
      </c>
      <c r="D48" s="3">
        <v>0</v>
      </c>
      <c r="E48" s="3" t="str">
        <f t="shared" si="0"/>
        <v>January</v>
      </c>
      <c r="F48" s="3">
        <v>23</v>
      </c>
      <c r="G48" s="3" t="b">
        <v>0</v>
      </c>
      <c r="H48" s="3" t="str">
        <f t="shared" si="3"/>
        <v>Sunday</v>
      </c>
      <c r="I48" s="3">
        <v>0</v>
      </c>
      <c r="J48" s="3" t="str">
        <f t="shared" si="2"/>
        <v>Foggy</v>
      </c>
      <c r="K48" s="3">
        <v>0.22</v>
      </c>
      <c r="L48" s="6">
        <v>0.47</v>
      </c>
      <c r="M48" s="6">
        <v>0.2273</v>
      </c>
      <c r="N48" s="6">
        <v>0.16420000000000001</v>
      </c>
      <c r="O48" s="6">
        <v>0</v>
      </c>
      <c r="P48" s="6">
        <v>8</v>
      </c>
      <c r="Q48" s="6">
        <v>8</v>
      </c>
      <c r="R48" s="8"/>
      <c r="S48" s="8"/>
      <c r="T48" s="8"/>
      <c r="V48">
        <v>0</v>
      </c>
      <c r="W48">
        <v>24</v>
      </c>
    </row>
    <row r="49" spans="1:23">
      <c r="A49" s="3">
        <v>48</v>
      </c>
      <c r="B49" s="4">
        <v>40546</v>
      </c>
      <c r="C49" s="3">
        <v>1</v>
      </c>
      <c r="D49" s="3">
        <v>0</v>
      </c>
      <c r="E49" s="3" t="str">
        <f t="shared" si="0"/>
        <v>January</v>
      </c>
      <c r="F49" s="3">
        <v>0</v>
      </c>
      <c r="G49" s="3" t="b">
        <v>0</v>
      </c>
      <c r="H49" s="3" t="str">
        <f t="shared" si="3"/>
        <v>Monday</v>
      </c>
      <c r="I49" s="3">
        <v>1</v>
      </c>
      <c r="J49" s="3" t="str">
        <f t="shared" si="2"/>
        <v>Foggy</v>
      </c>
      <c r="K49" s="3">
        <v>0.22</v>
      </c>
      <c r="L49" s="6">
        <v>0.44</v>
      </c>
      <c r="M49" s="6">
        <v>0.19700000000000001</v>
      </c>
      <c r="N49" s="6">
        <v>0.35820000000000002</v>
      </c>
      <c r="O49" s="6">
        <v>0</v>
      </c>
      <c r="P49" s="6">
        <v>5</v>
      </c>
      <c r="Q49" s="6">
        <v>5</v>
      </c>
      <c r="R49" s="8"/>
      <c r="S49" s="8"/>
      <c r="T49" s="8"/>
      <c r="V49">
        <v>1</v>
      </c>
      <c r="W49">
        <v>44</v>
      </c>
    </row>
    <row r="50" spans="1:23">
      <c r="A50" s="3">
        <v>49</v>
      </c>
      <c r="B50" s="4">
        <v>40546</v>
      </c>
      <c r="C50" s="3">
        <v>1</v>
      </c>
      <c r="D50" s="3">
        <v>0</v>
      </c>
      <c r="E50" s="3" t="str">
        <f t="shared" si="0"/>
        <v>January</v>
      </c>
      <c r="F50" s="3">
        <v>1</v>
      </c>
      <c r="G50" s="3" t="b">
        <v>0</v>
      </c>
      <c r="H50" s="3" t="str">
        <f t="shared" si="3"/>
        <v>Monday</v>
      </c>
      <c r="I50" s="3">
        <v>1</v>
      </c>
      <c r="J50" s="3" t="str">
        <f t="shared" si="2"/>
        <v>Foggy</v>
      </c>
      <c r="K50" s="3">
        <v>0.2</v>
      </c>
      <c r="L50" s="6">
        <v>0.44</v>
      </c>
      <c r="M50" s="6"/>
      <c r="N50" s="6">
        <v>0.41789999999999999</v>
      </c>
      <c r="O50" s="6">
        <v>0</v>
      </c>
      <c r="P50" s="6">
        <v>2</v>
      </c>
      <c r="Q50" s="6">
        <v>2</v>
      </c>
      <c r="R50" s="8"/>
      <c r="S50" s="8"/>
      <c r="T50" s="8"/>
      <c r="V50">
        <v>2</v>
      </c>
      <c r="W50">
        <v>10</v>
      </c>
    </row>
    <row r="51" spans="1:23">
      <c r="A51" s="3">
        <v>50</v>
      </c>
      <c r="B51" s="4">
        <v>40546</v>
      </c>
      <c r="C51" s="3">
        <v>1</v>
      </c>
      <c r="D51" s="3">
        <v>0</v>
      </c>
      <c r="E51" s="3" t="str">
        <f t="shared" si="0"/>
        <v>January</v>
      </c>
      <c r="F51" s="3">
        <v>4</v>
      </c>
      <c r="G51" s="3" t="b">
        <v>0</v>
      </c>
      <c r="H51" s="3" t="str">
        <f t="shared" si="3"/>
        <v>Monday</v>
      </c>
      <c r="I51" s="3">
        <v>1</v>
      </c>
      <c r="J51" s="3" t="str">
        <f t="shared" si="2"/>
        <v>Foggy</v>
      </c>
      <c r="K51" s="3">
        <v>0.16</v>
      </c>
      <c r="L51" s="6">
        <v>0.47</v>
      </c>
      <c r="M51" s="6">
        <v>0.13639999999999999</v>
      </c>
      <c r="N51" s="6">
        <v>0.3881</v>
      </c>
      <c r="O51" s="6">
        <v>0</v>
      </c>
      <c r="P51" s="6">
        <v>1</v>
      </c>
      <c r="Q51" s="6">
        <v>1</v>
      </c>
      <c r="R51" s="8"/>
      <c r="S51" s="8"/>
      <c r="T51" s="8"/>
      <c r="V51">
        <v>3</v>
      </c>
      <c r="W51">
        <v>18</v>
      </c>
    </row>
    <row r="52" spans="1:23">
      <c r="A52" s="3">
        <v>51</v>
      </c>
      <c r="B52" s="4">
        <v>40546</v>
      </c>
      <c r="C52" s="3">
        <v>1</v>
      </c>
      <c r="D52" s="3">
        <v>0</v>
      </c>
      <c r="E52" s="3" t="str">
        <f t="shared" si="0"/>
        <v>January</v>
      </c>
      <c r="F52" s="3">
        <v>5</v>
      </c>
      <c r="G52" s="3" t="b">
        <v>0</v>
      </c>
      <c r="H52" s="3" t="str">
        <f t="shared" si="3"/>
        <v>Monday</v>
      </c>
      <c r="I52" s="3">
        <v>1</v>
      </c>
      <c r="J52" s="3" t="str">
        <f t="shared" si="2"/>
        <v>Foggy</v>
      </c>
      <c r="K52" s="3">
        <v>0.16</v>
      </c>
      <c r="L52" s="6">
        <v>0.47</v>
      </c>
      <c r="M52" s="6">
        <v>0.13639999999999999</v>
      </c>
      <c r="N52" s="6">
        <v>0.28360000000000002</v>
      </c>
      <c r="O52" s="6">
        <v>0</v>
      </c>
      <c r="P52" s="6">
        <v>3</v>
      </c>
      <c r="Q52" s="6">
        <v>3</v>
      </c>
      <c r="R52" s="8"/>
      <c r="S52" s="8"/>
      <c r="T52" s="8"/>
      <c r="V52">
        <v>4</v>
      </c>
      <c r="W52">
        <v>8</v>
      </c>
    </row>
    <row r="53" spans="1:23">
      <c r="A53" s="3">
        <v>52</v>
      </c>
      <c r="B53" s="4">
        <v>40546</v>
      </c>
      <c r="C53" s="3">
        <v>1</v>
      </c>
      <c r="D53" s="3">
        <v>0</v>
      </c>
      <c r="E53" s="3" t="str">
        <f t="shared" si="0"/>
        <v>January</v>
      </c>
      <c r="F53" s="3">
        <v>6</v>
      </c>
      <c r="G53" s="3" t="b">
        <v>0</v>
      </c>
      <c r="H53" s="3" t="str">
        <f t="shared" si="3"/>
        <v>Monday</v>
      </c>
      <c r="I53" s="3">
        <v>1</v>
      </c>
      <c r="J53" s="3" t="str">
        <f t="shared" si="2"/>
        <v>Foggy</v>
      </c>
      <c r="K53" s="3">
        <v>0.14000000000000001</v>
      </c>
      <c r="L53" s="6">
        <v>0.5</v>
      </c>
      <c r="M53" s="6">
        <v>0.1061</v>
      </c>
      <c r="N53" s="6">
        <v>0.3881</v>
      </c>
      <c r="O53" s="6">
        <v>0</v>
      </c>
      <c r="P53" s="6">
        <v>30</v>
      </c>
      <c r="Q53" s="6">
        <v>30</v>
      </c>
      <c r="R53" s="8"/>
      <c r="S53" s="8"/>
      <c r="T53" s="8"/>
      <c r="U53">
        <v>13</v>
      </c>
      <c r="W53">
        <v>85</v>
      </c>
    </row>
    <row r="54" spans="1:23">
      <c r="A54" s="3">
        <v>53</v>
      </c>
      <c r="B54" s="4">
        <v>40546</v>
      </c>
      <c r="C54" s="3">
        <v>1</v>
      </c>
      <c r="D54" s="3">
        <v>0</v>
      </c>
      <c r="E54" s="3" t="str">
        <f t="shared" si="0"/>
        <v>January</v>
      </c>
      <c r="F54" s="3">
        <v>7</v>
      </c>
      <c r="G54" s="3" t="b">
        <v>0</v>
      </c>
      <c r="H54" s="3" t="str">
        <f t="shared" si="3"/>
        <v>Monday</v>
      </c>
      <c r="I54" s="3">
        <v>1</v>
      </c>
      <c r="J54" s="3" t="str">
        <f t="shared" si="2"/>
        <v>Foggy</v>
      </c>
      <c r="K54" s="3">
        <v>0.14000000000000001</v>
      </c>
      <c r="L54" s="6">
        <v>0.5</v>
      </c>
      <c r="M54" s="6">
        <v>0.13639999999999999</v>
      </c>
      <c r="N54" s="6">
        <v>0.19400000000000001</v>
      </c>
      <c r="O54" s="6">
        <v>1</v>
      </c>
      <c r="P54" s="6">
        <v>63</v>
      </c>
      <c r="Q54" s="6">
        <v>64</v>
      </c>
      <c r="R54" s="8"/>
      <c r="S54" s="8"/>
      <c r="T54" s="8"/>
      <c r="V54">
        <v>0</v>
      </c>
      <c r="W54">
        <v>26</v>
      </c>
    </row>
    <row r="55" spans="1:23">
      <c r="A55" s="3">
        <v>54</v>
      </c>
      <c r="B55" s="4">
        <v>40546</v>
      </c>
      <c r="C55" s="3">
        <v>1</v>
      </c>
      <c r="D55" s="3">
        <v>0</v>
      </c>
      <c r="E55" s="3" t="str">
        <f t="shared" si="0"/>
        <v>January</v>
      </c>
      <c r="F55" s="3">
        <v>8</v>
      </c>
      <c r="G55" s="3" t="b">
        <v>0</v>
      </c>
      <c r="H55" s="3" t="str">
        <f t="shared" si="3"/>
        <v>Monday</v>
      </c>
      <c r="I55" s="3">
        <v>1</v>
      </c>
      <c r="J55" s="3" t="str">
        <f t="shared" si="2"/>
        <v>Foggy</v>
      </c>
      <c r="K55" s="3">
        <v>0.14000000000000001</v>
      </c>
      <c r="L55" s="6">
        <v>0.5</v>
      </c>
      <c r="M55" s="6">
        <v>0.1212</v>
      </c>
      <c r="N55" s="6">
        <v>0.28360000000000002</v>
      </c>
      <c r="O55" s="6">
        <v>1</v>
      </c>
      <c r="P55" s="6">
        <v>153</v>
      </c>
      <c r="Q55" s="6">
        <v>154</v>
      </c>
      <c r="R55" s="8"/>
      <c r="S55" s="8"/>
      <c r="T55" s="8"/>
      <c r="V55">
        <v>1</v>
      </c>
      <c r="W55">
        <v>12</v>
      </c>
    </row>
    <row r="56" spans="1:23">
      <c r="A56" s="3">
        <v>55</v>
      </c>
      <c r="B56" s="4">
        <v>40546</v>
      </c>
      <c r="C56" s="3">
        <v>1</v>
      </c>
      <c r="D56" s="3">
        <v>0</v>
      </c>
      <c r="E56" s="3" t="str">
        <f t="shared" si="0"/>
        <v>January</v>
      </c>
      <c r="F56" s="3">
        <v>9</v>
      </c>
      <c r="G56" s="3" t="b">
        <v>0</v>
      </c>
      <c r="H56" s="3" t="str">
        <f t="shared" si="3"/>
        <v>Monday</v>
      </c>
      <c r="I56" s="3">
        <v>1</v>
      </c>
      <c r="J56" s="3" t="str">
        <f t="shared" si="2"/>
        <v>Foggy</v>
      </c>
      <c r="K56" s="3">
        <v>0.16</v>
      </c>
      <c r="L56" s="6">
        <v>0.43</v>
      </c>
      <c r="M56" s="6">
        <v>0.13639999999999999</v>
      </c>
      <c r="N56" s="6">
        <v>0.3881</v>
      </c>
      <c r="O56" s="6">
        <v>7</v>
      </c>
      <c r="P56" s="6">
        <v>81</v>
      </c>
      <c r="Q56" s="6">
        <v>88</v>
      </c>
      <c r="R56" s="8"/>
      <c r="S56" s="8"/>
      <c r="T56" s="8"/>
      <c r="V56">
        <v>3</v>
      </c>
      <c r="W56">
        <v>30</v>
      </c>
    </row>
    <row r="57" spans="1:23">
      <c r="A57" s="3">
        <v>56</v>
      </c>
      <c r="B57" s="4">
        <v>40546</v>
      </c>
      <c r="C57" s="3">
        <v>1</v>
      </c>
      <c r="D57" s="3">
        <v>0</v>
      </c>
      <c r="E57" s="3" t="str">
        <f t="shared" si="0"/>
        <v>January</v>
      </c>
      <c r="F57" s="3">
        <v>10</v>
      </c>
      <c r="G57" s="3" t="b">
        <v>0</v>
      </c>
      <c r="H57" s="3" t="str">
        <f t="shared" si="3"/>
        <v>Monday</v>
      </c>
      <c r="I57" s="3">
        <v>1</v>
      </c>
      <c r="J57" s="3" t="str">
        <f t="shared" si="2"/>
        <v>Foggy</v>
      </c>
      <c r="K57" s="3">
        <v>0.18</v>
      </c>
      <c r="L57" s="6">
        <v>0.43</v>
      </c>
      <c r="M57" s="6">
        <v>0.16669999999999999</v>
      </c>
      <c r="N57" s="6">
        <v>0.25369999999999998</v>
      </c>
      <c r="O57" s="6">
        <v>11</v>
      </c>
      <c r="P57" s="6">
        <v>33</v>
      </c>
      <c r="Q57" s="6">
        <v>44</v>
      </c>
      <c r="R57" s="8"/>
      <c r="S57" s="8"/>
      <c r="T57" s="8"/>
      <c r="V57">
        <v>4</v>
      </c>
      <c r="W57">
        <v>9</v>
      </c>
    </row>
    <row r="58" spans="1:23">
      <c r="A58" s="3">
        <v>57</v>
      </c>
      <c r="B58" s="4">
        <v>40546</v>
      </c>
      <c r="C58" s="3">
        <v>1</v>
      </c>
      <c r="D58" s="3">
        <v>0</v>
      </c>
      <c r="E58" s="3" t="str">
        <f t="shared" si="0"/>
        <v>January</v>
      </c>
      <c r="F58" s="3">
        <v>11</v>
      </c>
      <c r="G58" s="3" t="b">
        <v>0</v>
      </c>
      <c r="H58" s="3" t="str">
        <f t="shared" si="3"/>
        <v>Monday</v>
      </c>
      <c r="I58" s="3">
        <v>1</v>
      </c>
      <c r="J58" s="3" t="str">
        <f t="shared" si="2"/>
        <v>Foggy</v>
      </c>
      <c r="K58" s="3">
        <v>0.2</v>
      </c>
      <c r="L58" s="6">
        <v>0.4</v>
      </c>
      <c r="M58" s="6">
        <v>0.18179999999999999</v>
      </c>
      <c r="N58" s="6">
        <v>0.32840000000000003</v>
      </c>
      <c r="O58" s="6">
        <v>10</v>
      </c>
      <c r="P58" s="6">
        <v>41</v>
      </c>
      <c r="Q58" s="6">
        <v>51</v>
      </c>
      <c r="R58" s="8"/>
      <c r="S58" s="8"/>
      <c r="T58" s="8"/>
      <c r="V58">
        <v>5</v>
      </c>
      <c r="W58">
        <v>8</v>
      </c>
    </row>
    <row r="59" spans="1:23">
      <c r="A59" s="3">
        <v>58</v>
      </c>
      <c r="B59" s="4">
        <v>40546</v>
      </c>
      <c r="C59" s="3">
        <v>1</v>
      </c>
      <c r="D59" s="3">
        <v>0</v>
      </c>
      <c r="E59" s="3" t="str">
        <f t="shared" si="0"/>
        <v>January</v>
      </c>
      <c r="F59" s="3">
        <v>12</v>
      </c>
      <c r="G59" s="3" t="b">
        <v>0</v>
      </c>
      <c r="H59" s="3" t="str">
        <f t="shared" si="3"/>
        <v>Monday</v>
      </c>
      <c r="I59" s="3">
        <v>1</v>
      </c>
      <c r="J59" s="3" t="str">
        <f t="shared" si="2"/>
        <v>Foggy</v>
      </c>
      <c r="K59" s="3">
        <v>0.22</v>
      </c>
      <c r="L59" s="6">
        <v>0.35</v>
      </c>
      <c r="M59" s="6">
        <v>0.21210000000000001</v>
      </c>
      <c r="N59" s="6">
        <v>0.29849999999999999</v>
      </c>
      <c r="O59" s="6">
        <v>13</v>
      </c>
      <c r="P59" s="6">
        <v>48</v>
      </c>
      <c r="Q59" s="6">
        <v>61</v>
      </c>
      <c r="R59" s="8"/>
      <c r="S59" s="8"/>
      <c r="T59" s="8"/>
      <c r="U59">
        <v>14</v>
      </c>
      <c r="W59">
        <v>32</v>
      </c>
    </row>
    <row r="60" spans="1:23">
      <c r="A60" s="3">
        <v>59</v>
      </c>
      <c r="B60" s="4">
        <v>40546</v>
      </c>
      <c r="C60" s="3">
        <v>1</v>
      </c>
      <c r="D60" s="3">
        <v>0</v>
      </c>
      <c r="E60" s="3" t="str">
        <f t="shared" si="0"/>
        <v>January</v>
      </c>
      <c r="F60" s="3">
        <v>13</v>
      </c>
      <c r="G60" s="3" t="b">
        <v>0</v>
      </c>
      <c r="H60" s="3" t="str">
        <f t="shared" si="3"/>
        <v>Monday</v>
      </c>
      <c r="I60" s="3">
        <v>1</v>
      </c>
      <c r="J60" s="3" t="str">
        <f t="shared" si="2"/>
        <v>Foggy</v>
      </c>
      <c r="K60" s="3">
        <v>0.24</v>
      </c>
      <c r="L60" s="6">
        <v>0.35</v>
      </c>
      <c r="M60" s="6"/>
      <c r="N60" s="6">
        <v>0.28360000000000002</v>
      </c>
      <c r="O60" s="6">
        <v>8</v>
      </c>
      <c r="P60" s="6">
        <v>53</v>
      </c>
      <c r="Q60" s="6">
        <v>61</v>
      </c>
      <c r="R60" s="8"/>
      <c r="S60" s="8"/>
      <c r="T60" s="8"/>
      <c r="V60">
        <v>0</v>
      </c>
      <c r="W60">
        <v>14</v>
      </c>
    </row>
    <row r="61" spans="1:23">
      <c r="A61" s="3">
        <v>60</v>
      </c>
      <c r="B61" s="4">
        <v>40546</v>
      </c>
      <c r="C61" s="3">
        <v>1</v>
      </c>
      <c r="D61" s="3">
        <v>0</v>
      </c>
      <c r="E61" s="3" t="str">
        <f t="shared" si="0"/>
        <v>January</v>
      </c>
      <c r="F61" s="3">
        <v>14</v>
      </c>
      <c r="G61" s="3" t="b">
        <v>0</v>
      </c>
      <c r="H61" s="3" t="str">
        <f t="shared" si="3"/>
        <v>Monday</v>
      </c>
      <c r="I61" s="3">
        <v>1</v>
      </c>
      <c r="J61" s="3" t="str">
        <f t="shared" si="2"/>
        <v>Clear</v>
      </c>
      <c r="K61" s="3">
        <v>0.26</v>
      </c>
      <c r="L61" s="6">
        <v>0.3</v>
      </c>
      <c r="M61" s="6">
        <v>0.2424</v>
      </c>
      <c r="N61" s="6">
        <v>0.28360000000000002</v>
      </c>
      <c r="O61" s="6">
        <v>11</v>
      </c>
      <c r="P61" s="6">
        <v>66</v>
      </c>
      <c r="Q61" s="6">
        <v>77</v>
      </c>
      <c r="R61" s="8"/>
      <c r="S61" s="8"/>
      <c r="T61" s="8"/>
      <c r="V61">
        <v>2</v>
      </c>
      <c r="W61">
        <v>12</v>
      </c>
    </row>
    <row r="62" spans="1:23">
      <c r="A62" s="3">
        <v>61</v>
      </c>
      <c r="B62" s="4">
        <v>40546</v>
      </c>
      <c r="C62" s="3">
        <v>1</v>
      </c>
      <c r="D62" s="3">
        <v>0</v>
      </c>
      <c r="E62" s="3" t="str">
        <f t="shared" si="0"/>
        <v>January</v>
      </c>
      <c r="F62" s="3">
        <v>15</v>
      </c>
      <c r="G62" s="3" t="b">
        <v>0</v>
      </c>
      <c r="H62" s="3" t="str">
        <f t="shared" si="3"/>
        <v>Monday</v>
      </c>
      <c r="I62" s="3">
        <v>1</v>
      </c>
      <c r="J62" s="3" t="str">
        <f t="shared" si="2"/>
        <v>Clear</v>
      </c>
      <c r="K62" s="3">
        <v>0.26</v>
      </c>
      <c r="L62" s="6">
        <v>0.3</v>
      </c>
      <c r="M62" s="6">
        <v>0.2424</v>
      </c>
      <c r="N62" s="6">
        <v>0.25369999999999998</v>
      </c>
      <c r="O62" s="6">
        <v>14</v>
      </c>
      <c r="P62" s="6">
        <v>58</v>
      </c>
      <c r="Q62" s="6">
        <v>72</v>
      </c>
      <c r="R62" s="8"/>
      <c r="S62" s="8"/>
      <c r="T62" s="8"/>
      <c r="V62">
        <v>8</v>
      </c>
      <c r="W62">
        <v>6</v>
      </c>
    </row>
    <row r="63" spans="1:23">
      <c r="A63" s="3">
        <v>62</v>
      </c>
      <c r="B63" s="4">
        <v>40546</v>
      </c>
      <c r="C63" s="3">
        <v>1</v>
      </c>
      <c r="D63" s="3">
        <v>0</v>
      </c>
      <c r="E63" s="3" t="str">
        <f t="shared" si="0"/>
        <v>January</v>
      </c>
      <c r="F63" s="3">
        <v>16</v>
      </c>
      <c r="G63" s="3" t="b">
        <v>0</v>
      </c>
      <c r="H63" s="3" t="str">
        <f t="shared" si="3"/>
        <v>Monday</v>
      </c>
      <c r="I63" s="3">
        <v>1</v>
      </c>
      <c r="J63" s="3" t="str">
        <f t="shared" si="2"/>
        <v>Clear</v>
      </c>
      <c r="K63" s="3">
        <v>0.26</v>
      </c>
      <c r="L63" s="6">
        <v>0.3</v>
      </c>
      <c r="M63" s="6">
        <v>0.2424</v>
      </c>
      <c r="N63" s="6">
        <v>0.25369999999999998</v>
      </c>
      <c r="O63" s="6">
        <v>9</v>
      </c>
      <c r="P63" s="6">
        <v>67</v>
      </c>
      <c r="Q63" s="6">
        <v>76</v>
      </c>
      <c r="R63" s="8"/>
      <c r="S63" s="8"/>
      <c r="T63" s="8"/>
      <c r="U63">
        <v>15</v>
      </c>
      <c r="W63">
        <v>116</v>
      </c>
    </row>
    <row r="64" spans="1:23">
      <c r="A64" s="3">
        <v>63</v>
      </c>
      <c r="B64" s="4">
        <v>40546</v>
      </c>
      <c r="C64" s="3">
        <v>1</v>
      </c>
      <c r="D64" s="3">
        <v>0</v>
      </c>
      <c r="E64" s="3" t="str">
        <f t="shared" si="0"/>
        <v>January</v>
      </c>
      <c r="F64" s="3">
        <v>17</v>
      </c>
      <c r="G64" s="3" t="b">
        <v>0</v>
      </c>
      <c r="H64" s="3" t="str">
        <f t="shared" ref="H64:H97" si="4">TEXT(B64,"dddd")</f>
        <v>Monday</v>
      </c>
      <c r="I64" s="3">
        <v>1</v>
      </c>
      <c r="J64" s="3" t="str">
        <f t="shared" si="2"/>
        <v>Foggy</v>
      </c>
      <c r="K64" s="3">
        <v>0.24</v>
      </c>
      <c r="L64" s="6">
        <v>0.3</v>
      </c>
      <c r="M64" s="6">
        <v>0.2273</v>
      </c>
      <c r="N64" s="6">
        <v>0.22389999999999999</v>
      </c>
      <c r="O64" s="6">
        <v>11</v>
      </c>
      <c r="P64" s="6">
        <v>146</v>
      </c>
      <c r="Q64" s="6">
        <v>157</v>
      </c>
      <c r="R64" s="8"/>
      <c r="S64" s="8"/>
      <c r="T64" s="8"/>
      <c r="V64">
        <v>0</v>
      </c>
      <c r="W64">
        <v>45</v>
      </c>
    </row>
    <row r="65" spans="1:23">
      <c r="A65" s="3">
        <v>64</v>
      </c>
      <c r="B65" s="4">
        <v>40546</v>
      </c>
      <c r="C65" s="3">
        <v>1</v>
      </c>
      <c r="D65" s="3">
        <v>0</v>
      </c>
      <c r="E65" s="3" t="str">
        <f t="shared" si="0"/>
        <v>January</v>
      </c>
      <c r="F65" s="3">
        <v>18</v>
      </c>
      <c r="G65" s="3" t="b">
        <v>0</v>
      </c>
      <c r="H65" s="3" t="str">
        <f t="shared" si="4"/>
        <v>Monday</v>
      </c>
      <c r="I65" s="3">
        <v>1</v>
      </c>
      <c r="J65" s="3" t="str">
        <f t="shared" si="2"/>
        <v>Foggy</v>
      </c>
      <c r="K65" s="3">
        <v>0.24</v>
      </c>
      <c r="L65" s="6">
        <v>0.32</v>
      </c>
      <c r="M65" s="6">
        <v>0.2576</v>
      </c>
      <c r="N65" s="6">
        <v>0.1045</v>
      </c>
      <c r="O65" s="6">
        <v>9</v>
      </c>
      <c r="P65" s="6">
        <v>148</v>
      </c>
      <c r="Q65" s="6">
        <v>157</v>
      </c>
      <c r="R65" s="8"/>
      <c r="S65" s="8"/>
      <c r="T65" s="8"/>
      <c r="V65">
        <v>1</v>
      </c>
      <c r="W65">
        <v>42</v>
      </c>
    </row>
    <row r="66" spans="1:23">
      <c r="A66" s="3">
        <v>65</v>
      </c>
      <c r="B66" s="4">
        <v>40546</v>
      </c>
      <c r="C66" s="3">
        <v>1</v>
      </c>
      <c r="D66" s="3">
        <v>0</v>
      </c>
      <c r="E66" s="3" t="str">
        <f t="shared" si="0"/>
        <v>January</v>
      </c>
      <c r="F66" s="3">
        <v>19</v>
      </c>
      <c r="G66" s="3" t="b">
        <v>0</v>
      </c>
      <c r="H66" s="3" t="str">
        <f t="shared" si="4"/>
        <v>Monday</v>
      </c>
      <c r="I66" s="3">
        <v>1</v>
      </c>
      <c r="J66" s="3" t="str">
        <f t="shared" si="2"/>
        <v>Foggy</v>
      </c>
      <c r="K66" s="3">
        <v>0.2</v>
      </c>
      <c r="L66" s="6">
        <v>0.47</v>
      </c>
      <c r="M66" s="6">
        <v>0.2576</v>
      </c>
      <c r="N66" s="6">
        <v>0</v>
      </c>
      <c r="O66" s="6">
        <v>8</v>
      </c>
      <c r="P66" s="6">
        <v>102</v>
      </c>
      <c r="Q66" s="6">
        <v>110</v>
      </c>
      <c r="R66" s="8"/>
      <c r="S66" s="8"/>
      <c r="T66" s="8"/>
      <c r="V66">
        <v>2</v>
      </c>
      <c r="W66">
        <v>13</v>
      </c>
    </row>
    <row r="67" spans="1:23">
      <c r="A67" s="3">
        <v>66</v>
      </c>
      <c r="B67" s="4">
        <v>40546</v>
      </c>
      <c r="C67" s="3">
        <v>1</v>
      </c>
      <c r="D67" s="3">
        <v>0</v>
      </c>
      <c r="E67" s="3" t="str">
        <f t="shared" ref="E67:E130" si="5">TEXT(B67,"MMMM")</f>
        <v>January</v>
      </c>
      <c r="F67" s="3">
        <v>20</v>
      </c>
      <c r="G67" s="3" t="b">
        <v>0</v>
      </c>
      <c r="H67" s="3" t="str">
        <f t="shared" si="4"/>
        <v>Monday</v>
      </c>
      <c r="I67" s="3">
        <v>1</v>
      </c>
      <c r="J67" s="3" t="str">
        <f t="shared" si="2"/>
        <v>Foggy</v>
      </c>
      <c r="K67" s="3">
        <v>0.2</v>
      </c>
      <c r="L67" s="6">
        <v>0.47</v>
      </c>
      <c r="M67" s="6"/>
      <c r="N67" s="6">
        <v>0.1045</v>
      </c>
      <c r="O67" s="6">
        <v>3</v>
      </c>
      <c r="P67" s="6">
        <v>49</v>
      </c>
      <c r="Q67" s="6">
        <v>52</v>
      </c>
      <c r="R67" s="8"/>
      <c r="S67" s="8"/>
      <c r="T67" s="8"/>
      <c r="V67">
        <v>5</v>
      </c>
      <c r="W67">
        <v>10</v>
      </c>
    </row>
    <row r="68" spans="1:23">
      <c r="A68" s="3">
        <v>67</v>
      </c>
      <c r="B68" s="4">
        <v>40546</v>
      </c>
      <c r="C68" s="3">
        <v>1</v>
      </c>
      <c r="D68" s="3">
        <v>0</v>
      </c>
      <c r="E68" s="3" t="str">
        <f t="shared" si="5"/>
        <v>January</v>
      </c>
      <c r="F68" s="3">
        <v>21</v>
      </c>
      <c r="G68" s="3" t="b">
        <v>0</v>
      </c>
      <c r="H68" s="3" t="str">
        <f t="shared" si="4"/>
        <v>Monday</v>
      </c>
      <c r="I68" s="3">
        <v>1</v>
      </c>
      <c r="J68" s="3" t="str">
        <f t="shared" si="2"/>
        <v>Foggy</v>
      </c>
      <c r="K68" s="3">
        <v>0.18</v>
      </c>
      <c r="L68" s="6">
        <v>0.64</v>
      </c>
      <c r="M68" s="6">
        <v>0.19700000000000001</v>
      </c>
      <c r="N68" s="6">
        <v>0.1343</v>
      </c>
      <c r="O68" s="6">
        <v>3</v>
      </c>
      <c r="P68" s="6">
        <v>49</v>
      </c>
      <c r="Q68" s="6">
        <v>52</v>
      </c>
      <c r="R68" s="8"/>
      <c r="S68" s="8"/>
      <c r="T68" s="8"/>
      <c r="V68">
        <v>9</v>
      </c>
      <c r="W68">
        <v>6</v>
      </c>
    </row>
    <row r="69" spans="1:23">
      <c r="A69" s="3">
        <v>68</v>
      </c>
      <c r="B69" s="4">
        <v>40546</v>
      </c>
      <c r="C69" s="3">
        <v>1</v>
      </c>
      <c r="D69" s="3">
        <v>0</v>
      </c>
      <c r="E69" s="3" t="str">
        <f t="shared" si="5"/>
        <v>January</v>
      </c>
      <c r="F69" s="3">
        <v>22</v>
      </c>
      <c r="G69" s="3" t="b">
        <v>0</v>
      </c>
      <c r="H69" s="3" t="str">
        <f t="shared" si="4"/>
        <v>Monday</v>
      </c>
      <c r="I69" s="3">
        <v>1</v>
      </c>
      <c r="J69" s="3" t="str">
        <f t="shared" si="2"/>
        <v>Foggy</v>
      </c>
      <c r="K69" s="3">
        <v>0.14000000000000001</v>
      </c>
      <c r="L69" s="6">
        <v>0.69</v>
      </c>
      <c r="M69" s="6">
        <v>0.1515</v>
      </c>
      <c r="N69" s="6">
        <v>0.1343</v>
      </c>
      <c r="O69" s="6">
        <v>0</v>
      </c>
      <c r="P69" s="6">
        <v>20</v>
      </c>
      <c r="Q69" s="6">
        <v>20</v>
      </c>
      <c r="R69" s="8"/>
      <c r="S69" s="8"/>
      <c r="T69" s="8"/>
      <c r="U69">
        <v>16</v>
      </c>
      <c r="W69">
        <v>148</v>
      </c>
    </row>
    <row r="70" spans="1:23">
      <c r="A70" s="3">
        <v>69</v>
      </c>
      <c r="B70" s="4">
        <v>40546</v>
      </c>
      <c r="C70" s="3">
        <v>1</v>
      </c>
      <c r="D70" s="3">
        <v>0</v>
      </c>
      <c r="E70" s="3" t="str">
        <f t="shared" si="5"/>
        <v>January</v>
      </c>
      <c r="F70" s="3">
        <v>23</v>
      </c>
      <c r="G70" s="3" t="b">
        <v>0</v>
      </c>
      <c r="H70" s="3" t="str">
        <f t="shared" si="4"/>
        <v>Monday</v>
      </c>
      <c r="I70" s="3">
        <v>1</v>
      </c>
      <c r="J70" s="3" t="str">
        <f t="shared" si="2"/>
        <v>Foggy</v>
      </c>
      <c r="K70" s="3">
        <v>0.18</v>
      </c>
      <c r="L70" s="6">
        <v>0.55000000000000004</v>
      </c>
      <c r="M70" s="6">
        <v>0.21210000000000001</v>
      </c>
      <c r="N70" s="6">
        <v>0.1045</v>
      </c>
      <c r="O70" s="6">
        <v>1</v>
      </c>
      <c r="P70" s="6">
        <v>11</v>
      </c>
      <c r="Q70" s="6">
        <v>12</v>
      </c>
      <c r="R70" s="8"/>
      <c r="S70" s="8"/>
      <c r="T70" s="8"/>
      <c r="V70">
        <v>0</v>
      </c>
      <c r="W70">
        <v>64</v>
      </c>
    </row>
    <row r="71" spans="1:23">
      <c r="A71" s="3">
        <v>70</v>
      </c>
      <c r="B71" s="4">
        <v>40547</v>
      </c>
      <c r="C71" s="3">
        <v>1</v>
      </c>
      <c r="D71" s="3">
        <v>0</v>
      </c>
      <c r="E71" s="3" t="str">
        <f t="shared" si="5"/>
        <v>January</v>
      </c>
      <c r="F71" s="3">
        <v>0</v>
      </c>
      <c r="G71" s="3" t="b">
        <v>0</v>
      </c>
      <c r="H71" s="3" t="str">
        <f t="shared" si="4"/>
        <v>Tuesday</v>
      </c>
      <c r="I71" s="3">
        <v>2</v>
      </c>
      <c r="J71" s="3" t="str">
        <f t="shared" ref="J71:J134" si="6">IF($K71&lt;=0.24,"Foggy",IF($K71&gt;0.24,"Clear"))</f>
        <v>Foggy</v>
      </c>
      <c r="K71" s="3">
        <v>0.16</v>
      </c>
      <c r="L71" s="6">
        <v>0.55000000000000004</v>
      </c>
      <c r="M71" s="6"/>
      <c r="N71" s="6">
        <v>0.1045</v>
      </c>
      <c r="O71" s="6">
        <v>0</v>
      </c>
      <c r="P71" s="6">
        <v>5</v>
      </c>
      <c r="Q71" s="6">
        <v>5</v>
      </c>
      <c r="R71" s="8"/>
      <c r="S71" s="8"/>
      <c r="T71" s="8"/>
      <c r="V71">
        <v>1</v>
      </c>
      <c r="W71">
        <v>45</v>
      </c>
    </row>
    <row r="72" spans="1:23">
      <c r="A72" s="3">
        <v>71</v>
      </c>
      <c r="B72" s="4">
        <v>40547</v>
      </c>
      <c r="C72" s="3">
        <v>1</v>
      </c>
      <c r="D72" s="3">
        <v>0</v>
      </c>
      <c r="E72" s="3" t="str">
        <f t="shared" si="5"/>
        <v>January</v>
      </c>
      <c r="F72" s="3">
        <v>1</v>
      </c>
      <c r="G72" s="3" t="b">
        <v>0</v>
      </c>
      <c r="H72" s="3" t="str">
        <f t="shared" si="4"/>
        <v>Tuesday</v>
      </c>
      <c r="I72" s="3">
        <v>2</v>
      </c>
      <c r="J72" s="3" t="str">
        <f t="shared" si="6"/>
        <v>Foggy</v>
      </c>
      <c r="K72" s="3">
        <v>0.16</v>
      </c>
      <c r="L72" s="6">
        <v>0.59</v>
      </c>
      <c r="M72" s="6">
        <v>0.18179999999999999</v>
      </c>
      <c r="N72" s="6">
        <v>0.1045</v>
      </c>
      <c r="O72" s="6">
        <v>0</v>
      </c>
      <c r="P72" s="6">
        <v>2</v>
      </c>
      <c r="Q72" s="6">
        <v>2</v>
      </c>
      <c r="R72" s="8"/>
      <c r="S72" s="8"/>
      <c r="T72" s="8"/>
      <c r="V72">
        <v>3</v>
      </c>
      <c r="W72">
        <v>39</v>
      </c>
    </row>
    <row r="73" spans="1:23">
      <c r="A73" s="3">
        <v>72</v>
      </c>
      <c r="B73" s="4">
        <v>40547</v>
      </c>
      <c r="C73" s="3">
        <v>1</v>
      </c>
      <c r="D73" s="3">
        <v>0</v>
      </c>
      <c r="E73" s="3" t="str">
        <f t="shared" si="5"/>
        <v>January</v>
      </c>
      <c r="F73" s="3">
        <v>2</v>
      </c>
      <c r="G73" s="3" t="b">
        <v>0</v>
      </c>
      <c r="H73" s="3" t="str">
        <f t="shared" si="4"/>
        <v>Tuesday</v>
      </c>
      <c r="I73" s="3">
        <v>2</v>
      </c>
      <c r="J73" s="3" t="str">
        <f t="shared" si="6"/>
        <v>Foggy</v>
      </c>
      <c r="K73" s="3">
        <v>0.14000000000000001</v>
      </c>
      <c r="L73" s="6">
        <v>0.63</v>
      </c>
      <c r="M73" s="6">
        <v>0.1515</v>
      </c>
      <c r="N73" s="6">
        <v>0.1343</v>
      </c>
      <c r="O73" s="6">
        <v>0</v>
      </c>
      <c r="P73" s="6">
        <v>1</v>
      </c>
      <c r="Q73" s="6">
        <v>1</v>
      </c>
      <c r="R73" s="8"/>
      <c r="S73" s="8"/>
      <c r="T73" s="8"/>
      <c r="U73">
        <v>17</v>
      </c>
      <c r="W73">
        <v>133</v>
      </c>
    </row>
    <row r="74" spans="1:23">
      <c r="A74" s="3">
        <v>73</v>
      </c>
      <c r="B74" s="4">
        <v>40547</v>
      </c>
      <c r="C74" s="3">
        <v>1</v>
      </c>
      <c r="D74" s="3">
        <v>0</v>
      </c>
      <c r="E74" s="3" t="str">
        <f t="shared" si="5"/>
        <v>January</v>
      </c>
      <c r="F74" s="3">
        <v>4</v>
      </c>
      <c r="G74" s="3" t="b">
        <v>0</v>
      </c>
      <c r="H74" s="3" t="str">
        <f t="shared" si="4"/>
        <v>Tuesday</v>
      </c>
      <c r="I74" s="3">
        <v>2</v>
      </c>
      <c r="J74" s="3" t="str">
        <f t="shared" si="6"/>
        <v>Foggy</v>
      </c>
      <c r="K74" s="3">
        <v>0.14000000000000001</v>
      </c>
      <c r="L74" s="6">
        <v>0.63</v>
      </c>
      <c r="M74" s="6">
        <v>0.18179999999999999</v>
      </c>
      <c r="N74" s="6">
        <v>8.9599999999999999E-2</v>
      </c>
      <c r="O74" s="6">
        <v>0</v>
      </c>
      <c r="P74" s="6">
        <v>2</v>
      </c>
      <c r="Q74" s="6">
        <v>2</v>
      </c>
      <c r="R74" s="8"/>
      <c r="S74" s="8"/>
      <c r="T74" s="8"/>
      <c r="V74">
        <v>0</v>
      </c>
      <c r="W74">
        <v>34</v>
      </c>
    </row>
    <row r="75" spans="1:23">
      <c r="A75" s="3">
        <v>74</v>
      </c>
      <c r="B75" s="4">
        <v>40547</v>
      </c>
      <c r="C75" s="3">
        <v>1</v>
      </c>
      <c r="D75" s="3">
        <v>0</v>
      </c>
      <c r="E75" s="3" t="str">
        <f t="shared" si="5"/>
        <v>January</v>
      </c>
      <c r="F75" s="3">
        <v>5</v>
      </c>
      <c r="G75" s="3" t="b">
        <v>0</v>
      </c>
      <c r="H75" s="3" t="str">
        <f t="shared" si="4"/>
        <v>Tuesday</v>
      </c>
      <c r="I75" s="3">
        <v>2</v>
      </c>
      <c r="J75" s="3" t="str">
        <f t="shared" si="6"/>
        <v>Foggy</v>
      </c>
      <c r="K75" s="3">
        <v>0.12</v>
      </c>
      <c r="L75" s="6">
        <v>0.68</v>
      </c>
      <c r="M75" s="6">
        <v>0.1515</v>
      </c>
      <c r="N75" s="6">
        <v>0.1045</v>
      </c>
      <c r="O75" s="6">
        <v>0</v>
      </c>
      <c r="P75" s="6">
        <v>4</v>
      </c>
      <c r="Q75" s="6">
        <v>4</v>
      </c>
      <c r="R75" s="8"/>
      <c r="S75" s="8"/>
      <c r="T75" s="8"/>
      <c r="V75">
        <v>1</v>
      </c>
      <c r="W75">
        <v>32</v>
      </c>
    </row>
    <row r="76" spans="1:23">
      <c r="A76" s="3">
        <v>75</v>
      </c>
      <c r="B76" s="4">
        <v>40547</v>
      </c>
      <c r="C76" s="3">
        <v>1</v>
      </c>
      <c r="D76" s="3">
        <v>0</v>
      </c>
      <c r="E76" s="3" t="str">
        <f t="shared" si="5"/>
        <v>January</v>
      </c>
      <c r="F76" s="3">
        <v>6</v>
      </c>
      <c r="G76" s="3" t="b">
        <v>0</v>
      </c>
      <c r="H76" s="3" t="str">
        <f t="shared" si="4"/>
        <v>Tuesday</v>
      </c>
      <c r="I76" s="3">
        <v>2</v>
      </c>
      <c r="J76" s="3" t="str">
        <f t="shared" si="6"/>
        <v>Foggy</v>
      </c>
      <c r="K76" s="3">
        <v>0.12</v>
      </c>
      <c r="L76" s="6">
        <v>0.74</v>
      </c>
      <c r="M76" s="6">
        <v>0.1515</v>
      </c>
      <c r="N76" s="6">
        <v>0.1045</v>
      </c>
      <c r="O76" s="6">
        <v>0</v>
      </c>
      <c r="P76" s="6">
        <v>36</v>
      </c>
      <c r="Q76" s="6">
        <v>36</v>
      </c>
      <c r="R76" s="8"/>
      <c r="S76" s="8"/>
      <c r="T76" s="8"/>
      <c r="V76">
        <v>2</v>
      </c>
      <c r="W76">
        <v>15</v>
      </c>
    </row>
    <row r="77" spans="1:23">
      <c r="A77" s="3">
        <v>76</v>
      </c>
      <c r="B77" s="4">
        <v>40547</v>
      </c>
      <c r="C77" s="3">
        <v>1</v>
      </c>
      <c r="D77" s="3">
        <v>0</v>
      </c>
      <c r="E77" s="3" t="str">
        <f t="shared" si="5"/>
        <v>January</v>
      </c>
      <c r="F77" s="3">
        <v>7</v>
      </c>
      <c r="G77" s="3" t="b">
        <v>0</v>
      </c>
      <c r="H77" s="3" t="str">
        <f t="shared" si="4"/>
        <v>Tuesday</v>
      </c>
      <c r="I77" s="3">
        <v>2</v>
      </c>
      <c r="J77" s="3" t="str">
        <f t="shared" si="6"/>
        <v>Foggy</v>
      </c>
      <c r="K77" s="3">
        <v>0.12</v>
      </c>
      <c r="L77" s="6">
        <v>0.74</v>
      </c>
      <c r="M77" s="6">
        <v>0.1515</v>
      </c>
      <c r="N77" s="6">
        <v>0.1343</v>
      </c>
      <c r="O77" s="6">
        <v>2</v>
      </c>
      <c r="P77" s="6">
        <v>92</v>
      </c>
      <c r="Q77" s="6">
        <v>94</v>
      </c>
      <c r="R77" s="8"/>
      <c r="S77" s="8"/>
      <c r="T77" s="8"/>
      <c r="V77">
        <v>3</v>
      </c>
      <c r="W77">
        <v>14</v>
      </c>
    </row>
    <row r="78" spans="1:23">
      <c r="A78" s="3">
        <v>77</v>
      </c>
      <c r="B78" s="4">
        <v>40547</v>
      </c>
      <c r="C78" s="3">
        <v>1</v>
      </c>
      <c r="D78" s="3">
        <v>0</v>
      </c>
      <c r="E78" s="3" t="str">
        <f t="shared" si="5"/>
        <v>January</v>
      </c>
      <c r="F78" s="3">
        <v>8</v>
      </c>
      <c r="G78" s="3" t="b">
        <v>0</v>
      </c>
      <c r="H78" s="3" t="str">
        <f t="shared" si="4"/>
        <v>Tuesday</v>
      </c>
      <c r="I78" s="3">
        <v>2</v>
      </c>
      <c r="J78" s="3" t="str">
        <f t="shared" si="6"/>
        <v>Foggy</v>
      </c>
      <c r="K78" s="3">
        <v>0.14000000000000001</v>
      </c>
      <c r="L78" s="6">
        <v>0.69</v>
      </c>
      <c r="M78" s="6">
        <v>0.1515</v>
      </c>
      <c r="N78" s="6">
        <v>0.16420000000000001</v>
      </c>
      <c r="O78" s="6">
        <v>2</v>
      </c>
      <c r="P78" s="6">
        <v>177</v>
      </c>
      <c r="Q78" s="6">
        <v>179</v>
      </c>
      <c r="R78" s="8"/>
      <c r="S78" s="8"/>
      <c r="T78" s="8"/>
      <c r="V78">
        <v>4</v>
      </c>
      <c r="W78">
        <v>26</v>
      </c>
    </row>
    <row r="79" spans="1:23">
      <c r="A79" s="3">
        <v>78</v>
      </c>
      <c r="B79" s="4">
        <v>40547</v>
      </c>
      <c r="C79" s="3">
        <v>1</v>
      </c>
      <c r="D79" s="3">
        <v>0</v>
      </c>
      <c r="E79" s="3" t="str">
        <f t="shared" si="5"/>
        <v>January</v>
      </c>
      <c r="F79" s="3">
        <v>9</v>
      </c>
      <c r="G79" s="3" t="b">
        <v>0</v>
      </c>
      <c r="H79" s="3" t="str">
        <f t="shared" si="4"/>
        <v>Tuesday</v>
      </c>
      <c r="I79" s="3">
        <v>2</v>
      </c>
      <c r="J79" s="3" t="str">
        <f t="shared" si="6"/>
        <v>Foggy</v>
      </c>
      <c r="K79" s="3">
        <v>0.16</v>
      </c>
      <c r="L79" s="6">
        <v>0.64</v>
      </c>
      <c r="M79" s="6">
        <v>0.1515</v>
      </c>
      <c r="N79" s="6">
        <v>0.22389999999999999</v>
      </c>
      <c r="O79" s="6">
        <v>2</v>
      </c>
      <c r="P79" s="6">
        <v>98</v>
      </c>
      <c r="Q79" s="6">
        <v>100</v>
      </c>
      <c r="R79" s="8"/>
      <c r="S79" s="8"/>
      <c r="T79" s="8"/>
      <c r="V79">
        <v>5</v>
      </c>
      <c r="W79">
        <v>12</v>
      </c>
    </row>
    <row r="80" spans="1:23">
      <c r="A80" s="3">
        <v>79</v>
      </c>
      <c r="B80" s="4">
        <v>40547</v>
      </c>
      <c r="C80" s="3">
        <v>1</v>
      </c>
      <c r="D80" s="3">
        <v>0</v>
      </c>
      <c r="E80" s="3" t="str">
        <f t="shared" si="5"/>
        <v>January</v>
      </c>
      <c r="F80" s="3">
        <v>10</v>
      </c>
      <c r="G80" s="3" t="b">
        <v>0</v>
      </c>
      <c r="H80" s="3" t="str">
        <f t="shared" si="4"/>
        <v>Tuesday</v>
      </c>
      <c r="I80" s="3">
        <v>2</v>
      </c>
      <c r="J80" s="3" t="str">
        <f t="shared" si="6"/>
        <v>Foggy</v>
      </c>
      <c r="K80" s="3">
        <v>0.16</v>
      </c>
      <c r="L80" s="6">
        <v>0.69</v>
      </c>
      <c r="M80" s="6">
        <v>0.13639999999999999</v>
      </c>
      <c r="N80" s="6">
        <v>0.32840000000000003</v>
      </c>
      <c r="O80" s="6">
        <v>5</v>
      </c>
      <c r="P80" s="6">
        <v>37</v>
      </c>
      <c r="Q80" s="6">
        <v>42</v>
      </c>
      <c r="R80" s="8"/>
      <c r="S80" s="8"/>
      <c r="T80" s="8"/>
      <c r="U80">
        <v>18</v>
      </c>
      <c r="W80">
        <v>103</v>
      </c>
    </row>
    <row r="81" spans="1:23">
      <c r="A81" s="3">
        <v>80</v>
      </c>
      <c r="B81" s="4">
        <v>40547</v>
      </c>
      <c r="C81" s="3">
        <v>1</v>
      </c>
      <c r="D81" s="3">
        <v>0</v>
      </c>
      <c r="E81" s="3" t="str">
        <f t="shared" si="5"/>
        <v>January</v>
      </c>
      <c r="F81" s="3">
        <v>11</v>
      </c>
      <c r="G81" s="3" t="b">
        <v>0</v>
      </c>
      <c r="H81" s="3" t="str">
        <f t="shared" si="4"/>
        <v>Tuesday</v>
      </c>
      <c r="I81" s="3">
        <v>2</v>
      </c>
      <c r="J81" s="3" t="str">
        <f t="shared" si="6"/>
        <v>Foggy</v>
      </c>
      <c r="K81" s="3">
        <v>0.22</v>
      </c>
      <c r="L81" s="6">
        <v>0.51</v>
      </c>
      <c r="M81" s="6">
        <v>0.21210000000000001</v>
      </c>
      <c r="N81" s="6">
        <v>0.29849999999999999</v>
      </c>
      <c r="O81" s="6">
        <v>7</v>
      </c>
      <c r="P81" s="6">
        <v>50</v>
      </c>
      <c r="Q81" s="6">
        <v>57</v>
      </c>
      <c r="R81" s="8"/>
      <c r="S81" s="8"/>
      <c r="T81" s="8"/>
      <c r="V81">
        <v>0</v>
      </c>
      <c r="W81">
        <v>54</v>
      </c>
    </row>
    <row r="82" spans="1:23">
      <c r="A82" s="3">
        <v>81</v>
      </c>
      <c r="B82" s="4">
        <v>40547</v>
      </c>
      <c r="C82" s="3">
        <v>1</v>
      </c>
      <c r="D82" s="3">
        <v>0</v>
      </c>
      <c r="E82" s="3" t="str">
        <f t="shared" si="5"/>
        <v>January</v>
      </c>
      <c r="F82" s="3">
        <v>12</v>
      </c>
      <c r="G82" s="3" t="b">
        <v>0</v>
      </c>
      <c r="H82" s="3" t="str">
        <f t="shared" si="4"/>
        <v>Tuesday</v>
      </c>
      <c r="I82" s="3">
        <v>2</v>
      </c>
      <c r="J82" s="3" t="str">
        <f t="shared" si="6"/>
        <v>Foggy</v>
      </c>
      <c r="K82" s="3">
        <v>0.22</v>
      </c>
      <c r="L82" s="6">
        <v>0.51</v>
      </c>
      <c r="M82" s="6">
        <v>0.2273</v>
      </c>
      <c r="N82" s="6">
        <v>0.16420000000000001</v>
      </c>
      <c r="O82" s="6">
        <v>12</v>
      </c>
      <c r="P82" s="6">
        <v>66</v>
      </c>
      <c r="Q82" s="6">
        <v>78</v>
      </c>
      <c r="R82" s="8"/>
      <c r="S82" s="8"/>
      <c r="T82" s="8"/>
      <c r="V82">
        <v>1</v>
      </c>
      <c r="W82">
        <v>34</v>
      </c>
    </row>
    <row r="83" spans="1:23">
      <c r="A83" s="3">
        <v>82</v>
      </c>
      <c r="B83" s="4">
        <v>40547</v>
      </c>
      <c r="C83" s="3">
        <v>1</v>
      </c>
      <c r="D83" s="3">
        <v>0</v>
      </c>
      <c r="E83" s="3" t="str">
        <f t="shared" si="5"/>
        <v>January</v>
      </c>
      <c r="F83" s="3">
        <v>13</v>
      </c>
      <c r="G83" s="3" t="b">
        <v>0</v>
      </c>
      <c r="H83" s="3" t="str">
        <f t="shared" si="4"/>
        <v>Tuesday</v>
      </c>
      <c r="I83" s="3">
        <v>2</v>
      </c>
      <c r="J83" s="3" t="str">
        <f t="shared" si="6"/>
        <v>Foggy</v>
      </c>
      <c r="K83" s="3">
        <v>0.24</v>
      </c>
      <c r="L83" s="6">
        <v>0.56000000000000005</v>
      </c>
      <c r="M83" s="6">
        <v>0.2273</v>
      </c>
      <c r="N83" s="6">
        <v>0.19400000000000001</v>
      </c>
      <c r="O83" s="6">
        <v>18</v>
      </c>
      <c r="P83" s="6">
        <v>79</v>
      </c>
      <c r="Q83" s="6">
        <v>97</v>
      </c>
      <c r="R83" s="8"/>
      <c r="S83" s="8"/>
      <c r="T83" s="8"/>
      <c r="V83">
        <v>3</v>
      </c>
      <c r="W83">
        <v>15</v>
      </c>
    </row>
    <row r="84" spans="1:23">
      <c r="A84" s="3">
        <v>83</v>
      </c>
      <c r="B84" s="4">
        <v>40547</v>
      </c>
      <c r="C84" s="3">
        <v>1</v>
      </c>
      <c r="D84" s="3">
        <v>0</v>
      </c>
      <c r="E84" s="3" t="str">
        <f t="shared" si="5"/>
        <v>January</v>
      </c>
      <c r="F84" s="3">
        <v>14</v>
      </c>
      <c r="G84" s="3" t="b">
        <v>0</v>
      </c>
      <c r="H84" s="3" t="str">
        <f t="shared" si="4"/>
        <v>Tuesday</v>
      </c>
      <c r="I84" s="3">
        <v>2</v>
      </c>
      <c r="J84" s="3" t="str">
        <f t="shared" si="6"/>
        <v>Clear</v>
      </c>
      <c r="K84" s="3">
        <v>0.26</v>
      </c>
      <c r="L84" s="6">
        <v>0.52</v>
      </c>
      <c r="M84" s="6">
        <v>0.2576</v>
      </c>
      <c r="N84" s="6">
        <v>0.22389999999999999</v>
      </c>
      <c r="O84" s="6">
        <v>9</v>
      </c>
      <c r="P84" s="6">
        <v>54</v>
      </c>
      <c r="Q84" s="6">
        <v>63</v>
      </c>
      <c r="R84" s="8"/>
      <c r="S84" s="8"/>
      <c r="T84" s="8"/>
      <c r="U84">
        <v>19</v>
      </c>
      <c r="W84">
        <v>72</v>
      </c>
    </row>
    <row r="85" spans="1:23">
      <c r="A85" s="3">
        <v>84</v>
      </c>
      <c r="B85" s="4">
        <v>40547</v>
      </c>
      <c r="C85" s="3">
        <v>1</v>
      </c>
      <c r="D85" s="3">
        <v>0</v>
      </c>
      <c r="E85" s="3" t="str">
        <f t="shared" si="5"/>
        <v>January</v>
      </c>
      <c r="F85" s="3">
        <v>15</v>
      </c>
      <c r="G85" s="3" t="b">
        <v>0</v>
      </c>
      <c r="H85" s="3" t="str">
        <f t="shared" si="4"/>
        <v>Tuesday</v>
      </c>
      <c r="I85" s="3">
        <v>2</v>
      </c>
      <c r="J85" s="3" t="str">
        <f t="shared" si="6"/>
        <v>Clear</v>
      </c>
      <c r="K85" s="3">
        <v>0.28000000000000003</v>
      </c>
      <c r="L85" s="6">
        <v>0.52</v>
      </c>
      <c r="M85" s="6">
        <v>0.2727</v>
      </c>
      <c r="N85" s="6">
        <v>0.25369999999999998</v>
      </c>
      <c r="O85" s="6">
        <v>17</v>
      </c>
      <c r="P85" s="6">
        <v>48</v>
      </c>
      <c r="Q85" s="6">
        <v>65</v>
      </c>
      <c r="R85" s="8"/>
      <c r="S85" s="8"/>
      <c r="T85" s="8"/>
      <c r="V85">
        <v>0</v>
      </c>
      <c r="W85">
        <v>19</v>
      </c>
    </row>
    <row r="86" spans="1:23">
      <c r="A86" s="3">
        <v>85</v>
      </c>
      <c r="B86" s="4">
        <v>40547</v>
      </c>
      <c r="C86" s="3">
        <v>1</v>
      </c>
      <c r="D86" s="3">
        <v>0</v>
      </c>
      <c r="E86" s="3" t="str">
        <f t="shared" si="5"/>
        <v>January</v>
      </c>
      <c r="F86" s="3">
        <v>16</v>
      </c>
      <c r="G86" s="3" t="b">
        <v>0</v>
      </c>
      <c r="H86" s="3" t="str">
        <f t="shared" si="4"/>
        <v>Tuesday</v>
      </c>
      <c r="I86" s="3">
        <v>2</v>
      </c>
      <c r="J86" s="3" t="str">
        <f t="shared" si="6"/>
        <v>Clear</v>
      </c>
      <c r="K86" s="3">
        <v>0.3</v>
      </c>
      <c r="L86" s="6">
        <v>0.49</v>
      </c>
      <c r="M86" s="6">
        <v>0.28789999999999999</v>
      </c>
      <c r="N86" s="6">
        <v>0.25369999999999998</v>
      </c>
      <c r="O86" s="6">
        <v>15</v>
      </c>
      <c r="P86" s="6">
        <v>68</v>
      </c>
      <c r="Q86" s="6">
        <v>83</v>
      </c>
      <c r="R86" s="8"/>
      <c r="S86" s="8"/>
      <c r="T86" s="8"/>
      <c r="V86">
        <v>1</v>
      </c>
      <c r="W86">
        <v>36</v>
      </c>
    </row>
    <row r="87" spans="1:23">
      <c r="A87" s="3">
        <v>86</v>
      </c>
      <c r="B87" s="4">
        <v>40547</v>
      </c>
      <c r="C87" s="3">
        <v>1</v>
      </c>
      <c r="D87" s="3">
        <v>0</v>
      </c>
      <c r="E87" s="3" t="str">
        <f t="shared" si="5"/>
        <v>January</v>
      </c>
      <c r="F87" s="3">
        <v>17</v>
      </c>
      <c r="G87" s="3" t="b">
        <v>0</v>
      </c>
      <c r="H87" s="3" t="str">
        <f t="shared" si="4"/>
        <v>Tuesday</v>
      </c>
      <c r="I87" s="3">
        <v>2</v>
      </c>
      <c r="J87" s="3" t="str">
        <f t="shared" si="6"/>
        <v>Clear</v>
      </c>
      <c r="K87" s="3">
        <v>0.28000000000000003</v>
      </c>
      <c r="L87" s="6">
        <v>0.48</v>
      </c>
      <c r="M87" s="6">
        <v>0.2727</v>
      </c>
      <c r="N87" s="6">
        <v>0.22389999999999999</v>
      </c>
      <c r="O87" s="6">
        <v>10</v>
      </c>
      <c r="P87" s="6">
        <v>202</v>
      </c>
      <c r="Q87" s="6">
        <v>212</v>
      </c>
      <c r="R87" s="8"/>
      <c r="S87" s="8"/>
      <c r="T87" s="8"/>
      <c r="V87">
        <v>2</v>
      </c>
      <c r="W87">
        <v>17</v>
      </c>
    </row>
    <row r="88" spans="1:23">
      <c r="A88" s="3">
        <v>87</v>
      </c>
      <c r="B88" s="4">
        <v>40547</v>
      </c>
      <c r="C88" s="3">
        <v>1</v>
      </c>
      <c r="D88" s="3">
        <v>0</v>
      </c>
      <c r="E88" s="3" t="str">
        <f t="shared" si="5"/>
        <v>January</v>
      </c>
      <c r="F88" s="3">
        <v>18</v>
      </c>
      <c r="G88" s="3" t="b">
        <v>0</v>
      </c>
      <c r="H88" s="3" t="str">
        <f t="shared" si="4"/>
        <v>Tuesday</v>
      </c>
      <c r="I88" s="3">
        <v>2</v>
      </c>
      <c r="J88" s="3" t="str">
        <f t="shared" si="6"/>
        <v>Clear</v>
      </c>
      <c r="K88" s="3">
        <v>0.26</v>
      </c>
      <c r="L88" s="6">
        <v>0.48</v>
      </c>
      <c r="M88" s="6">
        <v>0.2576</v>
      </c>
      <c r="N88" s="6">
        <v>0.19400000000000001</v>
      </c>
      <c r="O88" s="6">
        <v>3</v>
      </c>
      <c r="P88" s="6">
        <v>179</v>
      </c>
      <c r="Q88" s="6">
        <v>182</v>
      </c>
      <c r="R88" s="8"/>
      <c r="S88" s="8"/>
      <c r="T88" s="8"/>
      <c r="U88">
        <v>20</v>
      </c>
      <c r="W88">
        <v>230</v>
      </c>
    </row>
    <row r="89" spans="1:23">
      <c r="A89" s="3">
        <v>88</v>
      </c>
      <c r="B89" s="4">
        <v>40547</v>
      </c>
      <c r="C89" s="3">
        <v>1</v>
      </c>
      <c r="D89" s="3">
        <v>0</v>
      </c>
      <c r="E89" s="3" t="str">
        <f t="shared" si="5"/>
        <v>January</v>
      </c>
      <c r="F89" s="3">
        <v>19</v>
      </c>
      <c r="G89" s="3" t="b">
        <v>0</v>
      </c>
      <c r="H89" s="3" t="str">
        <f t="shared" si="4"/>
        <v>Tuesday</v>
      </c>
      <c r="I89" s="3">
        <v>2</v>
      </c>
      <c r="J89" s="3" t="str">
        <f t="shared" si="6"/>
        <v>Foggy</v>
      </c>
      <c r="K89" s="3">
        <v>0.24</v>
      </c>
      <c r="L89" s="6">
        <v>0.48</v>
      </c>
      <c r="M89" s="6">
        <v>0.2576</v>
      </c>
      <c r="N89" s="6">
        <v>0.1045</v>
      </c>
      <c r="O89" s="6">
        <v>2</v>
      </c>
      <c r="P89" s="6">
        <v>110</v>
      </c>
      <c r="Q89" s="6">
        <v>112</v>
      </c>
      <c r="R89" s="8"/>
      <c r="S89" s="8"/>
      <c r="T89" s="8"/>
      <c r="V89">
        <v>0</v>
      </c>
      <c r="W89">
        <v>100</v>
      </c>
    </row>
    <row r="90" spans="1:23">
      <c r="A90" s="3">
        <v>89</v>
      </c>
      <c r="B90" s="4">
        <v>40547</v>
      </c>
      <c r="C90" s="3">
        <v>1</v>
      </c>
      <c r="D90" s="3">
        <v>0</v>
      </c>
      <c r="E90" s="3" t="str">
        <f t="shared" si="5"/>
        <v>January</v>
      </c>
      <c r="F90" s="3">
        <v>20</v>
      </c>
      <c r="G90" s="3" t="b">
        <v>0</v>
      </c>
      <c r="H90" s="3" t="str">
        <f t="shared" si="4"/>
        <v>Tuesday</v>
      </c>
      <c r="I90" s="3">
        <v>2</v>
      </c>
      <c r="J90" s="3" t="str">
        <f t="shared" si="6"/>
        <v>Foggy</v>
      </c>
      <c r="K90" s="3">
        <v>0.24</v>
      </c>
      <c r="L90" s="6">
        <v>0.48</v>
      </c>
      <c r="M90" s="6">
        <v>0.2576</v>
      </c>
      <c r="N90" s="6">
        <v>0.1045</v>
      </c>
      <c r="O90" s="6">
        <v>1</v>
      </c>
      <c r="P90" s="6">
        <v>53</v>
      </c>
      <c r="Q90" s="6">
        <v>54</v>
      </c>
      <c r="R90" s="8"/>
      <c r="S90" s="8"/>
      <c r="T90" s="8"/>
      <c r="V90">
        <v>1</v>
      </c>
      <c r="W90">
        <v>95</v>
      </c>
    </row>
    <row r="91" spans="1:23">
      <c r="A91" s="3">
        <v>90</v>
      </c>
      <c r="B91" s="4">
        <v>40547</v>
      </c>
      <c r="C91" s="3">
        <v>1</v>
      </c>
      <c r="D91" s="3">
        <v>0</v>
      </c>
      <c r="E91" s="3" t="str">
        <f t="shared" si="5"/>
        <v>January</v>
      </c>
      <c r="F91" s="3">
        <v>21</v>
      </c>
      <c r="G91" s="3" t="b">
        <v>0</v>
      </c>
      <c r="H91" s="3" t="str">
        <f t="shared" si="4"/>
        <v>Tuesday</v>
      </c>
      <c r="I91" s="3">
        <v>2</v>
      </c>
      <c r="J91" s="3" t="str">
        <f t="shared" si="6"/>
        <v>Foggy</v>
      </c>
      <c r="K91" s="3">
        <v>0.22</v>
      </c>
      <c r="L91" s="6">
        <v>0.64</v>
      </c>
      <c r="M91" s="6">
        <v>0.2727</v>
      </c>
      <c r="N91" s="6">
        <v>0</v>
      </c>
      <c r="O91" s="6">
        <v>0</v>
      </c>
      <c r="P91" s="6">
        <v>48</v>
      </c>
      <c r="Q91" s="6">
        <v>48</v>
      </c>
      <c r="R91" s="8"/>
      <c r="S91" s="8"/>
      <c r="T91" s="8"/>
      <c r="V91">
        <v>2</v>
      </c>
      <c r="W91">
        <v>18</v>
      </c>
    </row>
    <row r="92" spans="1:23">
      <c r="A92" s="3">
        <v>91</v>
      </c>
      <c r="B92" s="4">
        <v>40547</v>
      </c>
      <c r="C92" s="3">
        <v>1</v>
      </c>
      <c r="D92" s="3">
        <v>0</v>
      </c>
      <c r="E92" s="3" t="str">
        <f t="shared" si="5"/>
        <v>January</v>
      </c>
      <c r="F92" s="3">
        <v>22</v>
      </c>
      <c r="G92" s="3" t="b">
        <v>0</v>
      </c>
      <c r="H92" s="3" t="str">
        <f t="shared" si="4"/>
        <v>Tuesday</v>
      </c>
      <c r="I92" s="3">
        <v>2</v>
      </c>
      <c r="J92" s="3" t="str">
        <f t="shared" si="6"/>
        <v>Foggy</v>
      </c>
      <c r="K92" s="3">
        <v>0.22</v>
      </c>
      <c r="L92" s="6">
        <v>0.64</v>
      </c>
      <c r="M92" s="6">
        <v>0.2576</v>
      </c>
      <c r="N92" s="6">
        <v>8.9599999999999999E-2</v>
      </c>
      <c r="O92" s="6">
        <v>1</v>
      </c>
      <c r="P92" s="6">
        <v>34</v>
      </c>
      <c r="Q92" s="6">
        <v>35</v>
      </c>
      <c r="R92" s="8"/>
      <c r="S92" s="8"/>
      <c r="T92" s="8"/>
      <c r="V92">
        <v>3</v>
      </c>
      <c r="W92">
        <v>17</v>
      </c>
    </row>
    <row r="93" spans="1:23">
      <c r="A93" s="3">
        <v>92</v>
      </c>
      <c r="B93" s="4">
        <v>40547</v>
      </c>
      <c r="C93" s="3">
        <v>1</v>
      </c>
      <c r="D93" s="3">
        <v>0</v>
      </c>
      <c r="E93" s="3" t="str">
        <f t="shared" si="5"/>
        <v>January</v>
      </c>
      <c r="F93" s="3">
        <v>23</v>
      </c>
      <c r="G93" s="3" t="b">
        <v>0</v>
      </c>
      <c r="H93" s="3" t="str">
        <f t="shared" si="4"/>
        <v>Tuesday</v>
      </c>
      <c r="I93" s="3">
        <v>2</v>
      </c>
      <c r="J93" s="3" t="str">
        <f t="shared" si="6"/>
        <v>Foggy</v>
      </c>
      <c r="K93" s="3">
        <v>0.2</v>
      </c>
      <c r="L93" s="6">
        <v>0.69</v>
      </c>
      <c r="M93" s="6">
        <v>0.2273</v>
      </c>
      <c r="N93" s="6">
        <v>8.9599999999999999E-2</v>
      </c>
      <c r="O93" s="6">
        <v>2</v>
      </c>
      <c r="P93" s="6">
        <v>9</v>
      </c>
      <c r="Q93" s="6">
        <v>11</v>
      </c>
      <c r="R93" s="8"/>
      <c r="S93" s="8"/>
      <c r="T93" s="8"/>
      <c r="U93">
        <v>21</v>
      </c>
      <c r="W93">
        <v>111</v>
      </c>
    </row>
    <row r="94" spans="1:23">
      <c r="A94" s="3">
        <v>93</v>
      </c>
      <c r="B94" s="4">
        <v>40548</v>
      </c>
      <c r="C94" s="3">
        <v>1</v>
      </c>
      <c r="D94" s="3">
        <v>0</v>
      </c>
      <c r="E94" s="3" t="str">
        <f t="shared" si="5"/>
        <v>January</v>
      </c>
      <c r="F94" s="3">
        <v>0</v>
      </c>
      <c r="G94" s="3" t="b">
        <v>0</v>
      </c>
      <c r="H94" s="3" t="str">
        <f t="shared" si="4"/>
        <v>Wednesday</v>
      </c>
      <c r="I94" s="3">
        <v>3</v>
      </c>
      <c r="J94" s="3" t="str">
        <f t="shared" si="6"/>
        <v>Foggy</v>
      </c>
      <c r="K94" s="3">
        <v>0.2</v>
      </c>
      <c r="L94" s="6">
        <v>0.64</v>
      </c>
      <c r="M94" s="6">
        <v>0.2576</v>
      </c>
      <c r="N94" s="6">
        <v>0</v>
      </c>
      <c r="O94" s="6">
        <v>0</v>
      </c>
      <c r="P94" s="6">
        <v>6</v>
      </c>
      <c r="Q94" s="6">
        <v>6</v>
      </c>
      <c r="R94" s="8"/>
      <c r="S94" s="8"/>
      <c r="T94" s="8"/>
      <c r="V94">
        <v>1</v>
      </c>
      <c r="W94">
        <v>40</v>
      </c>
    </row>
    <row r="95" spans="1:23">
      <c r="A95" s="3">
        <v>94</v>
      </c>
      <c r="B95" s="4">
        <v>40548</v>
      </c>
      <c r="C95" s="3">
        <v>1</v>
      </c>
      <c r="D95" s="3">
        <v>0</v>
      </c>
      <c r="E95" s="3" t="str">
        <f t="shared" si="5"/>
        <v>January</v>
      </c>
      <c r="F95" s="3">
        <v>1</v>
      </c>
      <c r="G95" s="3" t="b">
        <v>0</v>
      </c>
      <c r="H95" s="3" t="str">
        <f t="shared" si="4"/>
        <v>Wednesday</v>
      </c>
      <c r="I95" s="3">
        <v>3</v>
      </c>
      <c r="J95" s="3" t="str">
        <f t="shared" si="6"/>
        <v>Foggy</v>
      </c>
      <c r="K95" s="3">
        <v>0.16</v>
      </c>
      <c r="L95" s="6">
        <v>0.74</v>
      </c>
      <c r="M95" s="6">
        <v>0.19700000000000001</v>
      </c>
      <c r="N95" s="6">
        <v>8.9599999999999999E-2</v>
      </c>
      <c r="O95" s="6">
        <v>0</v>
      </c>
      <c r="P95" s="6">
        <v>6</v>
      </c>
      <c r="Q95" s="6">
        <v>6</v>
      </c>
      <c r="R95" s="8"/>
      <c r="S95" s="8"/>
      <c r="T95" s="8"/>
      <c r="V95">
        <v>2</v>
      </c>
      <c r="W95">
        <v>38</v>
      </c>
    </row>
    <row r="96" spans="1:23">
      <c r="A96" s="3">
        <v>95</v>
      </c>
      <c r="B96" s="4">
        <v>40548</v>
      </c>
      <c r="C96" s="3">
        <v>1</v>
      </c>
      <c r="D96" s="3">
        <v>0</v>
      </c>
      <c r="E96" s="3" t="str">
        <f t="shared" si="5"/>
        <v>January</v>
      </c>
      <c r="F96" s="3">
        <v>2</v>
      </c>
      <c r="G96" s="3" t="b">
        <v>0</v>
      </c>
      <c r="H96" s="3" t="str">
        <f t="shared" si="4"/>
        <v>Wednesday</v>
      </c>
      <c r="I96" s="3">
        <v>3</v>
      </c>
      <c r="J96" s="3" t="str">
        <f t="shared" si="6"/>
        <v>Foggy</v>
      </c>
      <c r="K96" s="3">
        <v>0.16</v>
      </c>
      <c r="L96" s="6">
        <v>0.74</v>
      </c>
      <c r="M96" s="6">
        <v>0.19700000000000001</v>
      </c>
      <c r="N96" s="6">
        <v>8.9599999999999999E-2</v>
      </c>
      <c r="O96" s="6">
        <v>0</v>
      </c>
      <c r="P96" s="6">
        <v>2</v>
      </c>
      <c r="Q96" s="6">
        <v>2</v>
      </c>
      <c r="R96" s="8"/>
      <c r="S96" s="8"/>
      <c r="T96" s="8"/>
      <c r="V96">
        <v>4</v>
      </c>
      <c r="W96">
        <v>17</v>
      </c>
    </row>
    <row r="97" spans="1:23">
      <c r="A97" s="3">
        <v>96</v>
      </c>
      <c r="B97" s="4">
        <v>40548</v>
      </c>
      <c r="C97" s="3">
        <v>1</v>
      </c>
      <c r="D97" s="3">
        <v>0</v>
      </c>
      <c r="E97" s="3" t="str">
        <f t="shared" si="5"/>
        <v>January</v>
      </c>
      <c r="F97" s="3">
        <v>4</v>
      </c>
      <c r="G97" s="3" t="b">
        <v>0</v>
      </c>
      <c r="H97" s="3" t="str">
        <f t="shared" si="4"/>
        <v>Wednesday</v>
      </c>
      <c r="I97" s="3">
        <v>3</v>
      </c>
      <c r="J97" s="3" t="str">
        <f t="shared" si="6"/>
        <v>Foggy</v>
      </c>
      <c r="K97" s="3">
        <v>0.24</v>
      </c>
      <c r="L97" s="6">
        <v>0.48</v>
      </c>
      <c r="M97" s="6">
        <v>0.2273</v>
      </c>
      <c r="N97" s="6">
        <v>0.22389999999999999</v>
      </c>
      <c r="O97" s="6">
        <v>0</v>
      </c>
      <c r="P97" s="6">
        <v>2</v>
      </c>
      <c r="Q97" s="6">
        <v>2</v>
      </c>
      <c r="R97" s="8"/>
      <c r="S97" s="8"/>
      <c r="T97" s="8"/>
      <c r="V97">
        <v>5</v>
      </c>
      <c r="W97">
        <v>16</v>
      </c>
    </row>
    <row r="98" spans="1:23">
      <c r="A98" s="3">
        <v>97</v>
      </c>
      <c r="B98" s="4">
        <v>40548</v>
      </c>
      <c r="C98" s="3">
        <v>1</v>
      </c>
      <c r="D98" s="3">
        <v>0</v>
      </c>
      <c r="E98" s="3" t="str">
        <f t="shared" si="5"/>
        <v>January</v>
      </c>
      <c r="F98" s="3">
        <v>5</v>
      </c>
      <c r="G98" s="3" t="b">
        <v>0</v>
      </c>
      <c r="H98" s="3" t="str">
        <f t="shared" ref="H98:H117" si="7">TEXT(B98,"dddd")</f>
        <v>Wednesday</v>
      </c>
      <c r="I98" s="3">
        <v>3</v>
      </c>
      <c r="J98" s="3" t="str">
        <f t="shared" si="6"/>
        <v>Foggy</v>
      </c>
      <c r="K98" s="3">
        <v>0.22</v>
      </c>
      <c r="L98" s="6">
        <v>0.47</v>
      </c>
      <c r="M98" s="6">
        <v>0.2273</v>
      </c>
      <c r="N98" s="6">
        <v>0.16420000000000001</v>
      </c>
      <c r="O98" s="6">
        <v>0</v>
      </c>
      <c r="P98" s="6">
        <v>3</v>
      </c>
      <c r="Q98" s="6">
        <v>3</v>
      </c>
      <c r="R98" s="8"/>
      <c r="S98" s="8"/>
      <c r="T98" s="8"/>
      <c r="U98">
        <v>22</v>
      </c>
      <c r="W98">
        <v>103</v>
      </c>
    </row>
    <row r="99" spans="1:23">
      <c r="A99" s="3">
        <v>98</v>
      </c>
      <c r="B99" s="4">
        <v>40548</v>
      </c>
      <c r="C99" s="3">
        <v>1</v>
      </c>
      <c r="D99" s="3">
        <v>0</v>
      </c>
      <c r="E99" s="3" t="str">
        <f t="shared" si="5"/>
        <v>January</v>
      </c>
      <c r="F99" s="3">
        <v>6</v>
      </c>
      <c r="G99" s="3" t="b">
        <v>0</v>
      </c>
      <c r="H99" s="3" t="str">
        <f t="shared" si="7"/>
        <v>Wednesday</v>
      </c>
      <c r="I99" s="3">
        <v>3</v>
      </c>
      <c r="J99" s="3" t="str">
        <f t="shared" si="6"/>
        <v>Foggy</v>
      </c>
      <c r="K99" s="3">
        <v>0.2</v>
      </c>
      <c r="L99" s="6">
        <v>0.47</v>
      </c>
      <c r="M99" s="6">
        <v>0.19700000000000001</v>
      </c>
      <c r="N99" s="6">
        <v>0.22389999999999999</v>
      </c>
      <c r="O99" s="6">
        <v>0</v>
      </c>
      <c r="P99" s="6">
        <v>33</v>
      </c>
      <c r="Q99" s="6">
        <v>33</v>
      </c>
      <c r="R99" s="8"/>
      <c r="S99" s="8"/>
      <c r="T99" s="8"/>
      <c r="V99">
        <v>0</v>
      </c>
      <c r="W99">
        <v>66</v>
      </c>
    </row>
    <row r="100" spans="1:23">
      <c r="A100" s="3">
        <v>99</v>
      </c>
      <c r="B100" s="4">
        <v>40548</v>
      </c>
      <c r="C100" s="3">
        <v>1</v>
      </c>
      <c r="D100" s="3">
        <v>0</v>
      </c>
      <c r="E100" s="3" t="str">
        <f t="shared" si="5"/>
        <v>January</v>
      </c>
      <c r="F100" s="3">
        <v>7</v>
      </c>
      <c r="G100" s="3" t="b">
        <v>0</v>
      </c>
      <c r="H100" s="3" t="str">
        <f t="shared" si="7"/>
        <v>Wednesday</v>
      </c>
      <c r="I100" s="3">
        <v>3</v>
      </c>
      <c r="J100" s="3" t="str">
        <f t="shared" si="6"/>
        <v>Foggy</v>
      </c>
      <c r="K100" s="3">
        <v>0.18</v>
      </c>
      <c r="L100" s="6">
        <v>0.43</v>
      </c>
      <c r="M100" s="6">
        <v>0.18179999999999999</v>
      </c>
      <c r="N100" s="6">
        <v>0.19400000000000001</v>
      </c>
      <c r="O100" s="6">
        <v>1</v>
      </c>
      <c r="P100" s="6">
        <v>87</v>
      </c>
      <c r="Q100" s="6">
        <v>88</v>
      </c>
      <c r="R100" s="8"/>
      <c r="S100" s="8"/>
      <c r="T100" s="8"/>
      <c r="V100">
        <v>2</v>
      </c>
      <c r="W100">
        <v>20</v>
      </c>
    </row>
    <row r="101" spans="1:23">
      <c r="A101" s="3">
        <v>100</v>
      </c>
      <c r="B101" s="4">
        <v>40548</v>
      </c>
      <c r="C101" s="3">
        <v>1</v>
      </c>
      <c r="D101" s="3">
        <v>0</v>
      </c>
      <c r="E101" s="3" t="str">
        <f t="shared" si="5"/>
        <v>January</v>
      </c>
      <c r="F101" s="3">
        <v>8</v>
      </c>
      <c r="G101" s="3" t="b">
        <v>0</v>
      </c>
      <c r="H101" s="3" t="str">
        <f t="shared" si="7"/>
        <v>Wednesday</v>
      </c>
      <c r="I101" s="3">
        <v>3</v>
      </c>
      <c r="J101" s="3" t="str">
        <f t="shared" si="6"/>
        <v>Foggy</v>
      </c>
      <c r="K101" s="3">
        <v>0.2</v>
      </c>
      <c r="L101" s="6">
        <v>0.4</v>
      </c>
      <c r="M101" s="6">
        <v>0.18179999999999999</v>
      </c>
      <c r="N101" s="6">
        <v>0.29849999999999999</v>
      </c>
      <c r="O101" s="6">
        <v>3</v>
      </c>
      <c r="P101" s="6">
        <v>192</v>
      </c>
      <c r="Q101" s="6">
        <v>195</v>
      </c>
      <c r="R101" s="8"/>
      <c r="S101" s="8"/>
      <c r="T101" s="8"/>
      <c r="V101">
        <v>5</v>
      </c>
      <c r="W101">
        <v>17</v>
      </c>
    </row>
    <row r="102" spans="1:23">
      <c r="A102" s="3">
        <v>101</v>
      </c>
      <c r="B102" s="4">
        <v>40548</v>
      </c>
      <c r="C102" s="3">
        <v>1</v>
      </c>
      <c r="D102" s="3">
        <v>0</v>
      </c>
      <c r="E102" s="3" t="str">
        <f t="shared" si="5"/>
        <v>January</v>
      </c>
      <c r="F102" s="3">
        <v>9</v>
      </c>
      <c r="G102" s="3" t="b">
        <v>0</v>
      </c>
      <c r="H102" s="3" t="str">
        <f t="shared" si="7"/>
        <v>Wednesday</v>
      </c>
      <c r="I102" s="3">
        <v>3</v>
      </c>
      <c r="J102" s="3" t="str">
        <f t="shared" si="6"/>
        <v>Foggy</v>
      </c>
      <c r="K102" s="3">
        <v>0.22</v>
      </c>
      <c r="L102" s="6">
        <v>0.37</v>
      </c>
      <c r="M102" s="6">
        <v>0.19700000000000001</v>
      </c>
      <c r="N102" s="6">
        <v>0.32840000000000003</v>
      </c>
      <c r="O102" s="6">
        <v>6</v>
      </c>
      <c r="P102" s="6">
        <v>109</v>
      </c>
      <c r="Q102" s="6">
        <v>115</v>
      </c>
      <c r="R102" s="8"/>
      <c r="S102" s="8"/>
      <c r="T102" s="8"/>
      <c r="U102">
        <v>23</v>
      </c>
      <c r="W102">
        <v>103</v>
      </c>
    </row>
    <row r="103" spans="1:23">
      <c r="A103" s="3">
        <v>102</v>
      </c>
      <c r="B103" s="4">
        <v>40548</v>
      </c>
      <c r="C103" s="3">
        <v>1</v>
      </c>
      <c r="D103" s="3">
        <v>0</v>
      </c>
      <c r="E103" s="3" t="str">
        <f t="shared" si="5"/>
        <v>January</v>
      </c>
      <c r="F103" s="3">
        <v>10</v>
      </c>
      <c r="G103" s="3" t="b">
        <v>0</v>
      </c>
      <c r="H103" s="3" t="str">
        <f t="shared" si="7"/>
        <v>Wednesday</v>
      </c>
      <c r="I103" s="3">
        <v>3</v>
      </c>
      <c r="J103" s="3" t="str">
        <f t="shared" si="6"/>
        <v>Foggy</v>
      </c>
      <c r="K103" s="3">
        <v>0.22</v>
      </c>
      <c r="L103" s="6">
        <v>0.37</v>
      </c>
      <c r="M103" s="6">
        <v>0.19700000000000001</v>
      </c>
      <c r="N103" s="6">
        <v>0.32840000000000003</v>
      </c>
      <c r="O103" s="6">
        <v>4</v>
      </c>
      <c r="P103" s="6">
        <v>53</v>
      </c>
      <c r="Q103" s="6">
        <v>57</v>
      </c>
      <c r="R103" s="8"/>
      <c r="S103" s="8"/>
      <c r="T103" s="8"/>
      <c r="V103">
        <v>1</v>
      </c>
      <c r="W103">
        <v>44</v>
      </c>
    </row>
    <row r="104" spans="1:23">
      <c r="A104" s="3">
        <v>103</v>
      </c>
      <c r="B104" s="4">
        <v>40548</v>
      </c>
      <c r="C104" s="3">
        <v>1</v>
      </c>
      <c r="D104" s="3">
        <v>0</v>
      </c>
      <c r="E104" s="3" t="str">
        <f t="shared" si="5"/>
        <v>January</v>
      </c>
      <c r="F104" s="3">
        <v>11</v>
      </c>
      <c r="G104" s="3" t="b">
        <v>0</v>
      </c>
      <c r="H104" s="3" t="str">
        <f t="shared" si="7"/>
        <v>Wednesday</v>
      </c>
      <c r="I104" s="3">
        <v>3</v>
      </c>
      <c r="J104" s="3" t="str">
        <f t="shared" si="6"/>
        <v>Clear</v>
      </c>
      <c r="K104" s="3">
        <v>0.26</v>
      </c>
      <c r="L104" s="6">
        <v>0.33</v>
      </c>
      <c r="M104" s="6">
        <v>0.2273</v>
      </c>
      <c r="N104" s="6">
        <v>0.32840000000000003</v>
      </c>
      <c r="O104" s="6">
        <v>12</v>
      </c>
      <c r="P104" s="6">
        <v>34</v>
      </c>
      <c r="Q104" s="6">
        <v>46</v>
      </c>
      <c r="R104" s="8"/>
      <c r="S104" s="8"/>
      <c r="T104" s="8"/>
      <c r="V104">
        <v>2</v>
      </c>
      <c r="W104">
        <v>21</v>
      </c>
    </row>
    <row r="105" spans="1:23">
      <c r="A105" s="3">
        <v>104</v>
      </c>
      <c r="B105" s="4">
        <v>40548</v>
      </c>
      <c r="C105" s="3">
        <v>1</v>
      </c>
      <c r="D105" s="3">
        <v>0</v>
      </c>
      <c r="E105" s="3" t="str">
        <f t="shared" si="5"/>
        <v>January</v>
      </c>
      <c r="F105" s="3">
        <v>12</v>
      </c>
      <c r="G105" s="3" t="b">
        <v>0</v>
      </c>
      <c r="H105" s="3" t="str">
        <f t="shared" si="7"/>
        <v>Wednesday</v>
      </c>
      <c r="I105" s="3">
        <v>3</v>
      </c>
      <c r="J105" s="3" t="str">
        <f t="shared" si="6"/>
        <v>Clear</v>
      </c>
      <c r="K105" s="3">
        <v>0.26</v>
      </c>
      <c r="L105" s="6">
        <v>0.33</v>
      </c>
      <c r="M105" s="6">
        <v>0.2273</v>
      </c>
      <c r="N105" s="6">
        <v>0.32840000000000003</v>
      </c>
      <c r="O105" s="6">
        <v>5</v>
      </c>
      <c r="P105" s="6">
        <v>74</v>
      </c>
      <c r="Q105" s="6">
        <v>79</v>
      </c>
      <c r="R105" s="8"/>
      <c r="S105" s="8"/>
      <c r="T105" s="8"/>
      <c r="V105">
        <v>4</v>
      </c>
      <c r="W105">
        <v>38</v>
      </c>
    </row>
    <row r="106" spans="1:23">
      <c r="A106" s="3">
        <v>105</v>
      </c>
      <c r="B106" s="4">
        <v>40548</v>
      </c>
      <c r="C106" s="3">
        <v>1</v>
      </c>
      <c r="D106" s="3">
        <v>0</v>
      </c>
      <c r="E106" s="3" t="str">
        <f t="shared" si="5"/>
        <v>January</v>
      </c>
      <c r="F106" s="3">
        <v>13</v>
      </c>
      <c r="G106" s="3" t="b">
        <v>0</v>
      </c>
      <c r="H106" s="3" t="str">
        <f t="shared" si="7"/>
        <v>Wednesday</v>
      </c>
      <c r="I106" s="3">
        <v>3</v>
      </c>
      <c r="J106" s="3" t="str">
        <f t="shared" si="6"/>
        <v>Clear</v>
      </c>
      <c r="K106" s="3">
        <v>0.28000000000000003</v>
      </c>
      <c r="L106" s="6">
        <v>0.3</v>
      </c>
      <c r="M106" s="6">
        <v>0.2576</v>
      </c>
      <c r="N106" s="6">
        <v>0.29849999999999999</v>
      </c>
      <c r="O106" s="6">
        <v>6</v>
      </c>
      <c r="P106" s="6">
        <v>65</v>
      </c>
      <c r="Q106" s="6">
        <v>71</v>
      </c>
      <c r="R106" s="8"/>
      <c r="S106" s="8"/>
      <c r="T106" s="8"/>
      <c r="U106">
        <v>24</v>
      </c>
      <c r="W106">
        <v>134</v>
      </c>
    </row>
    <row r="107" spans="1:23">
      <c r="A107" s="3">
        <v>106</v>
      </c>
      <c r="B107" s="4">
        <v>40548</v>
      </c>
      <c r="C107" s="3">
        <v>1</v>
      </c>
      <c r="D107" s="3">
        <v>0</v>
      </c>
      <c r="E107" s="3" t="str">
        <f t="shared" si="5"/>
        <v>January</v>
      </c>
      <c r="F107" s="3">
        <v>14</v>
      </c>
      <c r="G107" s="3" t="b">
        <v>0</v>
      </c>
      <c r="H107" s="3" t="str">
        <f t="shared" si="7"/>
        <v>Wednesday</v>
      </c>
      <c r="I107" s="3">
        <v>3</v>
      </c>
      <c r="J107" s="3" t="str">
        <f t="shared" si="6"/>
        <v>Clear</v>
      </c>
      <c r="K107" s="3">
        <v>0.3</v>
      </c>
      <c r="L107" s="6">
        <v>0.28000000000000003</v>
      </c>
      <c r="M107" s="6">
        <v>0.28789999999999999</v>
      </c>
      <c r="N107" s="6">
        <v>0.19400000000000001</v>
      </c>
      <c r="O107" s="6">
        <v>10</v>
      </c>
      <c r="P107" s="6">
        <v>52</v>
      </c>
      <c r="Q107" s="6">
        <v>62</v>
      </c>
      <c r="R107" s="8"/>
      <c r="S107" s="8"/>
      <c r="T107" s="8"/>
      <c r="V107">
        <v>1</v>
      </c>
      <c r="W107">
        <v>69</v>
      </c>
    </row>
    <row r="108" spans="1:23">
      <c r="A108" s="3">
        <v>107</v>
      </c>
      <c r="B108" s="4">
        <v>40548</v>
      </c>
      <c r="C108" s="3">
        <v>1</v>
      </c>
      <c r="D108" s="3">
        <v>0</v>
      </c>
      <c r="E108" s="3" t="str">
        <f t="shared" si="5"/>
        <v>January</v>
      </c>
      <c r="F108" s="3">
        <v>15</v>
      </c>
      <c r="G108" s="3" t="b">
        <v>0</v>
      </c>
      <c r="H108" s="3" t="str">
        <f t="shared" si="7"/>
        <v>Wednesday</v>
      </c>
      <c r="I108" s="3">
        <v>3</v>
      </c>
      <c r="J108" s="3" t="str">
        <f t="shared" si="6"/>
        <v>Clear</v>
      </c>
      <c r="K108" s="3">
        <v>0.3</v>
      </c>
      <c r="L108" s="6">
        <v>0.28000000000000003</v>
      </c>
      <c r="M108" s="6">
        <v>0.28789999999999999</v>
      </c>
      <c r="N108" s="6">
        <v>0.19400000000000001</v>
      </c>
      <c r="O108" s="6">
        <v>7</v>
      </c>
      <c r="P108" s="6">
        <v>55</v>
      </c>
      <c r="Q108" s="6">
        <v>62</v>
      </c>
      <c r="R108" s="8"/>
      <c r="S108" s="8"/>
      <c r="T108" s="8"/>
      <c r="V108">
        <v>2</v>
      </c>
      <c r="W108">
        <v>44</v>
      </c>
    </row>
    <row r="109" spans="1:23">
      <c r="A109" s="3">
        <v>108</v>
      </c>
      <c r="B109" s="4">
        <v>40548</v>
      </c>
      <c r="C109" s="3">
        <v>1</v>
      </c>
      <c r="D109" s="3">
        <v>0</v>
      </c>
      <c r="E109" s="3" t="str">
        <f t="shared" si="5"/>
        <v>January</v>
      </c>
      <c r="F109" s="3">
        <v>16</v>
      </c>
      <c r="G109" s="3" t="b">
        <v>0</v>
      </c>
      <c r="H109" s="3" t="str">
        <f t="shared" si="7"/>
        <v>Wednesday</v>
      </c>
      <c r="I109" s="3">
        <v>3</v>
      </c>
      <c r="J109" s="3" t="str">
        <f t="shared" si="6"/>
        <v>Clear</v>
      </c>
      <c r="K109" s="3">
        <v>0.3</v>
      </c>
      <c r="L109" s="6">
        <v>0.28000000000000003</v>
      </c>
      <c r="M109" s="6">
        <v>0.31819999999999998</v>
      </c>
      <c r="N109" s="6">
        <v>8.9599999999999999E-2</v>
      </c>
      <c r="O109" s="6">
        <v>4</v>
      </c>
      <c r="P109" s="6">
        <v>85</v>
      </c>
      <c r="Q109" s="6">
        <v>89</v>
      </c>
      <c r="R109" s="8"/>
      <c r="S109" s="8"/>
      <c r="T109" s="8"/>
      <c r="V109">
        <v>3</v>
      </c>
      <c r="W109">
        <v>21</v>
      </c>
    </row>
    <row r="110" spans="1:23">
      <c r="A110" s="3">
        <v>109</v>
      </c>
      <c r="B110" s="4">
        <v>40548</v>
      </c>
      <c r="C110" s="3">
        <v>1</v>
      </c>
      <c r="D110" s="3">
        <v>0</v>
      </c>
      <c r="E110" s="3" t="str">
        <f t="shared" si="5"/>
        <v>January</v>
      </c>
      <c r="F110" s="3">
        <v>17</v>
      </c>
      <c r="G110" s="3" t="b">
        <v>0</v>
      </c>
      <c r="H110" s="3" t="str">
        <f t="shared" si="7"/>
        <v>Wednesday</v>
      </c>
      <c r="I110" s="3">
        <v>3</v>
      </c>
      <c r="J110" s="3" t="str">
        <f t="shared" si="6"/>
        <v>Foggy</v>
      </c>
      <c r="K110" s="3">
        <v>0.24</v>
      </c>
      <c r="L110" s="6">
        <v>0.38</v>
      </c>
      <c r="M110" s="6">
        <v>0.2273</v>
      </c>
      <c r="N110" s="6">
        <v>0.19400000000000001</v>
      </c>
      <c r="O110" s="6">
        <v>4</v>
      </c>
      <c r="P110" s="6">
        <v>186</v>
      </c>
      <c r="Q110" s="6">
        <v>190</v>
      </c>
      <c r="R110" s="8"/>
      <c r="S110" s="8"/>
      <c r="T110" s="8"/>
      <c r="U110">
        <v>25</v>
      </c>
      <c r="W110">
        <v>87</v>
      </c>
    </row>
    <row r="111" spans="1:23">
      <c r="A111" s="3">
        <v>110</v>
      </c>
      <c r="B111" s="4">
        <v>40548</v>
      </c>
      <c r="C111" s="3">
        <v>1</v>
      </c>
      <c r="D111" s="3">
        <v>0</v>
      </c>
      <c r="E111" s="3" t="str">
        <f t="shared" si="5"/>
        <v>January</v>
      </c>
      <c r="F111" s="3">
        <v>18</v>
      </c>
      <c r="G111" s="3" t="b">
        <v>0</v>
      </c>
      <c r="H111" s="3" t="str">
        <f t="shared" si="7"/>
        <v>Wednesday</v>
      </c>
      <c r="I111" s="3">
        <v>3</v>
      </c>
      <c r="J111" s="3" t="str">
        <f t="shared" si="6"/>
        <v>Foggy</v>
      </c>
      <c r="K111" s="3">
        <v>0.24</v>
      </c>
      <c r="L111" s="6">
        <v>0.38</v>
      </c>
      <c r="M111" s="6">
        <v>0.2424</v>
      </c>
      <c r="N111" s="6">
        <v>0.1343</v>
      </c>
      <c r="O111" s="6">
        <v>3</v>
      </c>
      <c r="P111" s="6">
        <v>166</v>
      </c>
      <c r="Q111" s="6">
        <v>169</v>
      </c>
      <c r="R111" s="8"/>
      <c r="S111" s="8"/>
      <c r="T111" s="8"/>
      <c r="V111">
        <v>1</v>
      </c>
      <c r="W111">
        <v>48</v>
      </c>
    </row>
    <row r="112" spans="1:23">
      <c r="A112" s="3">
        <v>111</v>
      </c>
      <c r="B112" s="4">
        <v>40548</v>
      </c>
      <c r="C112" s="3">
        <v>1</v>
      </c>
      <c r="D112" s="3">
        <v>0</v>
      </c>
      <c r="E112" s="3" t="str">
        <f t="shared" si="5"/>
        <v>January</v>
      </c>
      <c r="F112" s="3">
        <v>19</v>
      </c>
      <c r="G112" s="3" t="b">
        <v>0</v>
      </c>
      <c r="H112" s="3" t="str">
        <f t="shared" si="7"/>
        <v>Wednesday</v>
      </c>
      <c r="I112" s="3">
        <v>3</v>
      </c>
      <c r="J112" s="3" t="str">
        <f t="shared" si="6"/>
        <v>Foggy</v>
      </c>
      <c r="K112" s="3">
        <v>0.24</v>
      </c>
      <c r="L112" s="6">
        <v>0.38</v>
      </c>
      <c r="M112" s="6">
        <v>0.2576</v>
      </c>
      <c r="N112" s="6">
        <v>0.1045</v>
      </c>
      <c r="O112" s="6">
        <v>5</v>
      </c>
      <c r="P112" s="6">
        <v>127</v>
      </c>
      <c r="Q112" s="6">
        <v>132</v>
      </c>
      <c r="R112" s="8"/>
      <c r="S112" s="8"/>
      <c r="T112" s="8"/>
      <c r="V112">
        <v>5</v>
      </c>
      <c r="W112">
        <v>20</v>
      </c>
    </row>
    <row r="113" spans="1:23">
      <c r="A113" s="3">
        <v>112</v>
      </c>
      <c r="B113" s="4">
        <v>40548</v>
      </c>
      <c r="C113" s="3">
        <v>1</v>
      </c>
      <c r="D113" s="3">
        <v>0</v>
      </c>
      <c r="E113" s="3" t="str">
        <f t="shared" si="5"/>
        <v>January</v>
      </c>
      <c r="F113" s="3">
        <v>20</v>
      </c>
      <c r="G113" s="3" t="b">
        <v>0</v>
      </c>
      <c r="H113" s="3" t="str">
        <f t="shared" si="7"/>
        <v>Wednesday</v>
      </c>
      <c r="I113" s="3">
        <v>3</v>
      </c>
      <c r="J113" s="3" t="str">
        <f t="shared" si="6"/>
        <v>Foggy</v>
      </c>
      <c r="K113" s="3">
        <v>0.22</v>
      </c>
      <c r="L113" s="6">
        <v>0.47</v>
      </c>
      <c r="M113" s="6">
        <v>0.2273</v>
      </c>
      <c r="N113" s="6">
        <v>0.16420000000000001</v>
      </c>
      <c r="O113" s="6">
        <v>7</v>
      </c>
      <c r="P113" s="6">
        <v>82</v>
      </c>
      <c r="Q113" s="6">
        <v>89</v>
      </c>
      <c r="R113" s="8"/>
      <c r="S113" s="8"/>
      <c r="T113" s="8"/>
      <c r="V113">
        <v>6</v>
      </c>
      <c r="W113">
        <v>19</v>
      </c>
    </row>
    <row r="114" spans="1:23">
      <c r="A114" s="3">
        <v>113</v>
      </c>
      <c r="B114" s="4">
        <v>40548</v>
      </c>
      <c r="C114" s="3">
        <v>1</v>
      </c>
      <c r="D114" s="3">
        <v>0</v>
      </c>
      <c r="E114" s="3" t="str">
        <f t="shared" si="5"/>
        <v>January</v>
      </c>
      <c r="F114" s="3">
        <v>21</v>
      </c>
      <c r="G114" s="3" t="b">
        <v>0</v>
      </c>
      <c r="H114" s="3" t="str">
        <f t="shared" si="7"/>
        <v>Wednesday</v>
      </c>
      <c r="I114" s="3">
        <v>3</v>
      </c>
      <c r="J114" s="3" t="str">
        <f t="shared" si="6"/>
        <v>Foggy</v>
      </c>
      <c r="K114" s="3">
        <v>0.2</v>
      </c>
      <c r="L114" s="6">
        <v>0.51</v>
      </c>
      <c r="M114" s="6">
        <v>0.19700000000000001</v>
      </c>
      <c r="N114" s="6">
        <v>0.19400000000000001</v>
      </c>
      <c r="O114" s="6">
        <v>3</v>
      </c>
      <c r="P114" s="6">
        <v>40</v>
      </c>
      <c r="Q114" s="6">
        <v>43</v>
      </c>
      <c r="R114" s="8"/>
      <c r="S114" s="8"/>
      <c r="T114" s="8"/>
      <c r="U114">
        <v>26</v>
      </c>
      <c r="W114">
        <v>150</v>
      </c>
    </row>
    <row r="115" spans="1:23">
      <c r="A115" s="3">
        <v>114</v>
      </c>
      <c r="B115" s="4">
        <v>40548</v>
      </c>
      <c r="C115" s="3">
        <v>1</v>
      </c>
      <c r="D115" s="3">
        <v>0</v>
      </c>
      <c r="E115" s="3" t="str">
        <f t="shared" si="5"/>
        <v>January</v>
      </c>
      <c r="F115" s="3">
        <v>22</v>
      </c>
      <c r="G115" s="3" t="b">
        <v>0</v>
      </c>
      <c r="H115" s="3" t="str">
        <f t="shared" si="7"/>
        <v>Wednesday</v>
      </c>
      <c r="I115" s="3">
        <v>3</v>
      </c>
      <c r="J115" s="3" t="str">
        <f t="shared" si="6"/>
        <v>Foggy</v>
      </c>
      <c r="K115" s="3">
        <v>0.18</v>
      </c>
      <c r="L115" s="6">
        <v>0.55000000000000004</v>
      </c>
      <c r="M115" s="6">
        <v>0.19700000000000001</v>
      </c>
      <c r="N115" s="6">
        <v>0.1343</v>
      </c>
      <c r="O115" s="6">
        <v>1</v>
      </c>
      <c r="P115" s="6">
        <v>41</v>
      </c>
      <c r="Q115" s="6">
        <v>42</v>
      </c>
      <c r="R115" s="8"/>
      <c r="S115" s="8"/>
      <c r="T115" s="8"/>
      <c r="V115">
        <v>0</v>
      </c>
      <c r="W115">
        <v>104</v>
      </c>
    </row>
    <row r="116" spans="1:23">
      <c r="A116" s="3">
        <v>115</v>
      </c>
      <c r="B116" s="4">
        <v>40548</v>
      </c>
      <c r="C116" s="3">
        <v>1</v>
      </c>
      <c r="D116" s="3">
        <v>0</v>
      </c>
      <c r="E116" s="3" t="str">
        <f t="shared" si="5"/>
        <v>January</v>
      </c>
      <c r="F116" s="3">
        <v>23</v>
      </c>
      <c r="G116" s="3" t="b">
        <v>0</v>
      </c>
      <c r="H116" s="3" t="str">
        <f t="shared" si="7"/>
        <v>Wednesday</v>
      </c>
      <c r="I116" s="3">
        <v>3</v>
      </c>
      <c r="J116" s="3" t="str">
        <f t="shared" si="6"/>
        <v>Foggy</v>
      </c>
      <c r="K116" s="3">
        <v>0.2</v>
      </c>
      <c r="L116" s="6">
        <v>0.47</v>
      </c>
      <c r="M116" s="6">
        <v>0.2576</v>
      </c>
      <c r="N116" s="6">
        <v>0</v>
      </c>
      <c r="O116" s="6">
        <v>1</v>
      </c>
      <c r="P116" s="6">
        <v>18</v>
      </c>
      <c r="Q116" s="6">
        <v>19</v>
      </c>
      <c r="R116" s="8"/>
      <c r="S116" s="8"/>
      <c r="T116" s="8"/>
      <c r="V116">
        <v>1</v>
      </c>
      <c r="W116">
        <v>25</v>
      </c>
    </row>
    <row r="117" spans="1:23">
      <c r="A117" s="3">
        <v>116</v>
      </c>
      <c r="B117" s="4">
        <v>40549</v>
      </c>
      <c r="C117" s="3">
        <v>1</v>
      </c>
      <c r="D117" s="3">
        <v>0</v>
      </c>
      <c r="E117" s="3" t="str">
        <f t="shared" si="5"/>
        <v>January</v>
      </c>
      <c r="F117" s="3">
        <v>0</v>
      </c>
      <c r="G117" s="3" t="b">
        <v>0</v>
      </c>
      <c r="H117" s="3" t="str">
        <f t="shared" si="7"/>
        <v>Thursday</v>
      </c>
      <c r="I117" s="3">
        <v>4</v>
      </c>
      <c r="J117" s="3" t="str">
        <f t="shared" si="6"/>
        <v>Foggy</v>
      </c>
      <c r="K117" s="3">
        <v>0.18</v>
      </c>
      <c r="L117" s="6">
        <v>0.55000000000000004</v>
      </c>
      <c r="M117" s="6">
        <v>0.2424</v>
      </c>
      <c r="N117" s="6">
        <v>0</v>
      </c>
      <c r="O117" s="6">
        <v>0</v>
      </c>
      <c r="P117" s="6">
        <v>11</v>
      </c>
      <c r="Q117" s="6">
        <v>11</v>
      </c>
      <c r="R117" s="8"/>
      <c r="S117" s="8"/>
      <c r="T117" s="8"/>
      <c r="V117">
        <v>5</v>
      </c>
      <c r="W117">
        <v>21</v>
      </c>
    </row>
    <row r="118" spans="1:23">
      <c r="A118" s="3">
        <v>117</v>
      </c>
      <c r="B118" s="4">
        <v>40549</v>
      </c>
      <c r="C118" s="3">
        <v>1</v>
      </c>
      <c r="D118" s="3">
        <v>0</v>
      </c>
      <c r="E118" s="3" t="str">
        <f t="shared" si="5"/>
        <v>January</v>
      </c>
      <c r="F118" s="3">
        <v>1</v>
      </c>
      <c r="G118" s="3" t="b">
        <v>0</v>
      </c>
      <c r="H118" s="3" t="str">
        <f t="shared" ref="H118:H149" si="8">TEXT(B118,"dddd")</f>
        <v>Thursday</v>
      </c>
      <c r="I118" s="3">
        <v>4</v>
      </c>
      <c r="J118" s="3" t="str">
        <f t="shared" si="6"/>
        <v>Foggy</v>
      </c>
      <c r="K118" s="3">
        <v>0.16</v>
      </c>
      <c r="L118" s="6">
        <v>0.64</v>
      </c>
      <c r="M118" s="6">
        <v>0.2273</v>
      </c>
      <c r="N118" s="6">
        <v>0</v>
      </c>
      <c r="O118" s="6">
        <v>0</v>
      </c>
      <c r="P118" s="6">
        <v>4</v>
      </c>
      <c r="Q118" s="6">
        <v>4</v>
      </c>
      <c r="R118" s="8"/>
      <c r="S118" s="8"/>
      <c r="T118" s="8"/>
      <c r="U118">
        <v>27</v>
      </c>
      <c r="W118">
        <v>206</v>
      </c>
    </row>
    <row r="119" spans="1:23">
      <c r="A119" s="3">
        <v>118</v>
      </c>
      <c r="B119" s="4">
        <v>40549</v>
      </c>
      <c r="C119" s="3">
        <v>1</v>
      </c>
      <c r="D119" s="3">
        <v>0</v>
      </c>
      <c r="E119" s="3" t="str">
        <f t="shared" si="5"/>
        <v>January</v>
      </c>
      <c r="F119" s="3">
        <v>2</v>
      </c>
      <c r="G119" s="3" t="b">
        <v>0</v>
      </c>
      <c r="H119" s="3" t="str">
        <f t="shared" si="8"/>
        <v>Thursday</v>
      </c>
      <c r="I119" s="3">
        <v>4</v>
      </c>
      <c r="J119" s="3" t="str">
        <f t="shared" si="6"/>
        <v>Foggy</v>
      </c>
      <c r="K119" s="3">
        <v>0.16</v>
      </c>
      <c r="L119" s="6">
        <v>0.64</v>
      </c>
      <c r="M119" s="6">
        <v>0.2273</v>
      </c>
      <c r="N119" s="6">
        <v>0</v>
      </c>
      <c r="O119" s="6">
        <v>0</v>
      </c>
      <c r="P119" s="6">
        <v>2</v>
      </c>
      <c r="Q119" s="6">
        <v>2</v>
      </c>
      <c r="R119" s="8"/>
      <c r="S119" s="8"/>
      <c r="T119" s="8"/>
      <c r="V119">
        <v>0</v>
      </c>
      <c r="W119">
        <v>108</v>
      </c>
    </row>
    <row r="120" spans="1:23">
      <c r="A120" s="3">
        <v>119</v>
      </c>
      <c r="B120" s="4">
        <v>40549</v>
      </c>
      <c r="C120" s="3">
        <v>1</v>
      </c>
      <c r="D120" s="3">
        <v>0</v>
      </c>
      <c r="E120" s="3" t="str">
        <f t="shared" si="5"/>
        <v>January</v>
      </c>
      <c r="F120" s="3">
        <v>4</v>
      </c>
      <c r="G120" s="3" t="b">
        <v>0</v>
      </c>
      <c r="H120" s="3" t="str">
        <f t="shared" si="8"/>
        <v>Thursday</v>
      </c>
      <c r="I120" s="3">
        <v>4</v>
      </c>
      <c r="J120" s="3" t="str">
        <f t="shared" si="6"/>
        <v>Foggy</v>
      </c>
      <c r="K120" s="3">
        <v>0.16</v>
      </c>
      <c r="L120" s="6">
        <v>0.64</v>
      </c>
      <c r="M120" s="6">
        <v>0.19700000000000001</v>
      </c>
      <c r="N120" s="6">
        <v>8.9599999999999999E-2</v>
      </c>
      <c r="O120" s="6">
        <v>0</v>
      </c>
      <c r="P120" s="6">
        <v>1</v>
      </c>
      <c r="Q120" s="6">
        <v>1</v>
      </c>
      <c r="R120" s="8"/>
      <c r="S120" s="8"/>
      <c r="T120" s="8"/>
      <c r="V120">
        <v>1</v>
      </c>
      <c r="W120">
        <v>52</v>
      </c>
    </row>
    <row r="121" spans="1:23">
      <c r="A121" s="3">
        <v>120</v>
      </c>
      <c r="B121" s="4">
        <v>40549</v>
      </c>
      <c r="C121" s="3">
        <v>1</v>
      </c>
      <c r="D121" s="3">
        <v>0</v>
      </c>
      <c r="E121" s="3" t="str">
        <f t="shared" si="5"/>
        <v>January</v>
      </c>
      <c r="F121" s="3">
        <v>5</v>
      </c>
      <c r="G121" s="3" t="b">
        <v>0</v>
      </c>
      <c r="H121" s="3" t="str">
        <f t="shared" si="8"/>
        <v>Thursday</v>
      </c>
      <c r="I121" s="3">
        <v>4</v>
      </c>
      <c r="J121" s="3" t="str">
        <f t="shared" si="6"/>
        <v>Foggy</v>
      </c>
      <c r="K121" s="3">
        <v>0.14000000000000001</v>
      </c>
      <c r="L121" s="6">
        <v>0.69</v>
      </c>
      <c r="M121" s="6">
        <v>0.18179999999999999</v>
      </c>
      <c r="N121" s="6">
        <v>8.9599999999999999E-2</v>
      </c>
      <c r="O121" s="6">
        <v>0</v>
      </c>
      <c r="P121" s="6">
        <v>4</v>
      </c>
      <c r="Q121" s="6">
        <v>4</v>
      </c>
      <c r="R121" s="8"/>
      <c r="S121" s="8"/>
      <c r="T121" s="8"/>
      <c r="V121">
        <v>3</v>
      </c>
      <c r="W121">
        <v>24</v>
      </c>
    </row>
    <row r="122" spans="1:23">
      <c r="A122" s="3">
        <v>121</v>
      </c>
      <c r="B122" s="4">
        <v>40549</v>
      </c>
      <c r="C122" s="3">
        <v>1</v>
      </c>
      <c r="D122" s="3">
        <v>0</v>
      </c>
      <c r="E122" s="3" t="str">
        <f t="shared" si="5"/>
        <v>January</v>
      </c>
      <c r="F122" s="3">
        <v>6</v>
      </c>
      <c r="G122" s="3" t="b">
        <v>0</v>
      </c>
      <c r="H122" s="3" t="str">
        <f t="shared" si="8"/>
        <v>Thursday</v>
      </c>
      <c r="I122" s="3">
        <v>4</v>
      </c>
      <c r="J122" s="3" t="str">
        <f t="shared" si="6"/>
        <v>Foggy</v>
      </c>
      <c r="K122" s="3">
        <v>0.14000000000000001</v>
      </c>
      <c r="L122" s="6">
        <v>0.63</v>
      </c>
      <c r="M122" s="6">
        <v>0.16669999999999999</v>
      </c>
      <c r="N122" s="6">
        <v>0.1045</v>
      </c>
      <c r="O122" s="6">
        <v>0</v>
      </c>
      <c r="P122" s="6">
        <v>36</v>
      </c>
      <c r="Q122" s="6">
        <v>36</v>
      </c>
      <c r="R122" s="8"/>
      <c r="S122" s="8"/>
      <c r="T122" s="8"/>
      <c r="V122">
        <v>5</v>
      </c>
      <c r="W122">
        <v>22</v>
      </c>
    </row>
    <row r="123" spans="1:23">
      <c r="A123" s="3">
        <v>122</v>
      </c>
      <c r="B123" s="4">
        <v>40549</v>
      </c>
      <c r="C123" s="3">
        <v>1</v>
      </c>
      <c r="D123" s="3">
        <v>0</v>
      </c>
      <c r="E123" s="3" t="str">
        <f t="shared" si="5"/>
        <v>January</v>
      </c>
      <c r="F123" s="3">
        <v>7</v>
      </c>
      <c r="G123" s="3" t="b">
        <v>0</v>
      </c>
      <c r="H123" s="3" t="str">
        <f t="shared" si="8"/>
        <v>Thursday</v>
      </c>
      <c r="I123" s="3">
        <v>4</v>
      </c>
      <c r="J123" s="3" t="str">
        <f t="shared" si="6"/>
        <v>Foggy</v>
      </c>
      <c r="K123" s="3">
        <v>0.16</v>
      </c>
      <c r="L123" s="6">
        <v>0.59</v>
      </c>
      <c r="M123" s="6">
        <v>0.2273</v>
      </c>
      <c r="N123" s="6">
        <v>0</v>
      </c>
      <c r="O123" s="6">
        <v>0</v>
      </c>
      <c r="P123" s="6">
        <v>95</v>
      </c>
      <c r="Q123" s="6">
        <v>95</v>
      </c>
      <c r="R123" s="8"/>
      <c r="S123" s="8"/>
      <c r="T123" s="8"/>
      <c r="U123">
        <v>28</v>
      </c>
      <c r="W123">
        <v>324</v>
      </c>
    </row>
    <row r="124" spans="1:23">
      <c r="A124" s="3">
        <v>123</v>
      </c>
      <c r="B124" s="4">
        <v>40549</v>
      </c>
      <c r="C124" s="3">
        <v>1</v>
      </c>
      <c r="D124" s="3">
        <v>0</v>
      </c>
      <c r="E124" s="3" t="str">
        <f t="shared" si="5"/>
        <v>January</v>
      </c>
      <c r="F124" s="3">
        <v>8</v>
      </c>
      <c r="G124" s="3" t="b">
        <v>0</v>
      </c>
      <c r="H124" s="3" t="str">
        <f t="shared" si="8"/>
        <v>Thursday</v>
      </c>
      <c r="I124" s="3">
        <v>4</v>
      </c>
      <c r="J124" s="3" t="str">
        <f t="shared" si="6"/>
        <v>Foggy</v>
      </c>
      <c r="K124" s="3">
        <v>0.16</v>
      </c>
      <c r="L124" s="6">
        <v>0.59</v>
      </c>
      <c r="M124" s="6">
        <v>0.2273</v>
      </c>
      <c r="N124" s="6">
        <v>0</v>
      </c>
      <c r="O124" s="6">
        <v>3</v>
      </c>
      <c r="P124" s="6">
        <v>216</v>
      </c>
      <c r="Q124" s="6">
        <v>219</v>
      </c>
      <c r="R124" s="8"/>
      <c r="S124" s="8"/>
      <c r="T124" s="8"/>
      <c r="V124">
        <v>0</v>
      </c>
      <c r="W124">
        <v>56</v>
      </c>
    </row>
    <row r="125" spans="1:23">
      <c r="A125" s="3">
        <v>124</v>
      </c>
      <c r="B125" s="4">
        <v>40549</v>
      </c>
      <c r="C125" s="3">
        <v>1</v>
      </c>
      <c r="D125" s="3">
        <v>0</v>
      </c>
      <c r="E125" s="3" t="str">
        <f t="shared" si="5"/>
        <v>January</v>
      </c>
      <c r="F125" s="3">
        <v>9</v>
      </c>
      <c r="G125" s="3" t="b">
        <v>0</v>
      </c>
      <c r="H125" s="3" t="str">
        <f t="shared" si="8"/>
        <v>Thursday</v>
      </c>
      <c r="I125" s="3">
        <v>4</v>
      </c>
      <c r="J125" s="3" t="str">
        <f t="shared" si="6"/>
        <v>Foggy</v>
      </c>
      <c r="K125" s="3">
        <v>0.18</v>
      </c>
      <c r="L125" s="6">
        <v>0.51</v>
      </c>
      <c r="M125" s="6">
        <v>0.2424</v>
      </c>
      <c r="N125" s="6">
        <v>0</v>
      </c>
      <c r="O125" s="6">
        <v>6</v>
      </c>
      <c r="P125" s="6">
        <v>116</v>
      </c>
      <c r="Q125" s="6">
        <v>122</v>
      </c>
      <c r="R125" s="8"/>
      <c r="S125" s="8"/>
      <c r="T125" s="8"/>
      <c r="V125">
        <v>1</v>
      </c>
      <c r="W125">
        <v>27</v>
      </c>
    </row>
    <row r="126" spans="1:23">
      <c r="A126" s="3">
        <v>125</v>
      </c>
      <c r="B126" s="4">
        <v>40549</v>
      </c>
      <c r="C126" s="3">
        <v>1</v>
      </c>
      <c r="D126" s="3">
        <v>0</v>
      </c>
      <c r="E126" s="3" t="str">
        <f t="shared" si="5"/>
        <v>January</v>
      </c>
      <c r="F126" s="3">
        <v>10</v>
      </c>
      <c r="G126" s="3" t="b">
        <v>0</v>
      </c>
      <c r="H126" s="3" t="str">
        <f t="shared" si="8"/>
        <v>Thursday</v>
      </c>
      <c r="I126" s="3">
        <v>4</v>
      </c>
      <c r="J126" s="3" t="str">
        <f t="shared" si="6"/>
        <v>Foggy</v>
      </c>
      <c r="K126" s="3">
        <v>0.2</v>
      </c>
      <c r="L126" s="6">
        <v>0.47</v>
      </c>
      <c r="M126" s="6">
        <v>0.2576</v>
      </c>
      <c r="N126" s="6">
        <v>0</v>
      </c>
      <c r="O126" s="6">
        <v>3</v>
      </c>
      <c r="P126" s="6">
        <v>42</v>
      </c>
      <c r="Q126" s="6">
        <v>45</v>
      </c>
      <c r="R126" s="8"/>
      <c r="S126" s="8"/>
      <c r="T126" s="8"/>
      <c r="V126">
        <v>2</v>
      </c>
      <c r="W126">
        <v>104</v>
      </c>
    </row>
    <row r="127" spans="1:23">
      <c r="A127" s="3">
        <v>126</v>
      </c>
      <c r="B127" s="4">
        <v>40549</v>
      </c>
      <c r="C127" s="3">
        <v>1</v>
      </c>
      <c r="D127" s="3">
        <v>0</v>
      </c>
      <c r="E127" s="3" t="str">
        <f t="shared" si="5"/>
        <v>January</v>
      </c>
      <c r="F127" s="3">
        <v>11</v>
      </c>
      <c r="G127" s="3" t="b">
        <v>0</v>
      </c>
      <c r="H127" s="3" t="str">
        <f t="shared" si="8"/>
        <v>Thursday</v>
      </c>
      <c r="I127" s="3">
        <v>4</v>
      </c>
      <c r="J127" s="3" t="str">
        <f t="shared" si="6"/>
        <v>Foggy</v>
      </c>
      <c r="K127" s="3">
        <v>0.22</v>
      </c>
      <c r="L127" s="6">
        <v>0.44</v>
      </c>
      <c r="M127" s="6">
        <v>0.2576</v>
      </c>
      <c r="N127" s="6">
        <v>8.9599999999999999E-2</v>
      </c>
      <c r="O127" s="6">
        <v>2</v>
      </c>
      <c r="P127" s="6">
        <v>57</v>
      </c>
      <c r="Q127" s="6">
        <v>59</v>
      </c>
      <c r="R127" s="8"/>
      <c r="S127" s="8"/>
      <c r="T127" s="8"/>
      <c r="V127">
        <v>3</v>
      </c>
      <c r="W127">
        <v>75</v>
      </c>
    </row>
    <row r="128" spans="1:23">
      <c r="A128" s="3">
        <v>127</v>
      </c>
      <c r="B128" s="4">
        <v>40549</v>
      </c>
      <c r="C128" s="3">
        <v>1</v>
      </c>
      <c r="D128" s="3">
        <v>0</v>
      </c>
      <c r="E128" s="3" t="str">
        <f t="shared" si="5"/>
        <v>January</v>
      </c>
      <c r="F128" s="3">
        <v>12</v>
      </c>
      <c r="G128" s="3" t="b">
        <v>0</v>
      </c>
      <c r="H128" s="3" t="str">
        <f t="shared" si="8"/>
        <v>Thursday</v>
      </c>
      <c r="I128" s="3">
        <v>4</v>
      </c>
      <c r="J128" s="3" t="str">
        <f t="shared" si="6"/>
        <v>Clear</v>
      </c>
      <c r="K128" s="3">
        <v>0.26</v>
      </c>
      <c r="L128" s="6">
        <v>0.35</v>
      </c>
      <c r="M128" s="6">
        <v>0.28789999999999999</v>
      </c>
      <c r="N128" s="6">
        <v>0</v>
      </c>
      <c r="O128" s="6">
        <v>6</v>
      </c>
      <c r="P128" s="6">
        <v>78</v>
      </c>
      <c r="Q128" s="6">
        <v>84</v>
      </c>
      <c r="R128" s="8"/>
      <c r="S128" s="8"/>
      <c r="T128" s="8"/>
      <c r="V128">
        <v>5</v>
      </c>
      <c r="W128">
        <v>23</v>
      </c>
    </row>
    <row r="129" spans="1:23">
      <c r="A129" s="3">
        <v>128</v>
      </c>
      <c r="B129" s="4">
        <v>40549</v>
      </c>
      <c r="C129" s="3">
        <v>1</v>
      </c>
      <c r="D129" s="3">
        <v>0</v>
      </c>
      <c r="E129" s="3" t="str">
        <f t="shared" si="5"/>
        <v>January</v>
      </c>
      <c r="F129" s="3">
        <v>13</v>
      </c>
      <c r="G129" s="3" t="b">
        <v>0</v>
      </c>
      <c r="H129" s="3" t="str">
        <f t="shared" si="8"/>
        <v>Thursday</v>
      </c>
      <c r="I129" s="3">
        <v>4</v>
      </c>
      <c r="J129" s="3" t="str">
        <f t="shared" si="6"/>
        <v>Clear</v>
      </c>
      <c r="K129" s="3">
        <v>0.26</v>
      </c>
      <c r="L129" s="6">
        <v>0.35</v>
      </c>
      <c r="M129" s="6">
        <v>0.2727</v>
      </c>
      <c r="N129" s="6">
        <v>0.1045</v>
      </c>
      <c r="O129" s="6">
        <v>12</v>
      </c>
      <c r="P129" s="6">
        <v>55</v>
      </c>
      <c r="Q129" s="6">
        <v>67</v>
      </c>
      <c r="R129" s="8"/>
      <c r="S129" s="8"/>
      <c r="T129" s="8"/>
      <c r="V129">
        <v>6</v>
      </c>
      <c r="W129">
        <v>22</v>
      </c>
    </row>
    <row r="130" spans="1:23">
      <c r="A130" s="3">
        <v>129</v>
      </c>
      <c r="B130" s="4">
        <v>40549</v>
      </c>
      <c r="C130" s="3">
        <v>1</v>
      </c>
      <c r="D130" s="3">
        <v>0</v>
      </c>
      <c r="E130" s="3" t="str">
        <f t="shared" si="5"/>
        <v>January</v>
      </c>
      <c r="F130" s="3">
        <v>14</v>
      </c>
      <c r="G130" s="3" t="b">
        <v>0</v>
      </c>
      <c r="H130" s="3" t="str">
        <f t="shared" si="8"/>
        <v>Thursday</v>
      </c>
      <c r="I130" s="3">
        <v>4</v>
      </c>
      <c r="J130" s="3" t="str">
        <f t="shared" si="6"/>
        <v>Clear</v>
      </c>
      <c r="K130" s="3">
        <v>0.28000000000000003</v>
      </c>
      <c r="L130" s="6">
        <v>0.36</v>
      </c>
      <c r="M130" s="6">
        <v>0.2727</v>
      </c>
      <c r="N130" s="6">
        <v>0.16420000000000001</v>
      </c>
      <c r="O130" s="6">
        <v>11</v>
      </c>
      <c r="P130" s="6">
        <v>59</v>
      </c>
      <c r="Q130" s="6">
        <v>70</v>
      </c>
      <c r="R130" s="8"/>
      <c r="S130" s="8"/>
      <c r="T130" s="8"/>
      <c r="V130">
        <v>11</v>
      </c>
      <c r="W130">
        <v>17</v>
      </c>
    </row>
    <row r="131" spans="1:23">
      <c r="A131" s="3">
        <v>130</v>
      </c>
      <c r="B131" s="4">
        <v>40549</v>
      </c>
      <c r="C131" s="3">
        <v>1</v>
      </c>
      <c r="D131" s="3">
        <v>0</v>
      </c>
      <c r="E131" s="3" t="str">
        <f t="shared" ref="E131:E194" si="9">TEXT(B131,"MMMM")</f>
        <v>January</v>
      </c>
      <c r="F131" s="3">
        <v>15</v>
      </c>
      <c r="G131" s="3" t="b">
        <v>0</v>
      </c>
      <c r="H131" s="3" t="str">
        <f t="shared" si="8"/>
        <v>Thursday</v>
      </c>
      <c r="I131" s="3">
        <v>4</v>
      </c>
      <c r="J131" s="3" t="str">
        <f t="shared" si="6"/>
        <v>Clear</v>
      </c>
      <c r="K131" s="3">
        <v>0.28000000000000003</v>
      </c>
      <c r="L131" s="6">
        <v>0.36</v>
      </c>
      <c r="M131" s="6">
        <v>0.2727</v>
      </c>
      <c r="N131" s="6">
        <v>0</v>
      </c>
      <c r="O131" s="6">
        <v>8</v>
      </c>
      <c r="P131" s="6">
        <v>54</v>
      </c>
      <c r="Q131" s="6">
        <v>62</v>
      </c>
      <c r="R131" s="8"/>
      <c r="S131" s="8"/>
      <c r="T131" s="8"/>
      <c r="U131">
        <v>29</v>
      </c>
      <c r="W131">
        <v>107</v>
      </c>
    </row>
    <row r="132" spans="1:23">
      <c r="A132" s="3">
        <v>131</v>
      </c>
      <c r="B132" s="4">
        <v>40549</v>
      </c>
      <c r="C132" s="3">
        <v>1</v>
      </c>
      <c r="D132" s="3">
        <v>0</v>
      </c>
      <c r="E132" s="3" t="str">
        <f t="shared" si="9"/>
        <v>January</v>
      </c>
      <c r="F132" s="3">
        <v>16</v>
      </c>
      <c r="G132" s="3" t="b">
        <v>0</v>
      </c>
      <c r="H132" s="3" t="str">
        <f t="shared" si="8"/>
        <v>Thursday</v>
      </c>
      <c r="I132" s="3">
        <v>4</v>
      </c>
      <c r="J132" s="3" t="str">
        <f t="shared" si="6"/>
        <v>Clear</v>
      </c>
      <c r="K132" s="3">
        <v>0.26</v>
      </c>
      <c r="L132" s="6">
        <v>0.38</v>
      </c>
      <c r="M132" s="6">
        <v>0.2576</v>
      </c>
      <c r="N132" s="6">
        <v>0.16420000000000001</v>
      </c>
      <c r="O132" s="6">
        <v>12</v>
      </c>
      <c r="P132" s="6">
        <v>74</v>
      </c>
      <c r="Q132" s="6">
        <v>86</v>
      </c>
      <c r="R132" s="8"/>
      <c r="S132" s="8"/>
      <c r="T132" s="8"/>
      <c r="V132">
        <v>0</v>
      </c>
      <c r="W132">
        <v>29</v>
      </c>
    </row>
    <row r="133" spans="1:23">
      <c r="A133" s="3">
        <v>132</v>
      </c>
      <c r="B133" s="4">
        <v>40549</v>
      </c>
      <c r="C133" s="3">
        <v>1</v>
      </c>
      <c r="D133" s="3">
        <v>0</v>
      </c>
      <c r="E133" s="3" t="str">
        <f t="shared" si="9"/>
        <v>January</v>
      </c>
      <c r="F133" s="3">
        <v>17</v>
      </c>
      <c r="G133" s="3" t="b">
        <v>0</v>
      </c>
      <c r="H133" s="3" t="str">
        <f t="shared" si="8"/>
        <v>Thursday</v>
      </c>
      <c r="I133" s="3">
        <v>4</v>
      </c>
      <c r="J133" s="3" t="str">
        <f t="shared" si="6"/>
        <v>Foggy</v>
      </c>
      <c r="K133" s="3">
        <v>0.22</v>
      </c>
      <c r="L133" s="6">
        <v>0.51</v>
      </c>
      <c r="M133" s="6">
        <v>0.2273</v>
      </c>
      <c r="N133" s="6">
        <v>0.16420000000000001</v>
      </c>
      <c r="O133" s="6">
        <v>9</v>
      </c>
      <c r="P133" s="6">
        <v>163</v>
      </c>
      <c r="Q133" s="6">
        <v>172</v>
      </c>
      <c r="R133" s="8"/>
      <c r="S133" s="8"/>
      <c r="T133" s="8"/>
      <c r="V133">
        <v>1</v>
      </c>
      <c r="W133">
        <v>56</v>
      </c>
    </row>
    <row r="134" spans="1:23">
      <c r="A134" s="3">
        <v>133</v>
      </c>
      <c r="B134" s="4">
        <v>40549</v>
      </c>
      <c r="C134" s="3">
        <v>1</v>
      </c>
      <c r="D134" s="3">
        <v>0</v>
      </c>
      <c r="E134" s="3" t="str">
        <f t="shared" si="9"/>
        <v>January</v>
      </c>
      <c r="F134" s="3">
        <v>18</v>
      </c>
      <c r="G134" s="3" t="b">
        <v>0</v>
      </c>
      <c r="H134" s="3" t="str">
        <f t="shared" si="8"/>
        <v>Thursday</v>
      </c>
      <c r="I134" s="3">
        <v>4</v>
      </c>
      <c r="J134" s="3" t="str">
        <f t="shared" si="6"/>
        <v>Foggy</v>
      </c>
      <c r="K134" s="3">
        <v>0.22</v>
      </c>
      <c r="L134" s="6">
        <v>0.51</v>
      </c>
      <c r="M134" s="6">
        <v>0.2273</v>
      </c>
      <c r="N134" s="6">
        <v>0.1343</v>
      </c>
      <c r="O134" s="6">
        <v>5</v>
      </c>
      <c r="P134" s="6">
        <v>158</v>
      </c>
      <c r="Q134" s="6">
        <v>163</v>
      </c>
      <c r="R134" s="8"/>
      <c r="S134" s="8"/>
      <c r="T134" s="8"/>
      <c r="V134">
        <v>7</v>
      </c>
      <c r="W134">
        <v>22</v>
      </c>
    </row>
    <row r="135" spans="1:23">
      <c r="A135" s="3">
        <v>134</v>
      </c>
      <c r="B135" s="4">
        <v>40549</v>
      </c>
      <c r="C135" s="3">
        <v>1</v>
      </c>
      <c r="D135" s="3">
        <v>0</v>
      </c>
      <c r="E135" s="3" t="str">
        <f t="shared" si="9"/>
        <v>January</v>
      </c>
      <c r="F135" s="3">
        <v>19</v>
      </c>
      <c r="G135" s="3" t="b">
        <v>0</v>
      </c>
      <c r="H135" s="3" t="str">
        <f t="shared" si="8"/>
        <v>Thursday</v>
      </c>
      <c r="I135" s="3">
        <v>4</v>
      </c>
      <c r="J135" s="3" t="str">
        <f t="shared" ref="J135:J198" si="10">IF($K135&lt;=0.24,"Foggy",IF($K135&gt;0.24,"Clear"))</f>
        <v>Foggy</v>
      </c>
      <c r="K135" s="3">
        <v>0.22</v>
      </c>
      <c r="L135" s="6">
        <v>0.55000000000000004</v>
      </c>
      <c r="M135" s="6">
        <v>0.2576</v>
      </c>
      <c r="N135" s="6">
        <v>8.9599999999999999E-2</v>
      </c>
      <c r="O135" s="6">
        <v>3</v>
      </c>
      <c r="P135" s="6">
        <v>109</v>
      </c>
      <c r="Q135" s="6">
        <v>112</v>
      </c>
      <c r="R135" s="8"/>
      <c r="S135" s="8"/>
      <c r="T135" s="8"/>
      <c r="U135">
        <v>30</v>
      </c>
      <c r="W135">
        <v>362</v>
      </c>
    </row>
    <row r="136" spans="1:23">
      <c r="A136" s="3">
        <v>135</v>
      </c>
      <c r="B136" s="4">
        <v>40549</v>
      </c>
      <c r="C136" s="3">
        <v>1</v>
      </c>
      <c r="D136" s="3">
        <v>0</v>
      </c>
      <c r="E136" s="3" t="str">
        <f t="shared" si="9"/>
        <v>January</v>
      </c>
      <c r="F136" s="3">
        <v>20</v>
      </c>
      <c r="G136" s="3" t="b">
        <v>0</v>
      </c>
      <c r="H136" s="3" t="str">
        <f t="shared" si="8"/>
        <v>Thursday</v>
      </c>
      <c r="I136" s="3">
        <v>4</v>
      </c>
      <c r="J136" s="3" t="str">
        <f t="shared" si="10"/>
        <v>Foggy</v>
      </c>
      <c r="K136" s="3">
        <v>0.2</v>
      </c>
      <c r="L136" s="6">
        <v>0.51</v>
      </c>
      <c r="M136" s="6">
        <v>0.21210000000000001</v>
      </c>
      <c r="N136" s="6">
        <v>0.16420000000000001</v>
      </c>
      <c r="O136" s="6">
        <v>3</v>
      </c>
      <c r="P136" s="6">
        <v>66</v>
      </c>
      <c r="Q136" s="6">
        <v>69</v>
      </c>
      <c r="R136" s="8"/>
      <c r="S136" s="8"/>
      <c r="T136" s="8"/>
      <c r="V136">
        <v>0</v>
      </c>
      <c r="W136">
        <v>90</v>
      </c>
    </row>
    <row r="137" spans="1:23">
      <c r="A137" s="3">
        <v>136</v>
      </c>
      <c r="B137" s="4">
        <v>40549</v>
      </c>
      <c r="C137" s="3">
        <v>1</v>
      </c>
      <c r="D137" s="3">
        <v>0</v>
      </c>
      <c r="E137" s="3" t="str">
        <f t="shared" si="9"/>
        <v>January</v>
      </c>
      <c r="F137" s="3">
        <v>21</v>
      </c>
      <c r="G137" s="3" t="b">
        <v>0</v>
      </c>
      <c r="H137" s="3" t="str">
        <f t="shared" si="8"/>
        <v>Thursday</v>
      </c>
      <c r="I137" s="3">
        <v>4</v>
      </c>
      <c r="J137" s="3" t="str">
        <f t="shared" si="10"/>
        <v>Foggy</v>
      </c>
      <c r="K137" s="3">
        <v>0.22</v>
      </c>
      <c r="L137" s="6">
        <v>0.55000000000000004</v>
      </c>
      <c r="M137" s="6">
        <v>0.21210000000000001</v>
      </c>
      <c r="N137" s="6">
        <v>0.22389999999999999</v>
      </c>
      <c r="O137" s="6">
        <v>0</v>
      </c>
      <c r="P137" s="6">
        <v>48</v>
      </c>
      <c r="Q137" s="6">
        <v>48</v>
      </c>
      <c r="R137" s="8"/>
      <c r="S137" s="8"/>
      <c r="T137" s="8"/>
      <c r="V137">
        <v>1</v>
      </c>
      <c r="W137">
        <v>87</v>
      </c>
    </row>
    <row r="138" spans="1:23">
      <c r="A138" s="3">
        <v>137</v>
      </c>
      <c r="B138" s="4">
        <v>40549</v>
      </c>
      <c r="C138" s="3">
        <v>1</v>
      </c>
      <c r="D138" s="3">
        <v>0</v>
      </c>
      <c r="E138" s="3" t="str">
        <f t="shared" si="9"/>
        <v>January</v>
      </c>
      <c r="F138" s="3">
        <v>22</v>
      </c>
      <c r="G138" s="3" t="b">
        <v>0</v>
      </c>
      <c r="H138" s="3" t="str">
        <f t="shared" si="8"/>
        <v>Thursday</v>
      </c>
      <c r="I138" s="3">
        <v>4</v>
      </c>
      <c r="J138" s="3" t="str">
        <f t="shared" si="10"/>
        <v>Foggy</v>
      </c>
      <c r="K138" s="3">
        <v>0.22</v>
      </c>
      <c r="L138" s="6">
        <v>0.51</v>
      </c>
      <c r="M138" s="6">
        <v>0.21210000000000001</v>
      </c>
      <c r="N138" s="6">
        <v>0.28360000000000002</v>
      </c>
      <c r="O138" s="6">
        <v>1</v>
      </c>
      <c r="P138" s="6">
        <v>51</v>
      </c>
      <c r="Q138" s="6">
        <v>52</v>
      </c>
      <c r="R138" s="8"/>
      <c r="S138" s="8"/>
      <c r="T138" s="8"/>
      <c r="V138">
        <v>2</v>
      </c>
      <c r="W138">
        <v>56</v>
      </c>
    </row>
    <row r="139" spans="1:23">
      <c r="A139" s="3">
        <v>138</v>
      </c>
      <c r="B139" s="4">
        <v>40549</v>
      </c>
      <c r="C139" s="3">
        <v>1</v>
      </c>
      <c r="D139" s="3">
        <v>0</v>
      </c>
      <c r="E139" s="3" t="str">
        <f t="shared" si="9"/>
        <v>January</v>
      </c>
      <c r="F139" s="3">
        <v>23</v>
      </c>
      <c r="G139" s="3" t="b">
        <v>0</v>
      </c>
      <c r="H139" s="3" t="str">
        <f t="shared" si="8"/>
        <v>Thursday</v>
      </c>
      <c r="I139" s="3">
        <v>4</v>
      </c>
      <c r="J139" s="3" t="str">
        <f t="shared" si="10"/>
        <v>Foggy</v>
      </c>
      <c r="K139" s="3">
        <v>0.2</v>
      </c>
      <c r="L139" s="6">
        <v>0.59</v>
      </c>
      <c r="M139" s="6">
        <v>0.19700000000000001</v>
      </c>
      <c r="N139" s="6">
        <v>0.19400000000000001</v>
      </c>
      <c r="O139" s="6">
        <v>4</v>
      </c>
      <c r="P139" s="6">
        <v>19</v>
      </c>
      <c r="Q139" s="6">
        <v>23</v>
      </c>
      <c r="R139" s="8"/>
      <c r="S139" s="8"/>
      <c r="T139" s="8"/>
      <c r="V139">
        <v>3</v>
      </c>
      <c r="W139">
        <v>54</v>
      </c>
    </row>
    <row r="140" spans="1:23">
      <c r="A140" s="3">
        <v>139</v>
      </c>
      <c r="B140" s="4">
        <v>40550</v>
      </c>
      <c r="C140" s="3">
        <v>1</v>
      </c>
      <c r="D140" s="3">
        <v>0</v>
      </c>
      <c r="E140" s="3" t="str">
        <f t="shared" si="9"/>
        <v>January</v>
      </c>
      <c r="F140" s="3">
        <v>0</v>
      </c>
      <c r="G140" s="3" t="b">
        <v>0</v>
      </c>
      <c r="H140" s="3" t="str">
        <f t="shared" si="8"/>
        <v>Friday</v>
      </c>
      <c r="I140" s="3">
        <v>5</v>
      </c>
      <c r="J140" s="3" t="str">
        <f t="shared" si="10"/>
        <v>Foggy</v>
      </c>
      <c r="K140" s="3">
        <v>0.2</v>
      </c>
      <c r="L140" s="6">
        <v>0.64</v>
      </c>
      <c r="M140" s="6">
        <v>0.19700000000000001</v>
      </c>
      <c r="N140" s="6">
        <v>0.19400000000000001</v>
      </c>
      <c r="O140" s="6">
        <v>4</v>
      </c>
      <c r="P140" s="6">
        <v>13</v>
      </c>
      <c r="Q140" s="6">
        <v>17</v>
      </c>
      <c r="R140" s="8"/>
      <c r="S140" s="8"/>
      <c r="T140" s="8"/>
      <c r="V140">
        <v>4</v>
      </c>
      <c r="W140">
        <v>52</v>
      </c>
    </row>
    <row r="141" spans="1:23">
      <c r="A141" s="3">
        <v>140</v>
      </c>
      <c r="B141" s="4">
        <v>40550</v>
      </c>
      <c r="C141" s="3">
        <v>1</v>
      </c>
      <c r="D141" s="3">
        <v>0</v>
      </c>
      <c r="E141" s="3" t="str">
        <f t="shared" si="9"/>
        <v>January</v>
      </c>
      <c r="F141" s="3">
        <v>1</v>
      </c>
      <c r="G141" s="3" t="b">
        <v>0</v>
      </c>
      <c r="H141" s="3" t="str">
        <f t="shared" si="8"/>
        <v>Friday</v>
      </c>
      <c r="I141" s="3">
        <v>5</v>
      </c>
      <c r="J141" s="3" t="str">
        <f t="shared" si="10"/>
        <v>Foggy</v>
      </c>
      <c r="K141" s="3">
        <v>0.2</v>
      </c>
      <c r="L141" s="6">
        <v>0.69</v>
      </c>
      <c r="M141" s="6">
        <v>0.19700000000000001</v>
      </c>
      <c r="N141" s="6">
        <v>0.22389999999999999</v>
      </c>
      <c r="O141" s="6">
        <v>2</v>
      </c>
      <c r="P141" s="6">
        <v>5</v>
      </c>
      <c r="Q141" s="6">
        <v>7</v>
      </c>
      <c r="R141" s="8"/>
      <c r="S141" s="8"/>
      <c r="T141" s="8"/>
      <c r="V141">
        <v>7</v>
      </c>
      <c r="W141">
        <v>23</v>
      </c>
    </row>
    <row r="142" spans="1:23">
      <c r="A142" s="3">
        <v>141</v>
      </c>
      <c r="B142" s="4">
        <v>40550</v>
      </c>
      <c r="C142" s="3">
        <v>1</v>
      </c>
      <c r="D142" s="3">
        <v>0</v>
      </c>
      <c r="E142" s="3" t="str">
        <f t="shared" si="9"/>
        <v>January</v>
      </c>
      <c r="F142" s="3">
        <v>2</v>
      </c>
      <c r="G142" s="3" t="b">
        <v>0</v>
      </c>
      <c r="H142" s="3" t="str">
        <f t="shared" si="8"/>
        <v>Friday</v>
      </c>
      <c r="I142" s="3">
        <v>5</v>
      </c>
      <c r="J142" s="3" t="str">
        <f t="shared" si="10"/>
        <v>Foggy</v>
      </c>
      <c r="K142" s="3">
        <v>0.2</v>
      </c>
      <c r="L142" s="6">
        <v>0.69</v>
      </c>
      <c r="M142" s="6">
        <v>0.19700000000000001</v>
      </c>
      <c r="N142" s="6">
        <v>0.22389999999999999</v>
      </c>
      <c r="O142" s="6">
        <v>0</v>
      </c>
      <c r="P142" s="6">
        <v>1</v>
      </c>
      <c r="Q142" s="6">
        <v>1</v>
      </c>
      <c r="R142" s="8"/>
      <c r="S142" s="8"/>
      <c r="T142" s="8"/>
      <c r="U142">
        <v>31</v>
      </c>
      <c r="W142">
        <v>171</v>
      </c>
    </row>
    <row r="143" spans="1:23">
      <c r="A143" s="3">
        <v>142</v>
      </c>
      <c r="B143" s="4">
        <v>40550</v>
      </c>
      <c r="C143" s="3">
        <v>1</v>
      </c>
      <c r="D143" s="3">
        <v>0</v>
      </c>
      <c r="E143" s="3" t="str">
        <f t="shared" si="9"/>
        <v>January</v>
      </c>
      <c r="F143" s="3">
        <v>4</v>
      </c>
      <c r="G143" s="3" t="b">
        <v>0</v>
      </c>
      <c r="H143" s="3" t="str">
        <f t="shared" si="8"/>
        <v>Friday</v>
      </c>
      <c r="I143" s="3">
        <v>5</v>
      </c>
      <c r="J143" s="3" t="str">
        <f t="shared" si="10"/>
        <v>Foggy</v>
      </c>
      <c r="K143" s="3">
        <v>0.2</v>
      </c>
      <c r="L143" s="6">
        <v>0.69</v>
      </c>
      <c r="M143" s="6">
        <v>0.21210000000000001</v>
      </c>
      <c r="N143" s="6">
        <v>0.1343</v>
      </c>
      <c r="O143" s="6">
        <v>0</v>
      </c>
      <c r="P143" s="6">
        <v>1</v>
      </c>
      <c r="Q143" s="6">
        <v>1</v>
      </c>
      <c r="R143" s="8"/>
      <c r="S143" s="8"/>
      <c r="T143" s="8"/>
      <c r="V143">
        <v>0</v>
      </c>
      <c r="W143">
        <v>93</v>
      </c>
    </row>
    <row r="144" spans="1:23">
      <c r="A144" s="3">
        <v>143</v>
      </c>
      <c r="B144" s="4">
        <v>40550</v>
      </c>
      <c r="C144" s="3">
        <v>1</v>
      </c>
      <c r="D144" s="3">
        <v>0</v>
      </c>
      <c r="E144" s="3" t="str">
        <f t="shared" si="9"/>
        <v>January</v>
      </c>
      <c r="F144" s="3">
        <v>5</v>
      </c>
      <c r="G144" s="3" t="b">
        <v>0</v>
      </c>
      <c r="H144" s="3" t="str">
        <f t="shared" si="8"/>
        <v>Friday</v>
      </c>
      <c r="I144" s="3">
        <v>5</v>
      </c>
      <c r="J144" s="3" t="str">
        <f t="shared" si="10"/>
        <v>Foggy</v>
      </c>
      <c r="K144" s="3">
        <v>0.22</v>
      </c>
      <c r="L144" s="6">
        <v>0.55000000000000004</v>
      </c>
      <c r="M144" s="6">
        <v>0.2727</v>
      </c>
      <c r="N144" s="6">
        <v>0</v>
      </c>
      <c r="O144" s="6">
        <v>0</v>
      </c>
      <c r="P144" s="6">
        <v>5</v>
      </c>
      <c r="Q144" s="6">
        <v>5</v>
      </c>
      <c r="R144" s="8"/>
      <c r="S144" s="8"/>
      <c r="T144" s="8"/>
      <c r="V144">
        <v>1</v>
      </c>
      <c r="W144">
        <v>30</v>
      </c>
    </row>
    <row r="145" spans="1:23">
      <c r="A145" s="3">
        <v>144</v>
      </c>
      <c r="B145" s="4">
        <v>40550</v>
      </c>
      <c r="C145" s="3">
        <v>1</v>
      </c>
      <c r="D145" s="3">
        <v>0</v>
      </c>
      <c r="E145" s="3" t="str">
        <f t="shared" si="9"/>
        <v>January</v>
      </c>
      <c r="F145" s="3">
        <v>6</v>
      </c>
      <c r="G145" s="3" t="b">
        <v>0</v>
      </c>
      <c r="H145" s="3" t="str">
        <f t="shared" si="8"/>
        <v>Friday</v>
      </c>
      <c r="I145" s="3">
        <v>5</v>
      </c>
      <c r="J145" s="3" t="str">
        <f t="shared" si="10"/>
        <v>Foggy</v>
      </c>
      <c r="K145" s="3">
        <v>0.2</v>
      </c>
      <c r="L145" s="6">
        <v>0.69</v>
      </c>
      <c r="M145" s="6">
        <v>0.2576</v>
      </c>
      <c r="N145" s="6">
        <v>0</v>
      </c>
      <c r="O145" s="6">
        <v>8</v>
      </c>
      <c r="P145" s="6">
        <v>26</v>
      </c>
      <c r="Q145" s="6">
        <v>34</v>
      </c>
      <c r="R145" s="8"/>
      <c r="S145" s="8"/>
      <c r="T145" s="8"/>
      <c r="V145">
        <v>3</v>
      </c>
      <c r="W145">
        <v>28</v>
      </c>
    </row>
    <row r="146" spans="1:23">
      <c r="A146" s="3">
        <v>145</v>
      </c>
      <c r="B146" s="4">
        <v>40550</v>
      </c>
      <c r="C146" s="3">
        <v>1</v>
      </c>
      <c r="D146" s="3">
        <v>0</v>
      </c>
      <c r="E146" s="3" t="str">
        <f t="shared" si="9"/>
        <v>January</v>
      </c>
      <c r="F146" s="3">
        <v>7</v>
      </c>
      <c r="G146" s="3" t="b">
        <v>0</v>
      </c>
      <c r="H146" s="3" t="str">
        <f t="shared" si="8"/>
        <v>Friday</v>
      </c>
      <c r="I146" s="3">
        <v>5</v>
      </c>
      <c r="J146" s="3" t="str">
        <f t="shared" si="10"/>
        <v>Foggy</v>
      </c>
      <c r="K146" s="3">
        <v>0.2</v>
      </c>
      <c r="L146" s="6">
        <v>0.69</v>
      </c>
      <c r="M146" s="6">
        <v>0.21210000000000001</v>
      </c>
      <c r="N146" s="6">
        <v>0.1343</v>
      </c>
      <c r="O146" s="6">
        <v>8</v>
      </c>
      <c r="P146" s="6">
        <v>76</v>
      </c>
      <c r="Q146" s="6">
        <v>84</v>
      </c>
      <c r="R146" s="8"/>
      <c r="S146" s="8"/>
      <c r="T146" s="8"/>
      <c r="V146">
        <v>11</v>
      </c>
      <c r="W146">
        <v>20</v>
      </c>
    </row>
    <row r="147" spans="1:23">
      <c r="A147" s="3">
        <v>146</v>
      </c>
      <c r="B147" s="4">
        <v>40550</v>
      </c>
      <c r="C147" s="3">
        <v>1</v>
      </c>
      <c r="D147" s="3">
        <v>0</v>
      </c>
      <c r="E147" s="3" t="str">
        <f t="shared" si="9"/>
        <v>January</v>
      </c>
      <c r="F147" s="3">
        <v>8</v>
      </c>
      <c r="G147" s="3" t="b">
        <v>0</v>
      </c>
      <c r="H147" s="3" t="str">
        <f t="shared" si="8"/>
        <v>Friday</v>
      </c>
      <c r="I147" s="3">
        <v>5</v>
      </c>
      <c r="J147" s="3" t="str">
        <f t="shared" si="10"/>
        <v>Foggy</v>
      </c>
      <c r="K147" s="3">
        <v>0.2</v>
      </c>
      <c r="L147" s="6">
        <v>0.51</v>
      </c>
      <c r="M147" s="6">
        <v>0.19700000000000001</v>
      </c>
      <c r="N147" s="6">
        <v>0.25369999999999998</v>
      </c>
      <c r="O147" s="6">
        <v>20</v>
      </c>
      <c r="P147" s="6">
        <v>190</v>
      </c>
      <c r="Q147" s="6">
        <v>210</v>
      </c>
      <c r="R147" s="8"/>
      <c r="S147" s="8"/>
      <c r="T147" s="8"/>
      <c r="U147">
        <v>32</v>
      </c>
      <c r="W147">
        <v>208</v>
      </c>
    </row>
    <row r="148" spans="1:23">
      <c r="A148" s="3">
        <v>147</v>
      </c>
      <c r="B148" s="4">
        <v>40550</v>
      </c>
      <c r="C148" s="3">
        <v>1</v>
      </c>
      <c r="D148" s="3">
        <v>0</v>
      </c>
      <c r="E148" s="3" t="str">
        <f t="shared" si="9"/>
        <v>January</v>
      </c>
      <c r="F148" s="3">
        <v>9</v>
      </c>
      <c r="G148" s="3" t="b">
        <v>0</v>
      </c>
      <c r="H148" s="3" t="str">
        <f t="shared" si="8"/>
        <v>Friday</v>
      </c>
      <c r="I148" s="3">
        <v>5</v>
      </c>
      <c r="J148" s="3" t="str">
        <f t="shared" si="10"/>
        <v>Foggy</v>
      </c>
      <c r="K148" s="3">
        <v>0.2</v>
      </c>
      <c r="L148" s="6">
        <v>0.47</v>
      </c>
      <c r="M148" s="6">
        <v>0.18179999999999999</v>
      </c>
      <c r="N148" s="6">
        <v>0.29849999999999999</v>
      </c>
      <c r="O148" s="6">
        <v>9</v>
      </c>
      <c r="P148" s="6">
        <v>125</v>
      </c>
      <c r="Q148" s="6">
        <v>134</v>
      </c>
      <c r="R148" s="8"/>
      <c r="S148" s="8"/>
      <c r="T148" s="8"/>
      <c r="V148">
        <v>0</v>
      </c>
      <c r="W148">
        <v>64</v>
      </c>
    </row>
    <row r="149" spans="1:23">
      <c r="A149" s="3">
        <v>148</v>
      </c>
      <c r="B149" s="4">
        <v>40550</v>
      </c>
      <c r="C149" s="3">
        <v>1</v>
      </c>
      <c r="D149" s="3">
        <v>0</v>
      </c>
      <c r="E149" s="3" t="str">
        <f t="shared" si="9"/>
        <v>January</v>
      </c>
      <c r="F149" s="3">
        <v>10</v>
      </c>
      <c r="G149" s="3" t="b">
        <v>0</v>
      </c>
      <c r="H149" s="3" t="str">
        <f t="shared" si="8"/>
        <v>Friday</v>
      </c>
      <c r="I149" s="3">
        <v>5</v>
      </c>
      <c r="J149" s="3" t="str">
        <f t="shared" si="10"/>
        <v>Foggy</v>
      </c>
      <c r="K149" s="3">
        <v>0.22</v>
      </c>
      <c r="L149" s="6">
        <v>0.37</v>
      </c>
      <c r="M149" s="6">
        <v>0.19700000000000001</v>
      </c>
      <c r="N149" s="6">
        <v>0.32840000000000003</v>
      </c>
      <c r="O149" s="6">
        <v>16</v>
      </c>
      <c r="P149" s="6">
        <v>47</v>
      </c>
      <c r="Q149" s="6">
        <v>63</v>
      </c>
      <c r="R149" s="8"/>
      <c r="S149" s="8"/>
      <c r="T149" s="8"/>
      <c r="V149">
        <v>1</v>
      </c>
      <c r="W149">
        <v>31</v>
      </c>
    </row>
    <row r="150" spans="1:23">
      <c r="A150" s="3">
        <v>149</v>
      </c>
      <c r="B150" s="4">
        <v>40550</v>
      </c>
      <c r="C150" s="3">
        <v>1</v>
      </c>
      <c r="D150" s="3">
        <v>0</v>
      </c>
      <c r="E150" s="3" t="str">
        <f t="shared" si="9"/>
        <v>January</v>
      </c>
      <c r="F150" s="3">
        <v>11</v>
      </c>
      <c r="G150" s="3" t="b">
        <v>0</v>
      </c>
      <c r="H150" s="3" t="str">
        <f t="shared" ref="H150:H181" si="11">TEXT(B150,"dddd")</f>
        <v>Friday</v>
      </c>
      <c r="I150" s="3">
        <v>5</v>
      </c>
      <c r="J150" s="3" t="str">
        <f t="shared" si="10"/>
        <v>Foggy</v>
      </c>
      <c r="K150" s="3">
        <v>0.2</v>
      </c>
      <c r="L150" s="6">
        <v>0.4</v>
      </c>
      <c r="M150" s="6">
        <v>0.19700000000000001</v>
      </c>
      <c r="N150" s="6">
        <v>0.22389999999999999</v>
      </c>
      <c r="O150" s="6">
        <v>19</v>
      </c>
      <c r="P150" s="6">
        <v>48</v>
      </c>
      <c r="Q150" s="6">
        <v>67</v>
      </c>
      <c r="R150" s="8"/>
      <c r="S150" s="8"/>
      <c r="T150" s="8"/>
      <c r="V150">
        <v>3</v>
      </c>
      <c r="W150">
        <v>58</v>
      </c>
    </row>
    <row r="151" spans="1:23">
      <c r="A151" s="3">
        <v>150</v>
      </c>
      <c r="B151" s="4">
        <v>40550</v>
      </c>
      <c r="C151" s="3">
        <v>1</v>
      </c>
      <c r="D151" s="3">
        <v>0</v>
      </c>
      <c r="E151" s="3" t="str">
        <f t="shared" si="9"/>
        <v>January</v>
      </c>
      <c r="F151" s="3">
        <v>12</v>
      </c>
      <c r="G151" s="3" t="b">
        <v>0</v>
      </c>
      <c r="H151" s="3" t="str">
        <f t="shared" si="11"/>
        <v>Friday</v>
      </c>
      <c r="I151" s="3">
        <v>5</v>
      </c>
      <c r="J151" s="3" t="str">
        <f t="shared" si="10"/>
        <v>Foggy</v>
      </c>
      <c r="K151" s="3">
        <v>0.2</v>
      </c>
      <c r="L151" s="6">
        <v>0.37</v>
      </c>
      <c r="M151" s="6">
        <v>0.19700000000000001</v>
      </c>
      <c r="N151" s="6">
        <v>0.25369999999999998</v>
      </c>
      <c r="O151" s="6">
        <v>9</v>
      </c>
      <c r="P151" s="6">
        <v>50</v>
      </c>
      <c r="Q151" s="6">
        <v>59</v>
      </c>
      <c r="R151" s="8"/>
      <c r="S151" s="8"/>
      <c r="T151" s="8"/>
      <c r="V151">
        <v>4</v>
      </c>
      <c r="W151">
        <v>28</v>
      </c>
    </row>
    <row r="152" spans="1:23">
      <c r="A152" s="3">
        <v>151</v>
      </c>
      <c r="B152" s="4">
        <v>40550</v>
      </c>
      <c r="C152" s="3">
        <v>1</v>
      </c>
      <c r="D152" s="3">
        <v>0</v>
      </c>
      <c r="E152" s="3" t="str">
        <f t="shared" si="9"/>
        <v>January</v>
      </c>
      <c r="F152" s="3">
        <v>13</v>
      </c>
      <c r="G152" s="3" t="b">
        <v>0</v>
      </c>
      <c r="H152" s="3" t="str">
        <f t="shared" si="11"/>
        <v>Friday</v>
      </c>
      <c r="I152" s="3">
        <v>5</v>
      </c>
      <c r="J152" s="3" t="str">
        <f t="shared" si="10"/>
        <v>Foggy</v>
      </c>
      <c r="K152" s="3">
        <v>0.2</v>
      </c>
      <c r="L152" s="6">
        <v>0.37</v>
      </c>
      <c r="M152" s="6">
        <v>0.18179999999999999</v>
      </c>
      <c r="N152" s="6">
        <v>0.28360000000000002</v>
      </c>
      <c r="O152" s="6">
        <v>9</v>
      </c>
      <c r="P152" s="6">
        <v>64</v>
      </c>
      <c r="Q152" s="6">
        <v>73</v>
      </c>
      <c r="R152" s="8"/>
      <c r="S152" s="8"/>
      <c r="T152" s="8"/>
      <c r="V152">
        <v>5</v>
      </c>
      <c r="W152">
        <v>27</v>
      </c>
    </row>
    <row r="153" spans="1:23">
      <c r="A153" s="3">
        <v>152</v>
      </c>
      <c r="B153" s="4">
        <v>40550</v>
      </c>
      <c r="C153" s="3">
        <v>1</v>
      </c>
      <c r="D153" s="3">
        <v>0</v>
      </c>
      <c r="E153" s="3" t="str">
        <f t="shared" si="9"/>
        <v>January</v>
      </c>
      <c r="F153" s="3">
        <v>14</v>
      </c>
      <c r="G153" s="3" t="b">
        <v>0</v>
      </c>
      <c r="H153" s="3" t="str">
        <f t="shared" si="11"/>
        <v>Friday</v>
      </c>
      <c r="I153" s="3">
        <v>5</v>
      </c>
      <c r="J153" s="3" t="str">
        <f t="shared" si="10"/>
        <v>Foggy</v>
      </c>
      <c r="K153" s="3">
        <v>0.2</v>
      </c>
      <c r="L153" s="6">
        <v>0.4</v>
      </c>
      <c r="M153" s="6">
        <v>0.19700000000000001</v>
      </c>
      <c r="N153" s="6">
        <v>0.25369999999999998</v>
      </c>
      <c r="O153" s="6">
        <v>7</v>
      </c>
      <c r="P153" s="6">
        <v>43</v>
      </c>
      <c r="Q153" s="6">
        <v>50</v>
      </c>
      <c r="R153" s="8"/>
      <c r="S153" s="8"/>
      <c r="T153" s="8"/>
      <c r="U153">
        <v>33</v>
      </c>
      <c r="W153">
        <v>312</v>
      </c>
    </row>
    <row r="154" spans="1:23">
      <c r="A154" s="3">
        <v>153</v>
      </c>
      <c r="B154" s="4">
        <v>40550</v>
      </c>
      <c r="C154" s="3">
        <v>1</v>
      </c>
      <c r="D154" s="3">
        <v>0</v>
      </c>
      <c r="E154" s="3" t="str">
        <f t="shared" si="9"/>
        <v>January</v>
      </c>
      <c r="F154" s="3">
        <v>15</v>
      </c>
      <c r="G154" s="3" t="b">
        <v>0</v>
      </c>
      <c r="H154" s="3" t="str">
        <f t="shared" si="11"/>
        <v>Friday</v>
      </c>
      <c r="I154" s="3">
        <v>5</v>
      </c>
      <c r="J154" s="3" t="str">
        <f t="shared" si="10"/>
        <v>Foggy</v>
      </c>
      <c r="K154" s="3">
        <v>0.2</v>
      </c>
      <c r="L154" s="6">
        <v>0.37</v>
      </c>
      <c r="M154" s="6">
        <v>0.21210000000000001</v>
      </c>
      <c r="N154" s="6">
        <v>0.16420000000000001</v>
      </c>
      <c r="O154" s="6">
        <v>9</v>
      </c>
      <c r="P154" s="6">
        <v>63</v>
      </c>
      <c r="Q154" s="6">
        <v>72</v>
      </c>
      <c r="R154" s="8"/>
      <c r="S154" s="8"/>
      <c r="T154" s="8"/>
      <c r="V154">
        <v>0</v>
      </c>
      <c r="W154">
        <v>99</v>
      </c>
    </row>
    <row r="155" spans="1:23">
      <c r="A155" s="3">
        <v>154</v>
      </c>
      <c r="B155" s="4">
        <v>40550</v>
      </c>
      <c r="C155" s="3">
        <v>1</v>
      </c>
      <c r="D155" s="3">
        <v>0</v>
      </c>
      <c r="E155" s="3" t="str">
        <f t="shared" si="9"/>
        <v>January</v>
      </c>
      <c r="F155" s="3">
        <v>16</v>
      </c>
      <c r="G155" s="3" t="b">
        <v>0</v>
      </c>
      <c r="H155" s="3" t="str">
        <f t="shared" si="11"/>
        <v>Friday</v>
      </c>
      <c r="I155" s="3">
        <v>5</v>
      </c>
      <c r="J155" s="3" t="str">
        <f t="shared" si="10"/>
        <v>Foggy</v>
      </c>
      <c r="K155" s="3">
        <v>0.2</v>
      </c>
      <c r="L155" s="6">
        <v>0.37</v>
      </c>
      <c r="M155" s="6">
        <v>0.21210000000000001</v>
      </c>
      <c r="N155" s="6">
        <v>0.16420000000000001</v>
      </c>
      <c r="O155" s="6">
        <v>5</v>
      </c>
      <c r="P155" s="6">
        <v>82</v>
      </c>
      <c r="Q155" s="6">
        <v>87</v>
      </c>
      <c r="R155" s="8"/>
      <c r="S155" s="8"/>
      <c r="T155" s="8"/>
      <c r="V155">
        <v>1</v>
      </c>
      <c r="W155">
        <v>32</v>
      </c>
    </row>
    <row r="156" spans="1:23">
      <c r="A156" s="3">
        <v>155</v>
      </c>
      <c r="B156" s="4">
        <v>40550</v>
      </c>
      <c r="C156" s="3">
        <v>1</v>
      </c>
      <c r="D156" s="3">
        <v>0</v>
      </c>
      <c r="E156" s="3" t="str">
        <f t="shared" si="9"/>
        <v>January</v>
      </c>
      <c r="F156" s="3">
        <v>17</v>
      </c>
      <c r="G156" s="3" t="b">
        <v>0</v>
      </c>
      <c r="H156" s="3" t="str">
        <f t="shared" si="11"/>
        <v>Friday</v>
      </c>
      <c r="I156" s="3">
        <v>5</v>
      </c>
      <c r="J156" s="3" t="str">
        <f t="shared" si="10"/>
        <v>Foggy</v>
      </c>
      <c r="K156" s="3">
        <v>0.2</v>
      </c>
      <c r="L156" s="6">
        <v>0.37</v>
      </c>
      <c r="M156" s="6">
        <v>0.2576</v>
      </c>
      <c r="N156" s="6">
        <v>0</v>
      </c>
      <c r="O156" s="6">
        <v>9</v>
      </c>
      <c r="P156" s="6">
        <v>178</v>
      </c>
      <c r="Q156" s="6">
        <v>187</v>
      </c>
      <c r="R156" s="8"/>
      <c r="S156" s="8"/>
      <c r="T156" s="8"/>
      <c r="V156">
        <v>2</v>
      </c>
      <c r="W156">
        <v>62</v>
      </c>
    </row>
    <row r="157" spans="1:23">
      <c r="A157" s="3">
        <v>156</v>
      </c>
      <c r="B157" s="4">
        <v>40550</v>
      </c>
      <c r="C157" s="3">
        <v>1</v>
      </c>
      <c r="D157" s="3">
        <v>0</v>
      </c>
      <c r="E157" s="3" t="str">
        <f t="shared" si="9"/>
        <v>January</v>
      </c>
      <c r="F157" s="3">
        <v>18</v>
      </c>
      <c r="G157" s="3" t="b">
        <v>0</v>
      </c>
      <c r="H157" s="3" t="str">
        <f t="shared" si="11"/>
        <v>Friday</v>
      </c>
      <c r="I157" s="3">
        <v>5</v>
      </c>
      <c r="J157" s="3" t="str">
        <f t="shared" si="10"/>
        <v>Foggy</v>
      </c>
      <c r="K157" s="3">
        <v>0.2</v>
      </c>
      <c r="L157" s="6">
        <v>0.4</v>
      </c>
      <c r="M157" s="6">
        <v>0.2273</v>
      </c>
      <c r="N157" s="6">
        <v>8.9599999999999999E-2</v>
      </c>
      <c r="O157" s="6">
        <v>7</v>
      </c>
      <c r="P157" s="6">
        <v>116</v>
      </c>
      <c r="Q157" s="6">
        <v>123</v>
      </c>
      <c r="R157" s="8"/>
      <c r="S157" s="8"/>
      <c r="T157" s="8"/>
      <c r="V157">
        <v>3</v>
      </c>
      <c r="W157">
        <v>90</v>
      </c>
    </row>
    <row r="158" spans="1:23">
      <c r="A158" s="3">
        <v>157</v>
      </c>
      <c r="B158" s="4">
        <v>40550</v>
      </c>
      <c r="C158" s="3">
        <v>1</v>
      </c>
      <c r="D158" s="3">
        <v>0</v>
      </c>
      <c r="E158" s="3" t="str">
        <f t="shared" si="9"/>
        <v>January</v>
      </c>
      <c r="F158" s="3">
        <v>19</v>
      </c>
      <c r="G158" s="3" t="b">
        <v>0</v>
      </c>
      <c r="H158" s="3" t="str">
        <f t="shared" si="11"/>
        <v>Friday</v>
      </c>
      <c r="I158" s="3">
        <v>5</v>
      </c>
      <c r="J158" s="3" t="str">
        <f t="shared" si="10"/>
        <v>Foggy</v>
      </c>
      <c r="K158" s="3">
        <v>0.16</v>
      </c>
      <c r="L158" s="6">
        <v>0.55000000000000004</v>
      </c>
      <c r="M158" s="6">
        <v>0.19700000000000001</v>
      </c>
      <c r="N158" s="6">
        <v>8.9599999999999999E-2</v>
      </c>
      <c r="O158" s="6">
        <v>3</v>
      </c>
      <c r="P158" s="6">
        <v>92</v>
      </c>
      <c r="Q158" s="6">
        <v>95</v>
      </c>
      <c r="R158" s="8"/>
      <c r="S158" s="8"/>
      <c r="T158" s="8"/>
      <c r="V158">
        <v>4</v>
      </c>
      <c r="W158">
        <v>29</v>
      </c>
    </row>
    <row r="159" spans="1:23">
      <c r="A159" s="3">
        <v>158</v>
      </c>
      <c r="B159" s="4">
        <v>40550</v>
      </c>
      <c r="C159" s="3">
        <v>1</v>
      </c>
      <c r="D159" s="3">
        <v>0</v>
      </c>
      <c r="E159" s="3" t="str">
        <f t="shared" si="9"/>
        <v>January</v>
      </c>
      <c r="F159" s="3">
        <v>20</v>
      </c>
      <c r="G159" s="3" t="b">
        <v>0</v>
      </c>
      <c r="H159" s="3" t="str">
        <f t="shared" si="11"/>
        <v>Friday</v>
      </c>
      <c r="I159" s="3">
        <v>5</v>
      </c>
      <c r="J159" s="3" t="str">
        <f t="shared" si="10"/>
        <v>Foggy</v>
      </c>
      <c r="K159" s="3">
        <v>0.18</v>
      </c>
      <c r="L159" s="6">
        <v>0.47</v>
      </c>
      <c r="M159" s="6">
        <v>0.21210000000000001</v>
      </c>
      <c r="N159" s="6">
        <v>0.1045</v>
      </c>
      <c r="O159" s="6">
        <v>1</v>
      </c>
      <c r="P159" s="6">
        <v>50</v>
      </c>
      <c r="Q159" s="6">
        <v>51</v>
      </c>
      <c r="R159" s="8"/>
      <c r="S159" s="8"/>
      <c r="T159" s="8"/>
      <c r="U159">
        <v>34</v>
      </c>
      <c r="W159">
        <v>286</v>
      </c>
    </row>
    <row r="160" spans="1:23">
      <c r="A160" s="3">
        <v>159</v>
      </c>
      <c r="B160" s="4">
        <v>40550</v>
      </c>
      <c r="C160" s="3">
        <v>1</v>
      </c>
      <c r="D160" s="3">
        <v>0</v>
      </c>
      <c r="E160" s="3" t="str">
        <f t="shared" si="9"/>
        <v>January</v>
      </c>
      <c r="F160" s="3">
        <v>21</v>
      </c>
      <c r="G160" s="3" t="b">
        <v>0</v>
      </c>
      <c r="H160" s="3" t="str">
        <f t="shared" si="11"/>
        <v>Friday</v>
      </c>
      <c r="I160" s="3">
        <v>5</v>
      </c>
      <c r="J160" s="3" t="str">
        <f t="shared" si="10"/>
        <v>Foggy</v>
      </c>
      <c r="K160" s="3">
        <v>0.18</v>
      </c>
      <c r="L160" s="6">
        <v>0.47</v>
      </c>
      <c r="M160" s="6">
        <v>0.19700000000000001</v>
      </c>
      <c r="N160" s="6">
        <v>0.1343</v>
      </c>
      <c r="O160" s="6">
        <v>0</v>
      </c>
      <c r="P160" s="6">
        <v>39</v>
      </c>
      <c r="Q160" s="6">
        <v>39</v>
      </c>
      <c r="R160" s="8"/>
      <c r="S160" s="8"/>
      <c r="T160" s="8"/>
      <c r="V160">
        <v>0</v>
      </c>
      <c r="W160">
        <v>68</v>
      </c>
    </row>
    <row r="161" spans="1:23">
      <c r="A161" s="3">
        <v>160</v>
      </c>
      <c r="B161" s="4">
        <v>40550</v>
      </c>
      <c r="C161" s="3">
        <v>1</v>
      </c>
      <c r="D161" s="3">
        <v>0</v>
      </c>
      <c r="E161" s="3" t="str">
        <f t="shared" si="9"/>
        <v>January</v>
      </c>
      <c r="F161" s="3">
        <v>22</v>
      </c>
      <c r="G161" s="3" t="b">
        <v>0</v>
      </c>
      <c r="H161" s="3" t="str">
        <f t="shared" si="11"/>
        <v>Friday</v>
      </c>
      <c r="I161" s="3">
        <v>5</v>
      </c>
      <c r="J161" s="3" t="str">
        <f t="shared" si="10"/>
        <v>Foggy</v>
      </c>
      <c r="K161" s="3">
        <v>0.18</v>
      </c>
      <c r="L161" s="6">
        <v>0.43</v>
      </c>
      <c r="M161" s="6">
        <v>0.19700000000000001</v>
      </c>
      <c r="N161" s="6">
        <v>0.16420000000000001</v>
      </c>
      <c r="O161" s="6">
        <v>2</v>
      </c>
      <c r="P161" s="6">
        <v>34</v>
      </c>
      <c r="Q161" s="6">
        <v>36</v>
      </c>
      <c r="R161" s="8"/>
      <c r="S161" s="8"/>
      <c r="T161" s="8"/>
      <c r="V161">
        <v>1</v>
      </c>
      <c r="W161">
        <v>99</v>
      </c>
    </row>
    <row r="162" spans="1:23">
      <c r="A162" s="3">
        <v>161</v>
      </c>
      <c r="B162" s="4">
        <v>40550</v>
      </c>
      <c r="C162" s="3">
        <v>1</v>
      </c>
      <c r="D162" s="3">
        <v>0</v>
      </c>
      <c r="E162" s="3" t="str">
        <f t="shared" si="9"/>
        <v>January</v>
      </c>
      <c r="F162" s="3">
        <v>23</v>
      </c>
      <c r="G162" s="3" t="b">
        <v>0</v>
      </c>
      <c r="H162" s="3" t="str">
        <f t="shared" si="11"/>
        <v>Friday</v>
      </c>
      <c r="I162" s="3">
        <v>5</v>
      </c>
      <c r="J162" s="3" t="str">
        <f t="shared" si="10"/>
        <v>Foggy</v>
      </c>
      <c r="K162" s="3">
        <v>0.18</v>
      </c>
      <c r="L162" s="6">
        <v>0.51</v>
      </c>
      <c r="M162" s="6">
        <v>0.19700000000000001</v>
      </c>
      <c r="N162" s="6">
        <v>0.16420000000000001</v>
      </c>
      <c r="O162" s="6">
        <v>1</v>
      </c>
      <c r="P162" s="6">
        <v>14</v>
      </c>
      <c r="Q162" s="6">
        <v>15</v>
      </c>
      <c r="R162" s="8"/>
      <c r="S162" s="8"/>
      <c r="T162" s="8"/>
      <c r="V162">
        <v>3</v>
      </c>
      <c r="W162">
        <v>93</v>
      </c>
    </row>
    <row r="163" spans="1:23">
      <c r="A163" s="3">
        <v>162</v>
      </c>
      <c r="B163" s="4">
        <v>40551</v>
      </c>
      <c r="C163" s="3">
        <v>1</v>
      </c>
      <c r="D163" s="3">
        <v>0</v>
      </c>
      <c r="E163" s="3" t="str">
        <f t="shared" si="9"/>
        <v>January</v>
      </c>
      <c r="F163" s="3">
        <v>0</v>
      </c>
      <c r="G163" s="3" t="b">
        <v>0</v>
      </c>
      <c r="H163" s="3" t="str">
        <f t="shared" si="11"/>
        <v>Saturday</v>
      </c>
      <c r="I163" s="3">
        <v>6</v>
      </c>
      <c r="J163" s="3" t="str">
        <f t="shared" si="10"/>
        <v>Foggy</v>
      </c>
      <c r="K163" s="3">
        <v>0.18</v>
      </c>
      <c r="L163" s="6">
        <v>0.51</v>
      </c>
      <c r="M163" s="6">
        <v>0.19700000000000001</v>
      </c>
      <c r="N163" s="6">
        <v>0.16420000000000001</v>
      </c>
      <c r="O163" s="6">
        <v>1</v>
      </c>
      <c r="P163" s="6">
        <v>24</v>
      </c>
      <c r="Q163" s="6">
        <v>25</v>
      </c>
      <c r="R163" s="8"/>
      <c r="S163" s="8"/>
      <c r="T163" s="8"/>
      <c r="V163">
        <v>8</v>
      </c>
      <c r="W163">
        <v>26</v>
      </c>
    </row>
    <row r="164" spans="1:23">
      <c r="A164" s="3">
        <v>163</v>
      </c>
      <c r="B164" s="4">
        <v>40551</v>
      </c>
      <c r="C164" s="3">
        <v>1</v>
      </c>
      <c r="D164" s="3">
        <v>0</v>
      </c>
      <c r="E164" s="3" t="str">
        <f t="shared" si="9"/>
        <v>January</v>
      </c>
      <c r="F164" s="3">
        <v>1</v>
      </c>
      <c r="G164" s="3" t="b">
        <v>0</v>
      </c>
      <c r="H164" s="3" t="str">
        <f t="shared" si="11"/>
        <v>Saturday</v>
      </c>
      <c r="I164" s="3">
        <v>6</v>
      </c>
      <c r="J164" s="3" t="str">
        <f t="shared" si="10"/>
        <v>Foggy</v>
      </c>
      <c r="K164" s="3">
        <v>0.18</v>
      </c>
      <c r="L164" s="6">
        <v>0.55000000000000004</v>
      </c>
      <c r="M164" s="6">
        <v>0.21210000000000001</v>
      </c>
      <c r="N164" s="6">
        <v>8.9599999999999999E-2</v>
      </c>
      <c r="O164" s="6">
        <v>1</v>
      </c>
      <c r="P164" s="6">
        <v>15</v>
      </c>
      <c r="Q164" s="6">
        <v>16</v>
      </c>
      <c r="R164" s="8"/>
      <c r="S164" s="8"/>
      <c r="T164" s="8"/>
      <c r="U164">
        <v>35</v>
      </c>
      <c r="W164">
        <v>287</v>
      </c>
    </row>
    <row r="165" spans="1:23">
      <c r="A165" s="3">
        <v>164</v>
      </c>
      <c r="B165" s="4">
        <v>40551</v>
      </c>
      <c r="C165" s="3">
        <v>1</v>
      </c>
      <c r="D165" s="3">
        <v>0</v>
      </c>
      <c r="E165" s="3" t="str">
        <f t="shared" si="9"/>
        <v>January</v>
      </c>
      <c r="F165" s="3">
        <v>2</v>
      </c>
      <c r="G165" s="3" t="b">
        <v>0</v>
      </c>
      <c r="H165" s="3" t="str">
        <f t="shared" si="11"/>
        <v>Saturday</v>
      </c>
      <c r="I165" s="3">
        <v>6</v>
      </c>
      <c r="J165" s="3" t="str">
        <f t="shared" si="10"/>
        <v>Foggy</v>
      </c>
      <c r="K165" s="3">
        <v>0.18</v>
      </c>
      <c r="L165" s="6">
        <v>0.55000000000000004</v>
      </c>
      <c r="M165" s="6">
        <v>0.2424</v>
      </c>
      <c r="N165" s="6">
        <v>0</v>
      </c>
      <c r="O165" s="6">
        <v>3</v>
      </c>
      <c r="P165" s="6">
        <v>13</v>
      </c>
      <c r="Q165" s="6">
        <v>16</v>
      </c>
      <c r="R165" s="8"/>
      <c r="S165" s="8"/>
      <c r="T165" s="8"/>
      <c r="V165">
        <v>0</v>
      </c>
      <c r="W165">
        <v>35</v>
      </c>
    </row>
    <row r="166" spans="1:23">
      <c r="A166" s="3">
        <v>165</v>
      </c>
      <c r="B166" s="4">
        <v>40551</v>
      </c>
      <c r="C166" s="3">
        <v>1</v>
      </c>
      <c r="D166" s="3">
        <v>0</v>
      </c>
      <c r="E166" s="3" t="str">
        <f t="shared" si="9"/>
        <v>January</v>
      </c>
      <c r="F166" s="3">
        <v>3</v>
      </c>
      <c r="G166" s="3" t="b">
        <v>0</v>
      </c>
      <c r="H166" s="3" t="str">
        <f t="shared" si="11"/>
        <v>Saturday</v>
      </c>
      <c r="I166" s="3">
        <v>6</v>
      </c>
      <c r="J166" s="3" t="str">
        <f t="shared" si="10"/>
        <v>Foggy</v>
      </c>
      <c r="K166" s="3">
        <v>0.18</v>
      </c>
      <c r="L166" s="6">
        <v>0.55000000000000004</v>
      </c>
      <c r="M166" s="6">
        <v>0.19700000000000001</v>
      </c>
      <c r="N166" s="6">
        <v>0.16420000000000001</v>
      </c>
      <c r="O166" s="6">
        <v>0</v>
      </c>
      <c r="P166" s="6">
        <v>7</v>
      </c>
      <c r="Q166" s="6">
        <v>7</v>
      </c>
      <c r="R166" s="8"/>
      <c r="S166" s="8"/>
      <c r="T166" s="8"/>
      <c r="V166">
        <v>1</v>
      </c>
      <c r="W166">
        <v>68</v>
      </c>
    </row>
    <row r="167" spans="1:23">
      <c r="A167" s="3">
        <v>166</v>
      </c>
      <c r="B167" s="4">
        <v>40551</v>
      </c>
      <c r="C167" s="3">
        <v>1</v>
      </c>
      <c r="D167" s="3">
        <v>0</v>
      </c>
      <c r="E167" s="3" t="str">
        <f t="shared" si="9"/>
        <v>January</v>
      </c>
      <c r="F167" s="3">
        <v>4</v>
      </c>
      <c r="G167" s="3" t="b">
        <v>0</v>
      </c>
      <c r="H167" s="3" t="str">
        <f t="shared" si="11"/>
        <v>Saturday</v>
      </c>
      <c r="I167" s="3">
        <v>6</v>
      </c>
      <c r="J167" s="3" t="str">
        <f t="shared" si="10"/>
        <v>Foggy</v>
      </c>
      <c r="K167" s="3">
        <v>0.18</v>
      </c>
      <c r="L167" s="6">
        <v>0.55000000000000004</v>
      </c>
      <c r="M167" s="6">
        <v>0.19700000000000001</v>
      </c>
      <c r="N167" s="6">
        <v>0.16420000000000001</v>
      </c>
      <c r="O167" s="6">
        <v>0</v>
      </c>
      <c r="P167" s="6">
        <v>1</v>
      </c>
      <c r="Q167" s="6">
        <v>1</v>
      </c>
      <c r="R167" s="8"/>
      <c r="S167" s="8"/>
      <c r="T167" s="8"/>
      <c r="V167">
        <v>3</v>
      </c>
      <c r="W167">
        <v>96</v>
      </c>
    </row>
    <row r="168" spans="1:23">
      <c r="A168" s="3">
        <v>167</v>
      </c>
      <c r="B168" s="4">
        <v>40551</v>
      </c>
      <c r="C168" s="3">
        <v>1</v>
      </c>
      <c r="D168" s="3">
        <v>0</v>
      </c>
      <c r="E168" s="3" t="str">
        <f t="shared" si="9"/>
        <v>January</v>
      </c>
      <c r="F168" s="3">
        <v>5</v>
      </c>
      <c r="G168" s="3" t="b">
        <v>0</v>
      </c>
      <c r="H168" s="3" t="str">
        <f t="shared" si="11"/>
        <v>Saturday</v>
      </c>
      <c r="I168" s="3">
        <v>6</v>
      </c>
      <c r="J168" s="3" t="str">
        <f t="shared" si="10"/>
        <v>Foggy</v>
      </c>
      <c r="K168" s="3">
        <v>0.16</v>
      </c>
      <c r="L168" s="6">
        <v>0.74</v>
      </c>
      <c r="M168" s="6">
        <v>0.16669999999999999</v>
      </c>
      <c r="N168" s="6">
        <v>0.16420000000000001</v>
      </c>
      <c r="O168" s="6">
        <v>0</v>
      </c>
      <c r="P168" s="6">
        <v>5</v>
      </c>
      <c r="Q168" s="6">
        <v>5</v>
      </c>
      <c r="R168" s="8"/>
      <c r="S168" s="8"/>
      <c r="T168" s="8"/>
      <c r="V168">
        <v>4</v>
      </c>
      <c r="W168">
        <v>62</v>
      </c>
    </row>
    <row r="169" spans="1:23">
      <c r="A169" s="3">
        <v>168</v>
      </c>
      <c r="B169" s="4">
        <v>40551</v>
      </c>
      <c r="C169" s="3">
        <v>1</v>
      </c>
      <c r="D169" s="3">
        <v>0</v>
      </c>
      <c r="E169" s="3" t="str">
        <f t="shared" si="9"/>
        <v>January</v>
      </c>
      <c r="F169" s="3">
        <v>6</v>
      </c>
      <c r="G169" s="3" t="b">
        <v>0</v>
      </c>
      <c r="H169" s="3" t="str">
        <f t="shared" si="11"/>
        <v>Saturday</v>
      </c>
      <c r="I169" s="3">
        <v>6</v>
      </c>
      <c r="J169" s="3" t="str">
        <f t="shared" si="10"/>
        <v>Foggy</v>
      </c>
      <c r="K169" s="3">
        <v>0.16</v>
      </c>
      <c r="L169" s="6">
        <v>0.74</v>
      </c>
      <c r="M169" s="6">
        <v>0.16669999999999999</v>
      </c>
      <c r="N169" s="6">
        <v>0.16420000000000001</v>
      </c>
      <c r="O169" s="6">
        <v>0</v>
      </c>
      <c r="P169" s="6">
        <v>2</v>
      </c>
      <c r="Q169" s="6">
        <v>2</v>
      </c>
      <c r="R169" s="8"/>
      <c r="S169" s="8"/>
      <c r="T169" s="8"/>
      <c r="V169">
        <v>9</v>
      </c>
      <c r="W169">
        <v>26</v>
      </c>
    </row>
    <row r="170" spans="1:23">
      <c r="A170" s="3">
        <v>169</v>
      </c>
      <c r="B170" s="4">
        <v>40551</v>
      </c>
      <c r="C170" s="3">
        <v>1</v>
      </c>
      <c r="D170" s="3">
        <v>0</v>
      </c>
      <c r="E170" s="3" t="str">
        <f t="shared" si="9"/>
        <v>January</v>
      </c>
      <c r="F170" s="3">
        <v>7</v>
      </c>
      <c r="G170" s="3" t="b">
        <v>0</v>
      </c>
      <c r="H170" s="3" t="str">
        <f t="shared" si="11"/>
        <v>Saturday</v>
      </c>
      <c r="I170" s="3">
        <v>6</v>
      </c>
      <c r="J170" s="3" t="str">
        <f t="shared" si="10"/>
        <v>Foggy</v>
      </c>
      <c r="K170" s="3">
        <v>0.16</v>
      </c>
      <c r="L170" s="6">
        <v>0.74</v>
      </c>
      <c r="M170" s="6">
        <v>0.18179999999999999</v>
      </c>
      <c r="N170" s="6">
        <v>0.1045</v>
      </c>
      <c r="O170" s="6">
        <v>1</v>
      </c>
      <c r="P170" s="6">
        <v>8</v>
      </c>
      <c r="Q170" s="6">
        <v>9</v>
      </c>
      <c r="R170" s="8"/>
      <c r="S170" s="8"/>
      <c r="T170" s="8"/>
      <c r="U170">
        <v>36</v>
      </c>
      <c r="W170">
        <v>395</v>
      </c>
    </row>
    <row r="171" spans="1:23">
      <c r="A171" s="3">
        <v>170</v>
      </c>
      <c r="B171" s="4">
        <v>40551</v>
      </c>
      <c r="C171" s="3">
        <v>1</v>
      </c>
      <c r="D171" s="3">
        <v>0</v>
      </c>
      <c r="E171" s="3" t="str">
        <f t="shared" si="9"/>
        <v>January</v>
      </c>
      <c r="F171" s="3">
        <v>8</v>
      </c>
      <c r="G171" s="3" t="b">
        <v>0</v>
      </c>
      <c r="H171" s="3" t="str">
        <f t="shared" si="11"/>
        <v>Saturday</v>
      </c>
      <c r="I171" s="3">
        <v>6</v>
      </c>
      <c r="J171" s="3" t="str">
        <f t="shared" si="10"/>
        <v>Foggy</v>
      </c>
      <c r="K171" s="3">
        <v>0.16</v>
      </c>
      <c r="L171" s="6">
        <v>0.93</v>
      </c>
      <c r="M171" s="6">
        <v>0.18179999999999999</v>
      </c>
      <c r="N171" s="6">
        <v>0.1045</v>
      </c>
      <c r="O171" s="6">
        <v>0</v>
      </c>
      <c r="P171" s="6">
        <v>15</v>
      </c>
      <c r="Q171" s="6">
        <v>15</v>
      </c>
      <c r="R171" s="8"/>
      <c r="S171" s="8"/>
      <c r="T171" s="8"/>
      <c r="V171">
        <v>0</v>
      </c>
      <c r="W171">
        <v>108</v>
      </c>
    </row>
    <row r="172" spans="1:23">
      <c r="A172" s="3">
        <v>171</v>
      </c>
      <c r="B172" s="4">
        <v>40551</v>
      </c>
      <c r="C172" s="3">
        <v>1</v>
      </c>
      <c r="D172" s="3">
        <v>0</v>
      </c>
      <c r="E172" s="3" t="str">
        <f t="shared" si="9"/>
        <v>January</v>
      </c>
      <c r="F172" s="3">
        <v>9</v>
      </c>
      <c r="G172" s="3" t="b">
        <v>0</v>
      </c>
      <c r="H172" s="3" t="str">
        <f t="shared" si="11"/>
        <v>Saturday</v>
      </c>
      <c r="I172" s="3">
        <v>6</v>
      </c>
      <c r="J172" s="3" t="str">
        <f t="shared" si="10"/>
        <v>Foggy</v>
      </c>
      <c r="K172" s="3">
        <v>0.16</v>
      </c>
      <c r="L172" s="6">
        <v>0.93</v>
      </c>
      <c r="M172" s="6">
        <v>0.18179999999999999</v>
      </c>
      <c r="N172" s="6">
        <v>0.1045</v>
      </c>
      <c r="O172" s="6">
        <v>0</v>
      </c>
      <c r="P172" s="6">
        <v>20</v>
      </c>
      <c r="Q172" s="6">
        <v>20</v>
      </c>
      <c r="R172" s="8"/>
      <c r="S172" s="8"/>
      <c r="T172" s="8"/>
      <c r="V172">
        <v>1</v>
      </c>
      <c r="W172">
        <v>105</v>
      </c>
    </row>
    <row r="173" spans="1:23">
      <c r="A173" s="3">
        <v>172</v>
      </c>
      <c r="B173" s="4">
        <v>40551</v>
      </c>
      <c r="C173" s="3">
        <v>1</v>
      </c>
      <c r="D173" s="3">
        <v>0</v>
      </c>
      <c r="E173" s="3" t="str">
        <f t="shared" si="9"/>
        <v>January</v>
      </c>
      <c r="F173" s="3">
        <v>10</v>
      </c>
      <c r="G173" s="3" t="b">
        <v>0</v>
      </c>
      <c r="H173" s="3" t="str">
        <f t="shared" si="11"/>
        <v>Saturday</v>
      </c>
      <c r="I173" s="3">
        <v>6</v>
      </c>
      <c r="J173" s="3" t="str">
        <f t="shared" si="10"/>
        <v>Foggy</v>
      </c>
      <c r="K173" s="3">
        <v>0.18</v>
      </c>
      <c r="L173" s="6">
        <v>0.8</v>
      </c>
      <c r="M173" s="6">
        <v>0.19700000000000001</v>
      </c>
      <c r="N173" s="6">
        <v>0.16420000000000001</v>
      </c>
      <c r="O173" s="6">
        <v>5</v>
      </c>
      <c r="P173" s="6">
        <v>56</v>
      </c>
      <c r="Q173" s="6">
        <v>61</v>
      </c>
      <c r="R173" s="8"/>
      <c r="S173" s="8"/>
      <c r="T173" s="8"/>
      <c r="V173">
        <v>2</v>
      </c>
      <c r="W173">
        <v>102</v>
      </c>
    </row>
    <row r="174" spans="1:23">
      <c r="A174" s="3">
        <v>173</v>
      </c>
      <c r="B174" s="4">
        <v>40551</v>
      </c>
      <c r="C174" s="3">
        <v>1</v>
      </c>
      <c r="D174" s="3">
        <v>0</v>
      </c>
      <c r="E174" s="3" t="str">
        <f t="shared" si="9"/>
        <v>January</v>
      </c>
      <c r="F174" s="3">
        <v>11</v>
      </c>
      <c r="G174" s="3" t="b">
        <v>0</v>
      </c>
      <c r="H174" s="3" t="str">
        <f t="shared" si="11"/>
        <v>Saturday</v>
      </c>
      <c r="I174" s="3">
        <v>6</v>
      </c>
      <c r="J174" s="3" t="str">
        <f t="shared" si="10"/>
        <v>Foggy</v>
      </c>
      <c r="K174" s="3">
        <v>0.2</v>
      </c>
      <c r="L174" s="6">
        <v>0.69</v>
      </c>
      <c r="M174" s="6">
        <v>0.18179999999999999</v>
      </c>
      <c r="N174" s="6">
        <v>0.3881</v>
      </c>
      <c r="O174" s="6">
        <v>2</v>
      </c>
      <c r="P174" s="6">
        <v>60</v>
      </c>
      <c r="Q174" s="6">
        <v>62</v>
      </c>
      <c r="R174" s="8"/>
      <c r="S174" s="8"/>
      <c r="T174" s="8"/>
      <c r="V174">
        <v>5</v>
      </c>
      <c r="W174">
        <v>31</v>
      </c>
    </row>
    <row r="175" spans="1:23">
      <c r="A175" s="3">
        <v>174</v>
      </c>
      <c r="B175" s="4">
        <v>40551</v>
      </c>
      <c r="C175" s="3">
        <v>1</v>
      </c>
      <c r="D175" s="3">
        <v>0</v>
      </c>
      <c r="E175" s="3" t="str">
        <f t="shared" si="9"/>
        <v>January</v>
      </c>
      <c r="F175" s="3">
        <v>12</v>
      </c>
      <c r="G175" s="3" t="b">
        <v>0</v>
      </c>
      <c r="H175" s="3" t="str">
        <f t="shared" si="11"/>
        <v>Saturday</v>
      </c>
      <c r="I175" s="3">
        <v>6</v>
      </c>
      <c r="J175" s="3" t="str">
        <f t="shared" si="10"/>
        <v>Foggy</v>
      </c>
      <c r="K175" s="3">
        <v>0.2</v>
      </c>
      <c r="L175" s="6">
        <v>0.59</v>
      </c>
      <c r="M175" s="6">
        <v>0.18179999999999999</v>
      </c>
      <c r="N175" s="6">
        <v>0.35820000000000002</v>
      </c>
      <c r="O175" s="6">
        <v>8</v>
      </c>
      <c r="P175" s="6">
        <v>90</v>
      </c>
      <c r="Q175" s="6">
        <v>98</v>
      </c>
      <c r="R175" s="8"/>
      <c r="S175" s="8"/>
      <c r="T175" s="8"/>
      <c r="V175">
        <v>11</v>
      </c>
      <c r="W175">
        <v>25</v>
      </c>
    </row>
    <row r="176" spans="1:23">
      <c r="A176" s="3">
        <v>175</v>
      </c>
      <c r="B176" s="4">
        <v>40551</v>
      </c>
      <c r="C176" s="3">
        <v>1</v>
      </c>
      <c r="D176" s="3">
        <v>0</v>
      </c>
      <c r="E176" s="3" t="str">
        <f t="shared" si="9"/>
        <v>January</v>
      </c>
      <c r="F176" s="3">
        <v>13</v>
      </c>
      <c r="G176" s="3" t="b">
        <v>0</v>
      </c>
      <c r="H176" s="3" t="str">
        <f t="shared" si="11"/>
        <v>Saturday</v>
      </c>
      <c r="I176" s="3">
        <v>6</v>
      </c>
      <c r="J176" s="3" t="str">
        <f t="shared" si="10"/>
        <v>Foggy</v>
      </c>
      <c r="K176" s="3">
        <v>0.2</v>
      </c>
      <c r="L176" s="6">
        <v>0.44</v>
      </c>
      <c r="M176" s="6">
        <v>0.18179999999999999</v>
      </c>
      <c r="N176" s="6">
        <v>0.32840000000000003</v>
      </c>
      <c r="O176" s="6">
        <v>7</v>
      </c>
      <c r="P176" s="6">
        <v>95</v>
      </c>
      <c r="Q176" s="6">
        <v>102</v>
      </c>
      <c r="R176" s="8"/>
      <c r="S176" s="8"/>
      <c r="T176" s="8"/>
      <c r="V176">
        <v>12</v>
      </c>
      <c r="W176">
        <v>24</v>
      </c>
    </row>
    <row r="177" spans="1:23">
      <c r="A177" s="3">
        <v>176</v>
      </c>
      <c r="B177" s="4">
        <v>40551</v>
      </c>
      <c r="C177" s="3">
        <v>1</v>
      </c>
      <c r="D177" s="3">
        <v>0</v>
      </c>
      <c r="E177" s="3" t="str">
        <f t="shared" si="9"/>
        <v>January</v>
      </c>
      <c r="F177" s="3">
        <v>14</v>
      </c>
      <c r="G177" s="3" t="b">
        <v>0</v>
      </c>
      <c r="H177" s="3" t="str">
        <f t="shared" si="11"/>
        <v>Saturday</v>
      </c>
      <c r="I177" s="3">
        <v>6</v>
      </c>
      <c r="J177" s="3" t="str">
        <f t="shared" si="10"/>
        <v>Foggy</v>
      </c>
      <c r="K177" s="3">
        <v>0.2</v>
      </c>
      <c r="L177" s="6">
        <v>0.32</v>
      </c>
      <c r="M177" s="6">
        <v>0.16669999999999999</v>
      </c>
      <c r="N177" s="6">
        <v>0.49249999999999999</v>
      </c>
      <c r="O177" s="6">
        <v>12</v>
      </c>
      <c r="P177" s="6">
        <v>83</v>
      </c>
      <c r="Q177" s="6">
        <v>95</v>
      </c>
      <c r="R177" s="8"/>
      <c r="S177" s="8"/>
      <c r="T177" s="8"/>
      <c r="U177">
        <v>37</v>
      </c>
      <c r="W177">
        <v>207</v>
      </c>
    </row>
    <row r="178" spans="1:23">
      <c r="A178" s="3">
        <v>177</v>
      </c>
      <c r="B178" s="4">
        <v>40551</v>
      </c>
      <c r="C178" s="3">
        <v>1</v>
      </c>
      <c r="D178" s="3">
        <v>0</v>
      </c>
      <c r="E178" s="3" t="str">
        <f t="shared" si="9"/>
        <v>January</v>
      </c>
      <c r="F178" s="3">
        <v>15</v>
      </c>
      <c r="G178" s="3" t="b">
        <v>0</v>
      </c>
      <c r="H178" s="3" t="str">
        <f t="shared" si="11"/>
        <v>Saturday</v>
      </c>
      <c r="I178" s="3">
        <v>6</v>
      </c>
      <c r="J178" s="3" t="str">
        <f t="shared" si="10"/>
        <v>Foggy</v>
      </c>
      <c r="K178" s="3">
        <v>0.2</v>
      </c>
      <c r="L178" s="6">
        <v>0.32</v>
      </c>
      <c r="M178" s="6">
        <v>0.16669999999999999</v>
      </c>
      <c r="N178" s="6">
        <v>0.44779999999999998</v>
      </c>
      <c r="O178" s="6">
        <v>5</v>
      </c>
      <c r="P178" s="6">
        <v>69</v>
      </c>
      <c r="Q178" s="6">
        <v>74</v>
      </c>
      <c r="R178" s="8"/>
      <c r="S178" s="8"/>
      <c r="T178" s="8"/>
      <c r="V178">
        <v>0</v>
      </c>
      <c r="W178">
        <v>74</v>
      </c>
    </row>
    <row r="179" spans="1:23">
      <c r="A179" s="3">
        <v>178</v>
      </c>
      <c r="B179" s="4">
        <v>40551</v>
      </c>
      <c r="C179" s="3">
        <v>1</v>
      </c>
      <c r="D179" s="3">
        <v>0</v>
      </c>
      <c r="E179" s="3" t="str">
        <f t="shared" si="9"/>
        <v>January</v>
      </c>
      <c r="F179" s="3">
        <v>16</v>
      </c>
      <c r="G179" s="3" t="b">
        <v>0</v>
      </c>
      <c r="H179" s="3" t="str">
        <f t="shared" si="11"/>
        <v>Saturday</v>
      </c>
      <c r="I179" s="3">
        <v>6</v>
      </c>
      <c r="J179" s="3" t="str">
        <f t="shared" si="10"/>
        <v>Foggy</v>
      </c>
      <c r="K179" s="3">
        <v>0.18</v>
      </c>
      <c r="L179" s="6">
        <v>0.28999999999999998</v>
      </c>
      <c r="M179" s="6">
        <v>0.13639999999999999</v>
      </c>
      <c r="N179" s="6">
        <v>0.44779999999999998</v>
      </c>
      <c r="O179" s="6">
        <v>8</v>
      </c>
      <c r="P179" s="6">
        <v>68</v>
      </c>
      <c r="Q179" s="6">
        <v>76</v>
      </c>
      <c r="R179" s="8"/>
      <c r="S179" s="8"/>
      <c r="T179" s="8"/>
      <c r="V179">
        <v>2</v>
      </c>
      <c r="W179">
        <v>35</v>
      </c>
    </row>
    <row r="180" spans="1:23">
      <c r="A180" s="3">
        <v>179</v>
      </c>
      <c r="B180" s="4">
        <v>40551</v>
      </c>
      <c r="C180" s="3">
        <v>1</v>
      </c>
      <c r="D180" s="3">
        <v>0</v>
      </c>
      <c r="E180" s="3" t="str">
        <f t="shared" si="9"/>
        <v>January</v>
      </c>
      <c r="F180" s="3">
        <v>17</v>
      </c>
      <c r="G180" s="3" t="b">
        <v>0</v>
      </c>
      <c r="H180" s="3" t="str">
        <f t="shared" si="11"/>
        <v>Saturday</v>
      </c>
      <c r="I180" s="3">
        <v>6</v>
      </c>
      <c r="J180" s="3" t="str">
        <f t="shared" si="10"/>
        <v>Foggy</v>
      </c>
      <c r="K180" s="3">
        <v>0.16</v>
      </c>
      <c r="L180" s="6">
        <v>0.37</v>
      </c>
      <c r="M180" s="6">
        <v>0.1212</v>
      </c>
      <c r="N180" s="6">
        <v>0.55220000000000002</v>
      </c>
      <c r="O180" s="6">
        <v>5</v>
      </c>
      <c r="P180" s="6">
        <v>64</v>
      </c>
      <c r="Q180" s="6">
        <v>69</v>
      </c>
      <c r="R180" s="8"/>
      <c r="S180" s="8"/>
      <c r="T180" s="8"/>
      <c r="V180">
        <v>3</v>
      </c>
      <c r="W180">
        <v>34</v>
      </c>
    </row>
    <row r="181" spans="1:23">
      <c r="A181" s="3">
        <v>180</v>
      </c>
      <c r="B181" s="4">
        <v>40551</v>
      </c>
      <c r="C181" s="3">
        <v>1</v>
      </c>
      <c r="D181" s="3">
        <v>0</v>
      </c>
      <c r="E181" s="3" t="str">
        <f t="shared" si="9"/>
        <v>January</v>
      </c>
      <c r="F181" s="3">
        <v>18</v>
      </c>
      <c r="G181" s="3" t="b">
        <v>0</v>
      </c>
      <c r="H181" s="3" t="str">
        <f t="shared" si="11"/>
        <v>Saturday</v>
      </c>
      <c r="I181" s="3">
        <v>6</v>
      </c>
      <c r="J181" s="3" t="str">
        <f t="shared" si="10"/>
        <v>Foggy</v>
      </c>
      <c r="K181" s="3">
        <v>0.14000000000000001</v>
      </c>
      <c r="L181" s="6">
        <v>0.39</v>
      </c>
      <c r="M181" s="6">
        <v>0.1212</v>
      </c>
      <c r="N181" s="6">
        <v>0.29849999999999999</v>
      </c>
      <c r="O181" s="6">
        <v>3</v>
      </c>
      <c r="P181" s="6">
        <v>52</v>
      </c>
      <c r="Q181" s="6">
        <v>55</v>
      </c>
      <c r="R181" s="8"/>
      <c r="S181" s="8"/>
      <c r="T181" s="8"/>
      <c r="V181">
        <v>4</v>
      </c>
      <c r="W181">
        <v>33</v>
      </c>
    </row>
    <row r="182" spans="1:23">
      <c r="A182" s="3">
        <v>181</v>
      </c>
      <c r="B182" s="4">
        <v>40551</v>
      </c>
      <c r="C182" s="3">
        <v>1</v>
      </c>
      <c r="D182" s="3">
        <v>0</v>
      </c>
      <c r="E182" s="3" t="str">
        <f t="shared" si="9"/>
        <v>January</v>
      </c>
      <c r="F182" s="3">
        <v>19</v>
      </c>
      <c r="G182" s="3" t="b">
        <v>0</v>
      </c>
      <c r="H182" s="3" t="str">
        <f t="shared" ref="H182:H200" si="12">TEXT(B182,"dddd")</f>
        <v>Saturday</v>
      </c>
      <c r="I182" s="3">
        <v>6</v>
      </c>
      <c r="J182" s="3" t="str">
        <f t="shared" si="10"/>
        <v>Foggy</v>
      </c>
      <c r="K182" s="3">
        <v>0.14000000000000001</v>
      </c>
      <c r="L182" s="6">
        <v>0.36</v>
      </c>
      <c r="M182" s="6">
        <v>0.1212</v>
      </c>
      <c r="N182" s="6">
        <v>0.25369999999999998</v>
      </c>
      <c r="O182" s="6">
        <v>4</v>
      </c>
      <c r="P182" s="6">
        <v>26</v>
      </c>
      <c r="Q182" s="6">
        <v>30</v>
      </c>
      <c r="R182" s="8"/>
      <c r="S182" s="8"/>
      <c r="T182" s="8"/>
      <c r="V182">
        <v>6</v>
      </c>
      <c r="W182">
        <v>31</v>
      </c>
    </row>
    <row r="183" spans="1:23">
      <c r="A183" s="3">
        <v>182</v>
      </c>
      <c r="B183" s="4">
        <v>40551</v>
      </c>
      <c r="C183" s="3">
        <v>1</v>
      </c>
      <c r="D183" s="3">
        <v>0</v>
      </c>
      <c r="E183" s="3" t="str">
        <f t="shared" si="9"/>
        <v>January</v>
      </c>
      <c r="F183" s="3">
        <v>20</v>
      </c>
      <c r="G183" s="3" t="b">
        <v>0</v>
      </c>
      <c r="H183" s="3" t="str">
        <f t="shared" si="12"/>
        <v>Saturday</v>
      </c>
      <c r="I183" s="3">
        <v>6</v>
      </c>
      <c r="J183" s="3" t="str">
        <f t="shared" si="10"/>
        <v>Foggy</v>
      </c>
      <c r="K183" s="3">
        <v>0.12</v>
      </c>
      <c r="L183" s="6">
        <v>0.36</v>
      </c>
      <c r="M183" s="6">
        <v>0.1212</v>
      </c>
      <c r="N183" s="6">
        <v>0.25369999999999998</v>
      </c>
      <c r="O183" s="6">
        <v>0</v>
      </c>
      <c r="P183" s="6">
        <v>28</v>
      </c>
      <c r="Q183" s="6">
        <v>28</v>
      </c>
      <c r="R183" s="8"/>
      <c r="S183" s="8"/>
      <c r="T183" s="8"/>
      <c r="U183">
        <v>38</v>
      </c>
      <c r="W183">
        <v>251</v>
      </c>
    </row>
    <row r="184" spans="1:23">
      <c r="A184" s="3">
        <v>183</v>
      </c>
      <c r="B184" s="4">
        <v>40551</v>
      </c>
      <c r="C184" s="3">
        <v>1</v>
      </c>
      <c r="D184" s="3">
        <v>0</v>
      </c>
      <c r="E184" s="3" t="str">
        <f t="shared" si="9"/>
        <v>January</v>
      </c>
      <c r="F184" s="3">
        <v>21</v>
      </c>
      <c r="G184" s="3" t="b">
        <v>0</v>
      </c>
      <c r="H184" s="3" t="str">
        <f t="shared" si="12"/>
        <v>Saturday</v>
      </c>
      <c r="I184" s="3">
        <v>6</v>
      </c>
      <c r="J184" s="3" t="str">
        <f t="shared" si="10"/>
        <v>Foggy</v>
      </c>
      <c r="K184" s="3">
        <v>0.12</v>
      </c>
      <c r="L184" s="6">
        <v>0.39</v>
      </c>
      <c r="M184" s="6">
        <v>0.1061</v>
      </c>
      <c r="N184" s="6">
        <v>0.35820000000000002</v>
      </c>
      <c r="O184" s="6">
        <v>2</v>
      </c>
      <c r="P184" s="6">
        <v>35</v>
      </c>
      <c r="Q184" s="6">
        <v>37</v>
      </c>
      <c r="R184" s="8"/>
      <c r="S184" s="8"/>
      <c r="T184" s="8"/>
      <c r="V184">
        <v>0</v>
      </c>
      <c r="W184">
        <v>38</v>
      </c>
    </row>
    <row r="185" spans="1:23">
      <c r="A185" s="3">
        <v>184</v>
      </c>
      <c r="B185" s="4">
        <v>40551</v>
      </c>
      <c r="C185" s="3">
        <v>1</v>
      </c>
      <c r="D185" s="3">
        <v>0</v>
      </c>
      <c r="E185" s="3" t="str">
        <f t="shared" si="9"/>
        <v>January</v>
      </c>
      <c r="F185" s="3">
        <v>22</v>
      </c>
      <c r="G185" s="3" t="b">
        <v>0</v>
      </c>
      <c r="H185" s="3" t="str">
        <f t="shared" si="12"/>
        <v>Saturday</v>
      </c>
      <c r="I185" s="3">
        <v>6</v>
      </c>
      <c r="J185" s="3" t="str">
        <f t="shared" si="10"/>
        <v>Foggy</v>
      </c>
      <c r="K185" s="3">
        <v>0.12</v>
      </c>
      <c r="L185" s="6">
        <v>0.36</v>
      </c>
      <c r="M185" s="6">
        <v>0.1061</v>
      </c>
      <c r="N185" s="6">
        <v>0.3881</v>
      </c>
      <c r="O185" s="6">
        <v>1</v>
      </c>
      <c r="P185" s="6">
        <v>33</v>
      </c>
      <c r="Q185" s="6">
        <v>34</v>
      </c>
      <c r="R185" s="8"/>
      <c r="S185" s="8"/>
      <c r="T185" s="8"/>
      <c r="V185">
        <v>1</v>
      </c>
      <c r="W185">
        <v>37</v>
      </c>
    </row>
    <row r="186" spans="1:23">
      <c r="A186" s="3">
        <v>185</v>
      </c>
      <c r="B186" s="4">
        <v>40551</v>
      </c>
      <c r="C186" s="3">
        <v>1</v>
      </c>
      <c r="D186" s="3">
        <v>0</v>
      </c>
      <c r="E186" s="3" t="str">
        <f t="shared" si="9"/>
        <v>January</v>
      </c>
      <c r="F186" s="3">
        <v>23</v>
      </c>
      <c r="G186" s="3" t="b">
        <v>0</v>
      </c>
      <c r="H186" s="3" t="str">
        <f t="shared" si="12"/>
        <v>Saturday</v>
      </c>
      <c r="I186" s="3">
        <v>6</v>
      </c>
      <c r="J186" s="3" t="str">
        <f t="shared" si="10"/>
        <v>Foggy</v>
      </c>
      <c r="K186" s="3">
        <v>0.1</v>
      </c>
      <c r="L186" s="6">
        <v>0.39</v>
      </c>
      <c r="M186" s="6">
        <v>6.0600000000000001E-2</v>
      </c>
      <c r="N186" s="6">
        <v>0.44779999999999998</v>
      </c>
      <c r="O186" s="6">
        <v>0</v>
      </c>
      <c r="P186" s="6">
        <v>22</v>
      </c>
      <c r="Q186" s="6">
        <v>22</v>
      </c>
      <c r="R186" s="8"/>
      <c r="S186" s="8"/>
      <c r="T186" s="8"/>
      <c r="V186">
        <v>2</v>
      </c>
      <c r="W186">
        <v>108</v>
      </c>
    </row>
    <row r="187" spans="1:23">
      <c r="A187" s="3">
        <v>186</v>
      </c>
      <c r="B187" s="4">
        <v>40552</v>
      </c>
      <c r="C187" s="3">
        <v>1</v>
      </c>
      <c r="D187" s="3">
        <v>0</v>
      </c>
      <c r="E187" s="3" t="str">
        <f t="shared" si="9"/>
        <v>January</v>
      </c>
      <c r="F187" s="3">
        <v>0</v>
      </c>
      <c r="G187" s="3" t="b">
        <v>0</v>
      </c>
      <c r="H187" s="3" t="str">
        <f t="shared" si="12"/>
        <v>Sunday</v>
      </c>
      <c r="I187" s="3">
        <v>0</v>
      </c>
      <c r="J187" s="3" t="str">
        <f t="shared" si="10"/>
        <v>Foggy</v>
      </c>
      <c r="K187" s="3">
        <v>0.1</v>
      </c>
      <c r="L187" s="6">
        <v>0.42</v>
      </c>
      <c r="M187" s="6">
        <v>7.5800000000000006E-2</v>
      </c>
      <c r="N187" s="6">
        <v>0.3881</v>
      </c>
      <c r="O187" s="6">
        <v>1</v>
      </c>
      <c r="P187" s="6">
        <v>24</v>
      </c>
      <c r="Q187" s="6">
        <v>25</v>
      </c>
      <c r="R187" s="8"/>
      <c r="S187" s="8"/>
      <c r="T187" s="8"/>
      <c r="V187">
        <v>4</v>
      </c>
      <c r="W187">
        <v>68</v>
      </c>
    </row>
    <row r="188" spans="1:23">
      <c r="A188" s="3">
        <v>187</v>
      </c>
      <c r="B188" s="4">
        <v>40552</v>
      </c>
      <c r="C188" s="3">
        <v>1</v>
      </c>
      <c r="D188" s="3">
        <v>0</v>
      </c>
      <c r="E188" s="3" t="str">
        <f t="shared" si="9"/>
        <v>January</v>
      </c>
      <c r="F188" s="3">
        <v>1</v>
      </c>
      <c r="G188" s="3" t="b">
        <v>0</v>
      </c>
      <c r="H188" s="3" t="str">
        <f t="shared" si="12"/>
        <v>Sunday</v>
      </c>
      <c r="I188" s="3">
        <v>0</v>
      </c>
      <c r="J188" s="3" t="str">
        <f t="shared" si="10"/>
        <v>Foggy</v>
      </c>
      <c r="K188" s="3">
        <v>0.1</v>
      </c>
      <c r="L188" s="6">
        <v>0.42</v>
      </c>
      <c r="M188" s="6">
        <v>6.0600000000000001E-2</v>
      </c>
      <c r="N188" s="6">
        <v>0.4627</v>
      </c>
      <c r="O188" s="6">
        <v>0</v>
      </c>
      <c r="P188" s="6">
        <v>12</v>
      </c>
      <c r="Q188" s="6">
        <v>12</v>
      </c>
      <c r="R188" s="8"/>
      <c r="S188" s="8"/>
      <c r="T188" s="8"/>
      <c r="U188">
        <v>39</v>
      </c>
      <c r="W188">
        <v>359</v>
      </c>
    </row>
    <row r="189" spans="1:23">
      <c r="A189" s="3">
        <v>188</v>
      </c>
      <c r="B189" s="4">
        <v>40552</v>
      </c>
      <c r="C189" s="3">
        <v>1</v>
      </c>
      <c r="D189" s="3">
        <v>0</v>
      </c>
      <c r="E189" s="3" t="str">
        <f t="shared" si="9"/>
        <v>January</v>
      </c>
      <c r="F189" s="3">
        <v>2</v>
      </c>
      <c r="G189" s="3" t="b">
        <v>0</v>
      </c>
      <c r="H189" s="3" t="str">
        <f t="shared" si="12"/>
        <v>Sunday</v>
      </c>
      <c r="I189" s="3">
        <v>0</v>
      </c>
      <c r="J189" s="3" t="str">
        <f t="shared" si="10"/>
        <v>Foggy</v>
      </c>
      <c r="K189" s="3">
        <v>0.1</v>
      </c>
      <c r="L189" s="6">
        <v>0.46</v>
      </c>
      <c r="M189" s="6">
        <v>6.0600000000000001E-2</v>
      </c>
      <c r="N189" s="6">
        <v>0.4627</v>
      </c>
      <c r="O189" s="6">
        <v>0</v>
      </c>
      <c r="P189" s="6">
        <v>11</v>
      </c>
      <c r="Q189" s="6">
        <v>11</v>
      </c>
      <c r="R189" s="8"/>
      <c r="S189" s="8"/>
      <c r="T189" s="8"/>
      <c r="V189">
        <v>0</v>
      </c>
      <c r="W189">
        <v>195</v>
      </c>
    </row>
    <row r="190" spans="1:23">
      <c r="A190" s="3">
        <v>189</v>
      </c>
      <c r="B190" s="4">
        <v>40552</v>
      </c>
      <c r="C190" s="3">
        <v>1</v>
      </c>
      <c r="D190" s="3">
        <v>0</v>
      </c>
      <c r="E190" s="3" t="str">
        <f t="shared" si="9"/>
        <v>January</v>
      </c>
      <c r="F190" s="3">
        <v>3</v>
      </c>
      <c r="G190" s="3" t="b">
        <v>0</v>
      </c>
      <c r="H190" s="3" t="str">
        <f t="shared" si="12"/>
        <v>Sunday</v>
      </c>
      <c r="I190" s="3">
        <v>0</v>
      </c>
      <c r="J190" s="3" t="str">
        <f t="shared" si="10"/>
        <v>Foggy</v>
      </c>
      <c r="K190" s="3">
        <v>0.1</v>
      </c>
      <c r="L190" s="6">
        <v>0.46</v>
      </c>
      <c r="M190" s="6">
        <v>7.5800000000000006E-2</v>
      </c>
      <c r="N190" s="6">
        <v>0.41789999999999999</v>
      </c>
      <c r="O190" s="6">
        <v>0</v>
      </c>
      <c r="P190" s="6">
        <v>4</v>
      </c>
      <c r="Q190" s="6">
        <v>4</v>
      </c>
      <c r="R190" s="8"/>
      <c r="S190" s="8"/>
      <c r="T190" s="8"/>
      <c r="V190">
        <v>2</v>
      </c>
      <c r="W190">
        <v>37</v>
      </c>
    </row>
    <row r="191" spans="1:23">
      <c r="A191" s="3">
        <v>190</v>
      </c>
      <c r="B191" s="4">
        <v>40552</v>
      </c>
      <c r="C191" s="3">
        <v>1</v>
      </c>
      <c r="D191" s="3">
        <v>0</v>
      </c>
      <c r="E191" s="3" t="str">
        <f t="shared" si="9"/>
        <v>January</v>
      </c>
      <c r="F191" s="3">
        <v>4</v>
      </c>
      <c r="G191" s="3" t="b">
        <v>0</v>
      </c>
      <c r="H191" s="3" t="str">
        <f t="shared" si="12"/>
        <v>Sunday</v>
      </c>
      <c r="I191" s="3">
        <v>0</v>
      </c>
      <c r="J191" s="3" t="str">
        <f t="shared" si="10"/>
        <v>Foggy</v>
      </c>
      <c r="K191" s="3">
        <v>0.08</v>
      </c>
      <c r="L191" s="6">
        <v>0.53</v>
      </c>
      <c r="M191" s="6">
        <v>9.0899999999999995E-2</v>
      </c>
      <c r="N191" s="6">
        <v>0.19400000000000001</v>
      </c>
      <c r="O191" s="6">
        <v>0</v>
      </c>
      <c r="P191" s="6">
        <v>1</v>
      </c>
      <c r="Q191" s="6">
        <v>1</v>
      </c>
      <c r="R191" s="8"/>
      <c r="S191" s="8"/>
      <c r="T191" s="8"/>
      <c r="V191">
        <v>3</v>
      </c>
      <c r="W191">
        <v>36</v>
      </c>
    </row>
    <row r="192" spans="1:23">
      <c r="A192" s="3">
        <v>191</v>
      </c>
      <c r="B192" s="4">
        <v>40552</v>
      </c>
      <c r="C192" s="3">
        <v>1</v>
      </c>
      <c r="D192" s="3">
        <v>0</v>
      </c>
      <c r="E192" s="3" t="str">
        <f t="shared" si="9"/>
        <v>January</v>
      </c>
      <c r="F192" s="3">
        <v>5</v>
      </c>
      <c r="G192" s="3" t="b">
        <v>0</v>
      </c>
      <c r="H192" s="3" t="str">
        <f t="shared" si="12"/>
        <v>Sunday</v>
      </c>
      <c r="I192" s="3">
        <v>0</v>
      </c>
      <c r="J192" s="3" t="str">
        <f t="shared" si="10"/>
        <v>Foggy</v>
      </c>
      <c r="K192" s="3">
        <v>0.08</v>
      </c>
      <c r="L192" s="6">
        <v>0.53</v>
      </c>
      <c r="M192" s="6">
        <v>9.0899999999999995E-2</v>
      </c>
      <c r="N192" s="6">
        <v>0.19400000000000001</v>
      </c>
      <c r="O192" s="6">
        <v>0</v>
      </c>
      <c r="P192" s="6">
        <v>1</v>
      </c>
      <c r="Q192" s="6">
        <v>1</v>
      </c>
      <c r="R192" s="8"/>
      <c r="S192" s="8"/>
      <c r="T192" s="8"/>
      <c r="V192">
        <v>5</v>
      </c>
      <c r="W192">
        <v>34</v>
      </c>
    </row>
    <row r="193" spans="1:23">
      <c r="A193" s="3">
        <v>192</v>
      </c>
      <c r="B193" s="4">
        <v>40552</v>
      </c>
      <c r="C193" s="3">
        <v>1</v>
      </c>
      <c r="D193" s="3">
        <v>0</v>
      </c>
      <c r="E193" s="3" t="str">
        <f t="shared" si="9"/>
        <v>January</v>
      </c>
      <c r="F193" s="3">
        <v>6</v>
      </c>
      <c r="G193" s="3" t="b">
        <v>0</v>
      </c>
      <c r="H193" s="3" t="str">
        <f t="shared" si="12"/>
        <v>Sunday</v>
      </c>
      <c r="I193" s="3">
        <v>0</v>
      </c>
      <c r="J193" s="3" t="str">
        <f t="shared" si="10"/>
        <v>Foggy</v>
      </c>
      <c r="K193" s="3">
        <v>0.1</v>
      </c>
      <c r="L193" s="6">
        <v>0.49</v>
      </c>
      <c r="M193" s="6">
        <v>9.0899999999999995E-2</v>
      </c>
      <c r="N193" s="6">
        <v>0.28360000000000002</v>
      </c>
      <c r="O193" s="6">
        <v>0</v>
      </c>
      <c r="P193" s="6">
        <v>1</v>
      </c>
      <c r="Q193" s="6">
        <v>1</v>
      </c>
      <c r="R193" s="8"/>
      <c r="S193" s="8"/>
      <c r="T193" s="8"/>
      <c r="V193">
        <v>6</v>
      </c>
      <c r="W193">
        <v>33</v>
      </c>
    </row>
    <row r="194" spans="1:23">
      <c r="A194" s="3">
        <v>193</v>
      </c>
      <c r="B194" s="4">
        <v>40552</v>
      </c>
      <c r="C194" s="3">
        <v>1</v>
      </c>
      <c r="D194" s="3">
        <v>0</v>
      </c>
      <c r="E194" s="3" t="str">
        <f t="shared" si="9"/>
        <v>January</v>
      </c>
      <c r="F194" s="3">
        <v>7</v>
      </c>
      <c r="G194" s="3" t="b">
        <v>0</v>
      </c>
      <c r="H194" s="3" t="str">
        <f t="shared" si="12"/>
        <v>Sunday</v>
      </c>
      <c r="I194" s="3">
        <v>0</v>
      </c>
      <c r="J194" s="3" t="str">
        <f t="shared" si="10"/>
        <v>Foggy</v>
      </c>
      <c r="K194" s="3">
        <v>0.08</v>
      </c>
      <c r="L194" s="6">
        <v>0.53</v>
      </c>
      <c r="M194" s="6">
        <v>9.0899999999999995E-2</v>
      </c>
      <c r="N194" s="6">
        <v>0.19400000000000001</v>
      </c>
      <c r="O194" s="6">
        <v>1</v>
      </c>
      <c r="P194" s="6">
        <v>5</v>
      </c>
      <c r="Q194" s="6">
        <v>6</v>
      </c>
      <c r="R194" s="8"/>
      <c r="S194" s="8"/>
      <c r="T194" s="8"/>
      <c r="V194">
        <v>15</v>
      </c>
      <c r="W194">
        <v>24</v>
      </c>
    </row>
    <row r="195" spans="1:23">
      <c r="A195" s="3">
        <v>194</v>
      </c>
      <c r="B195" s="4">
        <v>40552</v>
      </c>
      <c r="C195" s="3">
        <v>1</v>
      </c>
      <c r="D195" s="3">
        <v>0</v>
      </c>
      <c r="E195" s="3" t="str">
        <f t="shared" ref="E195:E258" si="13">TEXT(B195,"MMMM")</f>
        <v>January</v>
      </c>
      <c r="F195" s="3">
        <v>8</v>
      </c>
      <c r="G195" s="3" t="b">
        <v>0</v>
      </c>
      <c r="H195" s="3" t="str">
        <f t="shared" si="12"/>
        <v>Sunday</v>
      </c>
      <c r="I195" s="3">
        <v>0</v>
      </c>
      <c r="J195" s="3" t="str">
        <f t="shared" si="10"/>
        <v>Foggy</v>
      </c>
      <c r="K195" s="3">
        <v>0.1</v>
      </c>
      <c r="L195" s="6">
        <v>0.49</v>
      </c>
      <c r="M195" s="6">
        <v>9.0899999999999995E-2</v>
      </c>
      <c r="N195" s="6">
        <v>0.28360000000000002</v>
      </c>
      <c r="O195" s="6">
        <v>0</v>
      </c>
      <c r="P195" s="6">
        <v>10</v>
      </c>
      <c r="Q195" s="6">
        <v>10</v>
      </c>
      <c r="R195" s="8"/>
      <c r="S195" s="8"/>
      <c r="T195" s="8"/>
      <c r="U195">
        <v>40</v>
      </c>
      <c r="W195">
        <v>254</v>
      </c>
    </row>
    <row r="196" spans="1:23">
      <c r="A196" s="3">
        <v>195</v>
      </c>
      <c r="B196" s="4">
        <v>40552</v>
      </c>
      <c r="C196" s="3">
        <v>1</v>
      </c>
      <c r="D196" s="3">
        <v>0</v>
      </c>
      <c r="E196" s="3" t="str">
        <f t="shared" si="13"/>
        <v>January</v>
      </c>
      <c r="F196" s="3">
        <v>9</v>
      </c>
      <c r="G196" s="3" t="b">
        <v>0</v>
      </c>
      <c r="H196" s="3" t="str">
        <f t="shared" si="12"/>
        <v>Sunday</v>
      </c>
      <c r="I196" s="3">
        <v>0</v>
      </c>
      <c r="J196" s="3" t="str">
        <f t="shared" si="10"/>
        <v>Foggy</v>
      </c>
      <c r="K196" s="3">
        <v>0.12</v>
      </c>
      <c r="L196" s="6">
        <v>0.46</v>
      </c>
      <c r="M196" s="6">
        <v>7.5800000000000006E-2</v>
      </c>
      <c r="N196" s="6">
        <v>0.52239999999999998</v>
      </c>
      <c r="O196" s="6">
        <v>0</v>
      </c>
      <c r="P196" s="6">
        <v>19</v>
      </c>
      <c r="Q196" s="6">
        <v>19</v>
      </c>
      <c r="R196" s="8"/>
      <c r="S196" s="8"/>
      <c r="T196" s="8"/>
      <c r="V196">
        <v>0</v>
      </c>
      <c r="W196">
        <v>40</v>
      </c>
    </row>
    <row r="197" spans="1:23">
      <c r="A197" s="3">
        <v>196</v>
      </c>
      <c r="B197" s="4">
        <v>40552</v>
      </c>
      <c r="C197" s="3">
        <v>1</v>
      </c>
      <c r="D197" s="3">
        <v>0</v>
      </c>
      <c r="E197" s="3" t="str">
        <f t="shared" si="13"/>
        <v>January</v>
      </c>
      <c r="F197" s="3">
        <v>10</v>
      </c>
      <c r="G197" s="3" t="b">
        <v>0</v>
      </c>
      <c r="H197" s="3" t="str">
        <f t="shared" si="12"/>
        <v>Sunday</v>
      </c>
      <c r="I197" s="3">
        <v>0</v>
      </c>
      <c r="J197" s="3" t="str">
        <f t="shared" si="10"/>
        <v>Foggy</v>
      </c>
      <c r="K197" s="3">
        <v>0.14000000000000001</v>
      </c>
      <c r="L197" s="6">
        <v>0.43</v>
      </c>
      <c r="M197" s="6">
        <v>0.1061</v>
      </c>
      <c r="N197" s="6">
        <v>0.3881</v>
      </c>
      <c r="O197" s="6">
        <v>0</v>
      </c>
      <c r="P197" s="6">
        <v>49</v>
      </c>
      <c r="Q197" s="6">
        <v>49</v>
      </c>
      <c r="R197" s="8"/>
      <c r="S197" s="8"/>
      <c r="T197" s="8"/>
      <c r="V197">
        <v>1</v>
      </c>
      <c r="W197">
        <v>39</v>
      </c>
    </row>
    <row r="198" spans="1:23">
      <c r="A198" s="3">
        <v>197</v>
      </c>
      <c r="B198" s="4">
        <v>40552</v>
      </c>
      <c r="C198" s="3">
        <v>1</v>
      </c>
      <c r="D198" s="3">
        <v>0</v>
      </c>
      <c r="E198" s="3" t="str">
        <f t="shared" si="13"/>
        <v>January</v>
      </c>
      <c r="F198" s="3">
        <v>11</v>
      </c>
      <c r="G198" s="3" t="b">
        <v>0</v>
      </c>
      <c r="H198" s="3" t="str">
        <f t="shared" si="12"/>
        <v>Sunday</v>
      </c>
      <c r="I198" s="3">
        <v>0</v>
      </c>
      <c r="J198" s="3" t="str">
        <f t="shared" si="10"/>
        <v>Foggy</v>
      </c>
      <c r="K198" s="3">
        <v>0.16</v>
      </c>
      <c r="L198" s="6">
        <v>0.4</v>
      </c>
      <c r="M198" s="6">
        <v>0.1212</v>
      </c>
      <c r="N198" s="6">
        <v>0.52239999999999998</v>
      </c>
      <c r="O198" s="6">
        <v>2</v>
      </c>
      <c r="P198" s="6">
        <v>47</v>
      </c>
      <c r="Q198" s="6">
        <v>49</v>
      </c>
      <c r="R198" s="8"/>
      <c r="S198" s="8"/>
      <c r="T198" s="8"/>
      <c r="V198">
        <v>3</v>
      </c>
      <c r="W198">
        <v>74</v>
      </c>
    </row>
    <row r="199" spans="1:23">
      <c r="A199" s="3">
        <v>198</v>
      </c>
      <c r="B199" s="4">
        <v>40552</v>
      </c>
      <c r="C199" s="3">
        <v>1</v>
      </c>
      <c r="D199" s="3">
        <v>0</v>
      </c>
      <c r="E199" s="3" t="str">
        <f t="shared" si="13"/>
        <v>January</v>
      </c>
      <c r="F199" s="3">
        <v>12</v>
      </c>
      <c r="G199" s="3" t="b">
        <v>0</v>
      </c>
      <c r="H199" s="3" t="str">
        <f t="shared" si="12"/>
        <v>Sunday</v>
      </c>
      <c r="I199" s="3">
        <v>0</v>
      </c>
      <c r="J199" s="3" t="str">
        <f t="shared" ref="J199:J262" si="14">IF($K199&lt;=0.24,"Foggy",IF($K199&gt;0.24,"Clear"))</f>
        <v>Foggy</v>
      </c>
      <c r="K199" s="3">
        <v>0.18</v>
      </c>
      <c r="L199" s="6">
        <v>0.37</v>
      </c>
      <c r="M199" s="6">
        <v>0.13639999999999999</v>
      </c>
      <c r="N199" s="6">
        <v>0.44779999999999998</v>
      </c>
      <c r="O199" s="6">
        <v>4</v>
      </c>
      <c r="P199" s="6">
        <v>79</v>
      </c>
      <c r="Q199" s="6">
        <v>83</v>
      </c>
      <c r="R199" s="8"/>
      <c r="S199" s="8"/>
      <c r="T199" s="8"/>
      <c r="V199">
        <v>5</v>
      </c>
      <c r="W199">
        <v>35</v>
      </c>
    </row>
    <row r="200" spans="1:23">
      <c r="A200" s="3">
        <v>199</v>
      </c>
      <c r="B200" s="4">
        <v>40552</v>
      </c>
      <c r="C200" s="3">
        <v>1</v>
      </c>
      <c r="D200" s="3">
        <v>0</v>
      </c>
      <c r="E200" s="3" t="str">
        <f t="shared" si="13"/>
        <v>January</v>
      </c>
      <c r="F200" s="3">
        <v>13</v>
      </c>
      <c r="G200" s="3" t="b">
        <v>0</v>
      </c>
      <c r="H200" s="3" t="str">
        <f t="shared" si="12"/>
        <v>Sunday</v>
      </c>
      <c r="I200" s="3">
        <v>0</v>
      </c>
      <c r="J200" s="3" t="str">
        <f t="shared" si="14"/>
        <v>Foggy</v>
      </c>
      <c r="K200" s="3">
        <v>0.2</v>
      </c>
      <c r="L200" s="6">
        <v>0.34</v>
      </c>
      <c r="M200" s="6">
        <v>0.16669999999999999</v>
      </c>
      <c r="N200" s="6">
        <v>0.44779999999999998</v>
      </c>
      <c r="O200" s="6">
        <v>6</v>
      </c>
      <c r="P200" s="6">
        <v>69</v>
      </c>
      <c r="Q200" s="6">
        <v>75</v>
      </c>
      <c r="R200" s="8"/>
      <c r="S200" s="8"/>
      <c r="T200" s="8"/>
      <c r="V200">
        <v>6</v>
      </c>
      <c r="W200">
        <v>34</v>
      </c>
    </row>
    <row r="201" spans="1:23">
      <c r="A201" s="3">
        <v>200</v>
      </c>
      <c r="B201" s="4">
        <v>40552</v>
      </c>
      <c r="C201" s="3">
        <v>1</v>
      </c>
      <c r="D201" s="3">
        <v>0</v>
      </c>
      <c r="E201" s="3" t="str">
        <f t="shared" si="13"/>
        <v>January</v>
      </c>
      <c r="F201" s="3">
        <v>14</v>
      </c>
      <c r="G201" s="3" t="b">
        <v>0</v>
      </c>
      <c r="H201" s="3" t="str">
        <f t="shared" ref="H201:H264" si="15">TEXT(B201,"dddd")</f>
        <v>Sunday</v>
      </c>
      <c r="I201" s="3">
        <v>0</v>
      </c>
      <c r="J201" s="3" t="str">
        <f t="shared" si="14"/>
        <v>Foggy</v>
      </c>
      <c r="K201" s="3">
        <v>0.22</v>
      </c>
      <c r="L201" s="6">
        <v>0.32</v>
      </c>
      <c r="M201" s="6">
        <v>0.18179999999999999</v>
      </c>
      <c r="N201" s="6">
        <v>0.4627</v>
      </c>
      <c r="O201" s="6">
        <v>8</v>
      </c>
      <c r="P201" s="6">
        <v>64</v>
      </c>
      <c r="Q201" s="6">
        <v>72</v>
      </c>
      <c r="R201" s="8"/>
      <c r="S201" s="8"/>
      <c r="T201" s="8"/>
      <c r="V201">
        <v>8</v>
      </c>
      <c r="W201">
        <v>32</v>
      </c>
    </row>
    <row r="202" spans="1:23">
      <c r="A202" s="3">
        <v>201</v>
      </c>
      <c r="B202" s="4">
        <v>40552</v>
      </c>
      <c r="C202" s="3">
        <v>1</v>
      </c>
      <c r="D202" s="3">
        <v>0</v>
      </c>
      <c r="E202" s="3" t="str">
        <f t="shared" si="13"/>
        <v>January</v>
      </c>
      <c r="F202" s="3">
        <v>15</v>
      </c>
      <c r="G202" s="3" t="b">
        <v>0</v>
      </c>
      <c r="H202" s="3" t="str">
        <f t="shared" si="15"/>
        <v>Sunday</v>
      </c>
      <c r="I202" s="3">
        <v>0</v>
      </c>
      <c r="J202" s="3" t="str">
        <f t="shared" si="14"/>
        <v>Foggy</v>
      </c>
      <c r="K202" s="3">
        <v>0.22</v>
      </c>
      <c r="L202" s="6">
        <v>0.35</v>
      </c>
      <c r="M202" s="6">
        <v>0.19700000000000001</v>
      </c>
      <c r="N202" s="6">
        <v>0.35820000000000002</v>
      </c>
      <c r="O202" s="6">
        <v>5</v>
      </c>
      <c r="P202" s="6">
        <v>77</v>
      </c>
      <c r="Q202" s="6">
        <v>82</v>
      </c>
      <c r="R202" s="8"/>
      <c r="S202" s="8"/>
      <c r="T202" s="8"/>
      <c r="U202">
        <v>41</v>
      </c>
      <c r="W202">
        <v>350</v>
      </c>
    </row>
    <row r="203" spans="1:23">
      <c r="A203" s="3">
        <v>202</v>
      </c>
      <c r="B203" s="4">
        <v>40552</v>
      </c>
      <c r="C203" s="3">
        <v>1</v>
      </c>
      <c r="D203" s="3">
        <v>0</v>
      </c>
      <c r="E203" s="3" t="str">
        <f t="shared" si="13"/>
        <v>January</v>
      </c>
      <c r="F203" s="3">
        <v>16</v>
      </c>
      <c r="G203" s="3" t="b">
        <v>0</v>
      </c>
      <c r="H203" s="3" t="str">
        <f t="shared" si="15"/>
        <v>Sunday</v>
      </c>
      <c r="I203" s="3">
        <v>0</v>
      </c>
      <c r="J203" s="3" t="str">
        <f t="shared" si="14"/>
        <v>Foggy</v>
      </c>
      <c r="K203" s="3">
        <v>0.2</v>
      </c>
      <c r="L203" s="6">
        <v>0.34</v>
      </c>
      <c r="M203" s="6">
        <v>0.16669999999999999</v>
      </c>
      <c r="N203" s="6">
        <v>0.44779999999999998</v>
      </c>
      <c r="O203" s="6">
        <v>13</v>
      </c>
      <c r="P203" s="6">
        <v>79</v>
      </c>
      <c r="Q203" s="6">
        <v>92</v>
      </c>
      <c r="R203" s="8"/>
      <c r="S203" s="8"/>
      <c r="T203" s="8"/>
      <c r="V203">
        <v>0</v>
      </c>
      <c r="W203">
        <v>82</v>
      </c>
    </row>
    <row r="204" spans="1:23">
      <c r="A204" s="3">
        <v>203</v>
      </c>
      <c r="B204" s="4">
        <v>40552</v>
      </c>
      <c r="C204" s="3">
        <v>1</v>
      </c>
      <c r="D204" s="3">
        <v>0</v>
      </c>
      <c r="E204" s="3" t="str">
        <f t="shared" si="13"/>
        <v>January</v>
      </c>
      <c r="F204" s="3">
        <v>17</v>
      </c>
      <c r="G204" s="3" t="b">
        <v>0</v>
      </c>
      <c r="H204" s="3" t="str">
        <f t="shared" si="15"/>
        <v>Sunday</v>
      </c>
      <c r="I204" s="3">
        <v>0</v>
      </c>
      <c r="J204" s="3" t="str">
        <f t="shared" si="14"/>
        <v>Foggy</v>
      </c>
      <c r="K204" s="3">
        <v>0.18</v>
      </c>
      <c r="L204" s="6">
        <v>0.37</v>
      </c>
      <c r="M204" s="6">
        <v>0.1515</v>
      </c>
      <c r="N204" s="6">
        <v>0.3881</v>
      </c>
      <c r="O204" s="6">
        <v>3</v>
      </c>
      <c r="P204" s="6">
        <v>59</v>
      </c>
      <c r="Q204" s="6">
        <v>62</v>
      </c>
      <c r="R204" s="8"/>
      <c r="S204" s="8"/>
      <c r="T204" s="8"/>
      <c r="V204">
        <v>1</v>
      </c>
      <c r="W204">
        <v>120</v>
      </c>
    </row>
    <row r="205" spans="1:23">
      <c r="A205" s="3">
        <v>204</v>
      </c>
      <c r="B205" s="4">
        <v>40552</v>
      </c>
      <c r="C205" s="3">
        <v>1</v>
      </c>
      <c r="D205" s="3">
        <v>0</v>
      </c>
      <c r="E205" s="3" t="str">
        <f t="shared" si="13"/>
        <v>January</v>
      </c>
      <c r="F205" s="3">
        <v>18</v>
      </c>
      <c r="G205" s="3" t="b">
        <v>0</v>
      </c>
      <c r="H205" s="3" t="str">
        <f t="shared" si="15"/>
        <v>Sunday</v>
      </c>
      <c r="I205" s="3">
        <v>0</v>
      </c>
      <c r="J205" s="3" t="str">
        <f t="shared" si="14"/>
        <v>Foggy</v>
      </c>
      <c r="K205" s="3">
        <v>0.16</v>
      </c>
      <c r="L205" s="6">
        <v>0.4</v>
      </c>
      <c r="M205" s="6">
        <v>0.13639999999999999</v>
      </c>
      <c r="N205" s="6">
        <v>0.32840000000000003</v>
      </c>
      <c r="O205" s="6">
        <v>4</v>
      </c>
      <c r="P205" s="6">
        <v>44</v>
      </c>
      <c r="Q205" s="6">
        <v>48</v>
      </c>
      <c r="R205" s="8"/>
      <c r="S205" s="8"/>
      <c r="T205" s="8"/>
      <c r="V205">
        <v>2</v>
      </c>
      <c r="W205">
        <v>78</v>
      </c>
    </row>
    <row r="206" spans="1:23">
      <c r="A206" s="3">
        <v>205</v>
      </c>
      <c r="B206" s="4">
        <v>40552</v>
      </c>
      <c r="C206" s="3">
        <v>1</v>
      </c>
      <c r="D206" s="3">
        <v>0</v>
      </c>
      <c r="E206" s="3" t="str">
        <f t="shared" si="13"/>
        <v>January</v>
      </c>
      <c r="F206" s="3">
        <v>19</v>
      </c>
      <c r="G206" s="3" t="b">
        <v>0</v>
      </c>
      <c r="H206" s="3" t="str">
        <f t="shared" si="15"/>
        <v>Sunday</v>
      </c>
      <c r="I206" s="3">
        <v>0</v>
      </c>
      <c r="J206" s="3" t="str">
        <f t="shared" si="14"/>
        <v>Foggy</v>
      </c>
      <c r="K206" s="3">
        <v>0.16</v>
      </c>
      <c r="L206" s="6">
        <v>0.43</v>
      </c>
      <c r="M206" s="6">
        <v>0.13639999999999999</v>
      </c>
      <c r="N206" s="6">
        <v>0.32840000000000003</v>
      </c>
      <c r="O206" s="6">
        <v>1</v>
      </c>
      <c r="P206" s="6">
        <v>40</v>
      </c>
      <c r="Q206" s="6">
        <v>41</v>
      </c>
      <c r="R206" s="8"/>
      <c r="S206" s="8"/>
      <c r="T206" s="8"/>
      <c r="V206">
        <v>6</v>
      </c>
      <c r="W206">
        <v>70</v>
      </c>
    </row>
    <row r="207" spans="1:23">
      <c r="A207" s="3">
        <v>206</v>
      </c>
      <c r="B207" s="4">
        <v>40552</v>
      </c>
      <c r="C207" s="3">
        <v>1</v>
      </c>
      <c r="D207" s="3">
        <v>0</v>
      </c>
      <c r="E207" s="3" t="str">
        <f t="shared" si="13"/>
        <v>January</v>
      </c>
      <c r="F207" s="3">
        <v>20</v>
      </c>
      <c r="G207" s="3" t="b">
        <v>0</v>
      </c>
      <c r="H207" s="3" t="str">
        <f t="shared" si="15"/>
        <v>Sunday</v>
      </c>
      <c r="I207" s="3">
        <v>0</v>
      </c>
      <c r="J207" s="3" t="str">
        <f t="shared" si="14"/>
        <v>Foggy</v>
      </c>
      <c r="K207" s="3">
        <v>0.14000000000000001</v>
      </c>
      <c r="L207" s="6">
        <v>0.46</v>
      </c>
      <c r="M207" s="6">
        <v>0.1212</v>
      </c>
      <c r="N207" s="6">
        <v>0.25369999999999998</v>
      </c>
      <c r="O207" s="6">
        <v>0</v>
      </c>
      <c r="P207" s="6">
        <v>38</v>
      </c>
      <c r="Q207" s="6">
        <v>38</v>
      </c>
      <c r="R207" s="8"/>
      <c r="S207" s="8"/>
      <c r="T207" s="8"/>
      <c r="U207">
        <v>42</v>
      </c>
      <c r="W207">
        <v>117</v>
      </c>
    </row>
    <row r="208" spans="1:23">
      <c r="A208" s="3">
        <v>207</v>
      </c>
      <c r="B208" s="4">
        <v>40552</v>
      </c>
      <c r="C208" s="3">
        <v>1</v>
      </c>
      <c r="D208" s="3">
        <v>0</v>
      </c>
      <c r="E208" s="3" t="str">
        <f t="shared" si="13"/>
        <v>January</v>
      </c>
      <c r="F208" s="3">
        <v>21</v>
      </c>
      <c r="G208" s="3" t="b">
        <v>0</v>
      </c>
      <c r="H208" s="3" t="str">
        <f t="shared" si="15"/>
        <v>Sunday</v>
      </c>
      <c r="I208" s="3">
        <v>0</v>
      </c>
      <c r="J208" s="3" t="str">
        <f t="shared" si="14"/>
        <v>Foggy</v>
      </c>
      <c r="K208" s="3">
        <v>0.14000000000000001</v>
      </c>
      <c r="L208" s="6">
        <v>0.46</v>
      </c>
      <c r="M208" s="6">
        <v>0.1061</v>
      </c>
      <c r="N208" s="6">
        <v>0.41789999999999999</v>
      </c>
      <c r="O208" s="6">
        <v>1</v>
      </c>
      <c r="P208" s="6">
        <v>19</v>
      </c>
      <c r="Q208" s="6">
        <v>20</v>
      </c>
      <c r="R208" s="8"/>
      <c r="S208" s="8"/>
      <c r="T208" s="8"/>
      <c r="V208">
        <v>1</v>
      </c>
      <c r="W208">
        <v>41</v>
      </c>
    </row>
    <row r="209" spans="1:23">
      <c r="A209" s="3">
        <v>208</v>
      </c>
      <c r="B209" s="4">
        <v>40552</v>
      </c>
      <c r="C209" s="3">
        <v>1</v>
      </c>
      <c r="D209" s="3">
        <v>0</v>
      </c>
      <c r="E209" s="3" t="str">
        <f t="shared" si="13"/>
        <v>January</v>
      </c>
      <c r="F209" s="3">
        <v>22</v>
      </c>
      <c r="G209" s="3" t="b">
        <v>0</v>
      </c>
      <c r="H209" s="3" t="str">
        <f t="shared" si="15"/>
        <v>Sunday</v>
      </c>
      <c r="I209" s="3">
        <v>0</v>
      </c>
      <c r="J209" s="3" t="str">
        <f t="shared" si="14"/>
        <v>Foggy</v>
      </c>
      <c r="K209" s="3">
        <v>0.14000000000000001</v>
      </c>
      <c r="L209" s="6">
        <v>0.46</v>
      </c>
      <c r="M209" s="6">
        <v>0.1212</v>
      </c>
      <c r="N209" s="6">
        <v>0.29849999999999999</v>
      </c>
      <c r="O209" s="6">
        <v>5</v>
      </c>
      <c r="P209" s="6">
        <v>10</v>
      </c>
      <c r="Q209" s="6">
        <v>15</v>
      </c>
      <c r="R209" s="8"/>
      <c r="S209" s="8"/>
      <c r="T209" s="8"/>
      <c r="V209">
        <v>3</v>
      </c>
      <c r="W209">
        <v>39</v>
      </c>
    </row>
    <row r="210" spans="1:23">
      <c r="A210" s="3">
        <v>209</v>
      </c>
      <c r="B210" s="4">
        <v>40552</v>
      </c>
      <c r="C210" s="3">
        <v>1</v>
      </c>
      <c r="D210" s="3">
        <v>0</v>
      </c>
      <c r="E210" s="3" t="str">
        <f t="shared" si="13"/>
        <v>January</v>
      </c>
      <c r="F210" s="3">
        <v>23</v>
      </c>
      <c r="G210" s="3" t="b">
        <v>0</v>
      </c>
      <c r="H210" s="3" t="str">
        <f t="shared" si="15"/>
        <v>Sunday</v>
      </c>
      <c r="I210" s="3">
        <v>0</v>
      </c>
      <c r="J210" s="3" t="str">
        <f t="shared" si="14"/>
        <v>Foggy</v>
      </c>
      <c r="K210" s="3">
        <v>0.12</v>
      </c>
      <c r="L210" s="6">
        <v>0.5</v>
      </c>
      <c r="M210" s="6">
        <v>0.13639999999999999</v>
      </c>
      <c r="N210" s="6">
        <v>0.19400000000000001</v>
      </c>
      <c r="O210" s="6">
        <v>0</v>
      </c>
      <c r="P210" s="6">
        <v>6</v>
      </c>
      <c r="Q210" s="6">
        <v>6</v>
      </c>
      <c r="R210" s="8"/>
      <c r="S210" s="8"/>
      <c r="T210" s="8"/>
      <c r="V210">
        <v>5</v>
      </c>
      <c r="W210">
        <v>37</v>
      </c>
    </row>
    <row r="211" spans="1:23">
      <c r="A211" s="3">
        <v>210</v>
      </c>
      <c r="B211" s="4">
        <v>40553</v>
      </c>
      <c r="C211" s="3">
        <v>1</v>
      </c>
      <c r="D211" s="3">
        <v>0</v>
      </c>
      <c r="E211" s="3" t="str">
        <f t="shared" si="13"/>
        <v>January</v>
      </c>
      <c r="F211" s="3">
        <v>0</v>
      </c>
      <c r="G211" s="3" t="b">
        <v>0</v>
      </c>
      <c r="H211" s="3" t="str">
        <f t="shared" si="15"/>
        <v>Monday</v>
      </c>
      <c r="I211" s="3">
        <v>1</v>
      </c>
      <c r="J211" s="3" t="str">
        <f t="shared" si="14"/>
        <v>Foggy</v>
      </c>
      <c r="K211" s="3">
        <v>0.12</v>
      </c>
      <c r="L211" s="6">
        <v>0.5</v>
      </c>
      <c r="M211" s="6">
        <v>0.1212</v>
      </c>
      <c r="N211" s="6">
        <v>0.28360000000000002</v>
      </c>
      <c r="O211" s="6">
        <v>2</v>
      </c>
      <c r="P211" s="6">
        <v>3</v>
      </c>
      <c r="Q211" s="6">
        <v>5</v>
      </c>
      <c r="R211" s="8"/>
      <c r="S211" s="8"/>
      <c r="T211" s="8"/>
      <c r="U211">
        <v>43</v>
      </c>
      <c r="W211">
        <v>287</v>
      </c>
    </row>
    <row r="212" spans="1:23">
      <c r="A212" s="3">
        <v>211</v>
      </c>
      <c r="B212" s="4">
        <v>40553</v>
      </c>
      <c r="C212" s="3">
        <v>1</v>
      </c>
      <c r="D212" s="3">
        <v>0</v>
      </c>
      <c r="E212" s="3" t="str">
        <f t="shared" si="13"/>
        <v>January</v>
      </c>
      <c r="F212" s="3">
        <v>1</v>
      </c>
      <c r="G212" s="3" t="b">
        <v>0</v>
      </c>
      <c r="H212" s="3" t="str">
        <f t="shared" si="15"/>
        <v>Monday</v>
      </c>
      <c r="I212" s="3">
        <v>1</v>
      </c>
      <c r="J212" s="3" t="str">
        <f t="shared" si="14"/>
        <v>Foggy</v>
      </c>
      <c r="K212" s="3">
        <v>0.12</v>
      </c>
      <c r="L212" s="6">
        <v>0.5</v>
      </c>
      <c r="M212" s="6">
        <v>0.1212</v>
      </c>
      <c r="N212" s="6">
        <v>0.28360000000000002</v>
      </c>
      <c r="O212" s="6">
        <v>1</v>
      </c>
      <c r="P212" s="6">
        <v>0</v>
      </c>
      <c r="Q212" s="6">
        <v>1</v>
      </c>
      <c r="R212" s="8"/>
      <c r="S212" s="8"/>
      <c r="T212" s="8"/>
      <c r="V212">
        <v>0</v>
      </c>
      <c r="W212">
        <v>43</v>
      </c>
    </row>
    <row r="213" spans="1:23">
      <c r="A213" s="3">
        <v>212</v>
      </c>
      <c r="B213" s="4">
        <v>40553</v>
      </c>
      <c r="C213" s="3">
        <v>1</v>
      </c>
      <c r="D213" s="3">
        <v>0</v>
      </c>
      <c r="E213" s="3" t="str">
        <f t="shared" si="13"/>
        <v>January</v>
      </c>
      <c r="F213" s="3">
        <v>2</v>
      </c>
      <c r="G213" s="3" t="b">
        <v>0</v>
      </c>
      <c r="H213" s="3" t="str">
        <f t="shared" si="15"/>
        <v>Monday</v>
      </c>
      <c r="I213" s="3">
        <v>1</v>
      </c>
      <c r="J213" s="3" t="str">
        <f t="shared" si="14"/>
        <v>Foggy</v>
      </c>
      <c r="K213" s="3">
        <v>0.12</v>
      </c>
      <c r="L213" s="6">
        <v>0.5</v>
      </c>
      <c r="M213" s="6">
        <v>0.1212</v>
      </c>
      <c r="N213" s="6">
        <v>0.22389999999999999</v>
      </c>
      <c r="O213" s="6">
        <v>0</v>
      </c>
      <c r="P213" s="6">
        <v>3</v>
      </c>
      <c r="Q213" s="6">
        <v>3</v>
      </c>
      <c r="R213" s="8"/>
      <c r="S213" s="8"/>
      <c r="T213" s="8"/>
      <c r="V213">
        <v>1</v>
      </c>
      <c r="W213">
        <v>84</v>
      </c>
    </row>
    <row r="214" spans="1:23">
      <c r="A214" s="3">
        <v>213</v>
      </c>
      <c r="B214" s="4">
        <v>40553</v>
      </c>
      <c r="C214" s="3">
        <v>1</v>
      </c>
      <c r="D214" s="3">
        <v>0</v>
      </c>
      <c r="E214" s="3" t="str">
        <f t="shared" si="13"/>
        <v>January</v>
      </c>
      <c r="F214" s="3">
        <v>3</v>
      </c>
      <c r="G214" s="3" t="b">
        <v>0</v>
      </c>
      <c r="H214" s="3" t="str">
        <f t="shared" si="15"/>
        <v>Monday</v>
      </c>
      <c r="I214" s="3">
        <v>1</v>
      </c>
      <c r="J214" s="3" t="str">
        <f t="shared" si="14"/>
        <v>Foggy</v>
      </c>
      <c r="K214" s="3">
        <v>0.12</v>
      </c>
      <c r="L214" s="6">
        <v>0.5</v>
      </c>
      <c r="M214" s="6">
        <v>0.1212</v>
      </c>
      <c r="N214" s="6">
        <v>0.22389999999999999</v>
      </c>
      <c r="O214" s="6">
        <v>0</v>
      </c>
      <c r="P214" s="6">
        <v>1</v>
      </c>
      <c r="Q214" s="6">
        <v>1</v>
      </c>
      <c r="R214" s="8"/>
      <c r="S214" s="8"/>
      <c r="T214" s="8"/>
      <c r="V214">
        <v>2</v>
      </c>
      <c r="W214">
        <v>82</v>
      </c>
    </row>
    <row r="215" spans="1:23">
      <c r="A215" s="3">
        <v>214</v>
      </c>
      <c r="B215" s="4">
        <v>40553</v>
      </c>
      <c r="C215" s="3">
        <v>1</v>
      </c>
      <c r="D215" s="3">
        <v>0</v>
      </c>
      <c r="E215" s="3" t="str">
        <f t="shared" si="13"/>
        <v>January</v>
      </c>
      <c r="F215" s="3">
        <v>4</v>
      </c>
      <c r="G215" s="3" t="b">
        <v>0</v>
      </c>
      <c r="H215" s="3" t="str">
        <f t="shared" si="15"/>
        <v>Monday</v>
      </c>
      <c r="I215" s="3">
        <v>1</v>
      </c>
      <c r="J215" s="3" t="str">
        <f t="shared" si="14"/>
        <v>Foggy</v>
      </c>
      <c r="K215" s="3">
        <v>0.1</v>
      </c>
      <c r="L215" s="6">
        <v>0.54</v>
      </c>
      <c r="M215" s="6">
        <v>0.1212</v>
      </c>
      <c r="N215" s="6">
        <v>0.1343</v>
      </c>
      <c r="O215" s="6">
        <v>1</v>
      </c>
      <c r="P215" s="6">
        <v>2</v>
      </c>
      <c r="Q215" s="6">
        <v>3</v>
      </c>
      <c r="R215" s="8"/>
      <c r="S215" s="8"/>
      <c r="T215" s="8"/>
      <c r="V215">
        <v>3</v>
      </c>
      <c r="W215">
        <v>40</v>
      </c>
    </row>
    <row r="216" spans="1:23">
      <c r="A216" s="3">
        <v>215</v>
      </c>
      <c r="B216" s="4">
        <v>40553</v>
      </c>
      <c r="C216" s="3">
        <v>1</v>
      </c>
      <c r="D216" s="3">
        <v>0</v>
      </c>
      <c r="E216" s="3" t="str">
        <f t="shared" si="13"/>
        <v>January</v>
      </c>
      <c r="F216" s="3">
        <v>5</v>
      </c>
      <c r="G216" s="3" t="b">
        <v>0</v>
      </c>
      <c r="H216" s="3" t="str">
        <f t="shared" si="15"/>
        <v>Monday</v>
      </c>
      <c r="I216" s="3">
        <v>1</v>
      </c>
      <c r="J216" s="3" t="str">
        <f t="shared" si="14"/>
        <v>Foggy</v>
      </c>
      <c r="K216" s="3">
        <v>0.1</v>
      </c>
      <c r="L216" s="6">
        <v>0.54</v>
      </c>
      <c r="M216" s="6">
        <v>0.1061</v>
      </c>
      <c r="N216" s="6">
        <v>0.25369999999999998</v>
      </c>
      <c r="O216" s="6">
        <v>0</v>
      </c>
      <c r="P216" s="6">
        <v>3</v>
      </c>
      <c r="Q216" s="6">
        <v>3</v>
      </c>
      <c r="R216" s="8"/>
      <c r="S216" s="8"/>
      <c r="T216" s="8"/>
      <c r="V216">
        <v>5</v>
      </c>
      <c r="W216">
        <v>38</v>
      </c>
    </row>
    <row r="217" spans="1:23">
      <c r="A217" s="3">
        <v>216</v>
      </c>
      <c r="B217" s="4">
        <v>40553</v>
      </c>
      <c r="C217" s="3">
        <v>1</v>
      </c>
      <c r="D217" s="3">
        <v>0</v>
      </c>
      <c r="E217" s="3" t="str">
        <f t="shared" si="13"/>
        <v>January</v>
      </c>
      <c r="F217" s="3">
        <v>6</v>
      </c>
      <c r="G217" s="3" t="b">
        <v>0</v>
      </c>
      <c r="H217" s="3" t="str">
        <f t="shared" si="15"/>
        <v>Monday</v>
      </c>
      <c r="I217" s="3">
        <v>1</v>
      </c>
      <c r="J217" s="3" t="str">
        <f t="shared" si="14"/>
        <v>Foggy</v>
      </c>
      <c r="K217" s="3">
        <v>0.12</v>
      </c>
      <c r="L217" s="6">
        <v>0.5</v>
      </c>
      <c r="M217" s="6">
        <v>0.1212</v>
      </c>
      <c r="N217" s="6">
        <v>0.28360000000000002</v>
      </c>
      <c r="O217" s="6">
        <v>0</v>
      </c>
      <c r="P217" s="6">
        <v>31</v>
      </c>
      <c r="Q217" s="6">
        <v>31</v>
      </c>
      <c r="R217" s="8"/>
      <c r="S217" s="8"/>
      <c r="T217" s="8"/>
      <c r="U217">
        <v>44</v>
      </c>
      <c r="W217">
        <v>276</v>
      </c>
    </row>
    <row r="218" spans="1:23">
      <c r="A218" s="3">
        <v>217</v>
      </c>
      <c r="B218" s="4">
        <v>40553</v>
      </c>
      <c r="C218" s="3">
        <v>1</v>
      </c>
      <c r="D218" s="3">
        <v>0</v>
      </c>
      <c r="E218" s="3" t="str">
        <f t="shared" si="13"/>
        <v>January</v>
      </c>
      <c r="F218" s="3">
        <v>7</v>
      </c>
      <c r="G218" s="3" t="b">
        <v>0</v>
      </c>
      <c r="H218" s="3" t="str">
        <f t="shared" si="15"/>
        <v>Monday</v>
      </c>
      <c r="I218" s="3">
        <v>1</v>
      </c>
      <c r="J218" s="3" t="str">
        <f t="shared" si="14"/>
        <v>Foggy</v>
      </c>
      <c r="K218" s="3">
        <v>0.12</v>
      </c>
      <c r="L218" s="6">
        <v>0.5</v>
      </c>
      <c r="M218" s="6">
        <v>0.1212</v>
      </c>
      <c r="N218" s="6">
        <v>0.22389999999999999</v>
      </c>
      <c r="O218" s="6">
        <v>2</v>
      </c>
      <c r="P218" s="6">
        <v>75</v>
      </c>
      <c r="Q218" s="6">
        <v>77</v>
      </c>
      <c r="R218" s="8"/>
      <c r="S218" s="8"/>
      <c r="T218" s="8"/>
      <c r="V218">
        <v>0</v>
      </c>
      <c r="W218">
        <v>44</v>
      </c>
    </row>
    <row r="219" spans="1:23">
      <c r="A219" s="3">
        <v>218</v>
      </c>
      <c r="B219" s="4">
        <v>40553</v>
      </c>
      <c r="C219" s="3">
        <v>1</v>
      </c>
      <c r="D219" s="3">
        <v>0</v>
      </c>
      <c r="E219" s="3" t="str">
        <f t="shared" si="13"/>
        <v>January</v>
      </c>
      <c r="F219" s="3">
        <v>8</v>
      </c>
      <c r="G219" s="3" t="b">
        <v>0</v>
      </c>
      <c r="H219" s="3" t="str">
        <f t="shared" si="15"/>
        <v>Monday</v>
      </c>
      <c r="I219" s="3">
        <v>1</v>
      </c>
      <c r="J219" s="3" t="str">
        <f t="shared" si="14"/>
        <v>Foggy</v>
      </c>
      <c r="K219" s="3">
        <v>0.12</v>
      </c>
      <c r="L219" s="6">
        <v>0.5</v>
      </c>
      <c r="M219" s="6">
        <v>0.1212</v>
      </c>
      <c r="N219" s="6">
        <v>0.28360000000000002</v>
      </c>
      <c r="O219" s="6">
        <v>4</v>
      </c>
      <c r="P219" s="6">
        <v>184</v>
      </c>
      <c r="Q219" s="6">
        <v>188</v>
      </c>
      <c r="R219" s="8"/>
      <c r="S219" s="8"/>
      <c r="T219" s="8"/>
      <c r="V219">
        <v>3</v>
      </c>
      <c r="W219">
        <v>41</v>
      </c>
    </row>
    <row r="220" spans="1:23">
      <c r="A220" s="3">
        <v>219</v>
      </c>
      <c r="B220" s="4">
        <v>40553</v>
      </c>
      <c r="C220" s="3">
        <v>1</v>
      </c>
      <c r="D220" s="3">
        <v>0</v>
      </c>
      <c r="E220" s="3" t="str">
        <f t="shared" si="13"/>
        <v>January</v>
      </c>
      <c r="F220" s="3">
        <v>9</v>
      </c>
      <c r="G220" s="3" t="b">
        <v>0</v>
      </c>
      <c r="H220" s="3" t="str">
        <f t="shared" si="15"/>
        <v>Monday</v>
      </c>
      <c r="I220" s="3">
        <v>1</v>
      </c>
      <c r="J220" s="3" t="str">
        <f t="shared" si="14"/>
        <v>Foggy</v>
      </c>
      <c r="K220" s="3">
        <v>0.14000000000000001</v>
      </c>
      <c r="L220" s="6">
        <v>0.5</v>
      </c>
      <c r="M220" s="6">
        <v>0.1212</v>
      </c>
      <c r="N220" s="6">
        <v>0.25369999999999998</v>
      </c>
      <c r="O220" s="6">
        <v>2</v>
      </c>
      <c r="P220" s="6">
        <v>92</v>
      </c>
      <c r="Q220" s="6">
        <v>94</v>
      </c>
      <c r="R220" s="8"/>
      <c r="S220" s="8"/>
      <c r="T220" s="8"/>
      <c r="V220">
        <v>4</v>
      </c>
      <c r="W220">
        <v>80</v>
      </c>
    </row>
    <row r="221" spans="1:23">
      <c r="A221" s="3">
        <v>220</v>
      </c>
      <c r="B221" s="4">
        <v>40553</v>
      </c>
      <c r="C221" s="3">
        <v>1</v>
      </c>
      <c r="D221" s="3">
        <v>0</v>
      </c>
      <c r="E221" s="3" t="str">
        <f t="shared" si="13"/>
        <v>January</v>
      </c>
      <c r="F221" s="3">
        <v>10</v>
      </c>
      <c r="G221" s="3" t="b">
        <v>0</v>
      </c>
      <c r="H221" s="3" t="str">
        <f t="shared" si="15"/>
        <v>Monday</v>
      </c>
      <c r="I221" s="3">
        <v>1</v>
      </c>
      <c r="J221" s="3" t="str">
        <f t="shared" si="14"/>
        <v>Foggy</v>
      </c>
      <c r="K221" s="3">
        <v>0.14000000000000001</v>
      </c>
      <c r="L221" s="6">
        <v>0.5</v>
      </c>
      <c r="M221" s="6">
        <v>0.1212</v>
      </c>
      <c r="N221" s="6">
        <v>0.29849999999999999</v>
      </c>
      <c r="O221" s="6">
        <v>0</v>
      </c>
      <c r="P221" s="6">
        <v>31</v>
      </c>
      <c r="Q221" s="6">
        <v>31</v>
      </c>
      <c r="R221" s="8"/>
      <c r="S221" s="8"/>
      <c r="T221" s="8"/>
      <c r="V221">
        <v>5</v>
      </c>
      <c r="W221">
        <v>78</v>
      </c>
    </row>
    <row r="222" spans="1:23">
      <c r="A222" s="3">
        <v>221</v>
      </c>
      <c r="B222" s="4">
        <v>40553</v>
      </c>
      <c r="C222" s="3">
        <v>1</v>
      </c>
      <c r="D222" s="3">
        <v>0</v>
      </c>
      <c r="E222" s="3" t="str">
        <f t="shared" si="13"/>
        <v>January</v>
      </c>
      <c r="F222" s="3">
        <v>11</v>
      </c>
      <c r="G222" s="3" t="b">
        <v>0</v>
      </c>
      <c r="H222" s="3" t="str">
        <f t="shared" si="15"/>
        <v>Monday</v>
      </c>
      <c r="I222" s="3">
        <v>1</v>
      </c>
      <c r="J222" s="3" t="str">
        <f t="shared" si="14"/>
        <v>Foggy</v>
      </c>
      <c r="K222" s="3">
        <v>0.16</v>
      </c>
      <c r="L222" s="6">
        <v>0.47</v>
      </c>
      <c r="M222" s="6">
        <v>0.13639999999999999</v>
      </c>
      <c r="N222" s="6">
        <v>0.28360000000000002</v>
      </c>
      <c r="O222" s="6">
        <v>2</v>
      </c>
      <c r="P222" s="6">
        <v>28</v>
      </c>
      <c r="Q222" s="6">
        <v>30</v>
      </c>
      <c r="R222" s="8"/>
      <c r="S222" s="8"/>
      <c r="T222" s="8"/>
      <c r="V222">
        <v>11</v>
      </c>
      <c r="W222">
        <v>33</v>
      </c>
    </row>
    <row r="223" spans="1:23">
      <c r="A223" s="3">
        <v>222</v>
      </c>
      <c r="B223" s="4">
        <v>40553</v>
      </c>
      <c r="C223" s="3">
        <v>1</v>
      </c>
      <c r="D223" s="3">
        <v>0</v>
      </c>
      <c r="E223" s="3" t="str">
        <f t="shared" si="13"/>
        <v>January</v>
      </c>
      <c r="F223" s="3">
        <v>12</v>
      </c>
      <c r="G223" s="3" t="b">
        <v>0</v>
      </c>
      <c r="H223" s="3" t="str">
        <f t="shared" si="15"/>
        <v>Monday</v>
      </c>
      <c r="I223" s="3">
        <v>1</v>
      </c>
      <c r="J223" s="3" t="str">
        <f t="shared" si="14"/>
        <v>Foggy</v>
      </c>
      <c r="K223" s="3">
        <v>0.2</v>
      </c>
      <c r="L223" s="6">
        <v>0.4</v>
      </c>
      <c r="M223" s="6">
        <v>0.18179999999999999</v>
      </c>
      <c r="N223" s="6">
        <v>0.28360000000000002</v>
      </c>
      <c r="O223" s="6">
        <v>5</v>
      </c>
      <c r="P223" s="6">
        <v>47</v>
      </c>
      <c r="Q223" s="6">
        <v>52</v>
      </c>
      <c r="R223" s="8"/>
      <c r="S223" s="8"/>
      <c r="T223" s="8"/>
      <c r="U223">
        <v>45</v>
      </c>
      <c r="W223">
        <v>376</v>
      </c>
    </row>
    <row r="224" spans="1:23">
      <c r="A224" s="3">
        <v>223</v>
      </c>
      <c r="B224" s="4">
        <v>40553</v>
      </c>
      <c r="C224" s="3">
        <v>1</v>
      </c>
      <c r="D224" s="3">
        <v>0</v>
      </c>
      <c r="E224" s="3" t="str">
        <f t="shared" si="13"/>
        <v>January</v>
      </c>
      <c r="F224" s="3">
        <v>13</v>
      </c>
      <c r="G224" s="3" t="b">
        <v>0</v>
      </c>
      <c r="H224" s="3" t="str">
        <f t="shared" si="15"/>
        <v>Monday</v>
      </c>
      <c r="I224" s="3">
        <v>1</v>
      </c>
      <c r="J224" s="3" t="str">
        <f t="shared" si="14"/>
        <v>Foggy</v>
      </c>
      <c r="K224" s="3">
        <v>0.2</v>
      </c>
      <c r="L224" s="6">
        <v>0.4</v>
      </c>
      <c r="M224" s="6">
        <v>0.18179999999999999</v>
      </c>
      <c r="N224" s="6">
        <v>0.28360000000000002</v>
      </c>
      <c r="O224" s="6">
        <v>4</v>
      </c>
      <c r="P224" s="6">
        <v>50</v>
      </c>
      <c r="Q224" s="6">
        <v>54</v>
      </c>
      <c r="R224" s="8"/>
      <c r="S224" s="8"/>
      <c r="T224" s="8"/>
      <c r="V224">
        <v>1</v>
      </c>
      <c r="W224">
        <v>88</v>
      </c>
    </row>
    <row r="225" spans="1:23">
      <c r="A225" s="3">
        <v>224</v>
      </c>
      <c r="B225" s="4">
        <v>40553</v>
      </c>
      <c r="C225" s="3">
        <v>1</v>
      </c>
      <c r="D225" s="3">
        <v>0</v>
      </c>
      <c r="E225" s="3" t="str">
        <f t="shared" si="13"/>
        <v>January</v>
      </c>
      <c r="F225" s="3">
        <v>14</v>
      </c>
      <c r="G225" s="3" t="b">
        <v>0</v>
      </c>
      <c r="H225" s="3" t="str">
        <f t="shared" si="15"/>
        <v>Monday</v>
      </c>
      <c r="I225" s="3">
        <v>1</v>
      </c>
      <c r="J225" s="3" t="str">
        <f t="shared" si="14"/>
        <v>Foggy</v>
      </c>
      <c r="K225" s="3">
        <v>0.2</v>
      </c>
      <c r="L225" s="6">
        <v>0.4</v>
      </c>
      <c r="M225" s="6">
        <v>0.19700000000000001</v>
      </c>
      <c r="N225" s="6">
        <v>0.22389999999999999</v>
      </c>
      <c r="O225" s="6">
        <v>0</v>
      </c>
      <c r="P225" s="6">
        <v>47</v>
      </c>
      <c r="Q225" s="6">
        <v>47</v>
      </c>
      <c r="R225" s="8"/>
      <c r="S225" s="8"/>
      <c r="T225" s="8"/>
      <c r="V225">
        <v>2</v>
      </c>
      <c r="W225">
        <v>129</v>
      </c>
    </row>
    <row r="226" spans="1:23">
      <c r="A226" s="3">
        <v>225</v>
      </c>
      <c r="B226" s="4">
        <v>40553</v>
      </c>
      <c r="C226" s="3">
        <v>1</v>
      </c>
      <c r="D226" s="3">
        <v>0</v>
      </c>
      <c r="E226" s="3" t="str">
        <f t="shared" si="13"/>
        <v>January</v>
      </c>
      <c r="F226" s="3">
        <v>15</v>
      </c>
      <c r="G226" s="3" t="b">
        <v>0</v>
      </c>
      <c r="H226" s="3" t="str">
        <f t="shared" si="15"/>
        <v>Monday</v>
      </c>
      <c r="I226" s="3">
        <v>1</v>
      </c>
      <c r="J226" s="3" t="str">
        <f t="shared" si="14"/>
        <v>Foggy</v>
      </c>
      <c r="K226" s="3">
        <v>0.2</v>
      </c>
      <c r="L226" s="6">
        <v>0.4</v>
      </c>
      <c r="M226" s="6">
        <v>0.19700000000000001</v>
      </c>
      <c r="N226" s="6">
        <v>0.22389999999999999</v>
      </c>
      <c r="O226" s="6">
        <v>2</v>
      </c>
      <c r="P226" s="6">
        <v>43</v>
      </c>
      <c r="Q226" s="6">
        <v>45</v>
      </c>
      <c r="R226" s="8"/>
      <c r="S226" s="8"/>
      <c r="T226" s="8"/>
      <c r="V226">
        <v>3</v>
      </c>
      <c r="W226">
        <v>42</v>
      </c>
    </row>
    <row r="227" spans="1:23">
      <c r="A227" s="3">
        <v>226</v>
      </c>
      <c r="B227" s="4">
        <v>40553</v>
      </c>
      <c r="C227" s="3">
        <v>1</v>
      </c>
      <c r="D227" s="3">
        <v>0</v>
      </c>
      <c r="E227" s="3" t="str">
        <f t="shared" si="13"/>
        <v>January</v>
      </c>
      <c r="F227" s="3">
        <v>16</v>
      </c>
      <c r="G227" s="3" t="b">
        <v>0</v>
      </c>
      <c r="H227" s="3" t="str">
        <f t="shared" si="15"/>
        <v>Monday</v>
      </c>
      <c r="I227" s="3">
        <v>1</v>
      </c>
      <c r="J227" s="3" t="str">
        <f t="shared" si="14"/>
        <v>Foggy</v>
      </c>
      <c r="K227" s="3">
        <v>0.2</v>
      </c>
      <c r="L227" s="6">
        <v>0.4</v>
      </c>
      <c r="M227" s="6">
        <v>0.21210000000000001</v>
      </c>
      <c r="N227" s="6">
        <v>0.1343</v>
      </c>
      <c r="O227" s="6">
        <v>4</v>
      </c>
      <c r="P227" s="6">
        <v>70</v>
      </c>
      <c r="Q227" s="6">
        <v>74</v>
      </c>
      <c r="R227" s="8"/>
      <c r="S227" s="8"/>
      <c r="T227" s="8"/>
      <c r="V227">
        <v>5</v>
      </c>
      <c r="W227">
        <v>40</v>
      </c>
    </row>
    <row r="228" spans="1:23">
      <c r="A228" s="3">
        <v>227</v>
      </c>
      <c r="B228" s="4">
        <v>40553</v>
      </c>
      <c r="C228" s="3">
        <v>1</v>
      </c>
      <c r="D228" s="3">
        <v>0</v>
      </c>
      <c r="E228" s="3" t="str">
        <f t="shared" si="13"/>
        <v>January</v>
      </c>
      <c r="F228" s="3">
        <v>17</v>
      </c>
      <c r="G228" s="3" t="b">
        <v>0</v>
      </c>
      <c r="H228" s="3" t="str">
        <f t="shared" si="15"/>
        <v>Monday</v>
      </c>
      <c r="I228" s="3">
        <v>1</v>
      </c>
      <c r="J228" s="3" t="str">
        <f t="shared" si="14"/>
        <v>Foggy</v>
      </c>
      <c r="K228" s="3">
        <v>0.2</v>
      </c>
      <c r="L228" s="6">
        <v>0.4</v>
      </c>
      <c r="M228" s="6">
        <v>0.2273</v>
      </c>
      <c r="N228" s="6">
        <v>0.1045</v>
      </c>
      <c r="O228" s="6">
        <v>4</v>
      </c>
      <c r="P228" s="6">
        <v>174</v>
      </c>
      <c r="Q228" s="6">
        <v>178</v>
      </c>
      <c r="R228" s="8"/>
      <c r="S228" s="8"/>
      <c r="T228" s="8"/>
      <c r="V228">
        <v>6</v>
      </c>
      <c r="W228">
        <v>39</v>
      </c>
    </row>
    <row r="229" spans="1:23">
      <c r="A229" s="3">
        <v>228</v>
      </c>
      <c r="B229" s="4">
        <v>40553</v>
      </c>
      <c r="C229" s="3">
        <v>1</v>
      </c>
      <c r="D229" s="3">
        <v>0</v>
      </c>
      <c r="E229" s="3" t="str">
        <f t="shared" si="13"/>
        <v>January</v>
      </c>
      <c r="F229" s="3">
        <v>18</v>
      </c>
      <c r="G229" s="3" t="b">
        <v>0</v>
      </c>
      <c r="H229" s="3" t="str">
        <f t="shared" si="15"/>
        <v>Monday</v>
      </c>
      <c r="I229" s="3">
        <v>1</v>
      </c>
      <c r="J229" s="3" t="str">
        <f t="shared" si="14"/>
        <v>Foggy</v>
      </c>
      <c r="K229" s="3">
        <v>0.2</v>
      </c>
      <c r="L229" s="6">
        <v>0.4</v>
      </c>
      <c r="M229" s="6">
        <v>0.19700000000000001</v>
      </c>
      <c r="N229" s="6">
        <v>0.22389999999999999</v>
      </c>
      <c r="O229" s="6">
        <v>1</v>
      </c>
      <c r="P229" s="6">
        <v>154</v>
      </c>
      <c r="Q229" s="6">
        <v>155</v>
      </c>
      <c r="R229" s="8"/>
      <c r="S229" s="8"/>
      <c r="T229" s="8"/>
      <c r="V229">
        <v>7</v>
      </c>
      <c r="W229">
        <v>38</v>
      </c>
    </row>
    <row r="230" spans="1:23">
      <c r="A230" s="3">
        <v>229</v>
      </c>
      <c r="B230" s="4">
        <v>40553</v>
      </c>
      <c r="C230" s="3">
        <v>1</v>
      </c>
      <c r="D230" s="3">
        <v>0</v>
      </c>
      <c r="E230" s="3" t="str">
        <f t="shared" si="13"/>
        <v>January</v>
      </c>
      <c r="F230" s="3">
        <v>19</v>
      </c>
      <c r="G230" s="3" t="b">
        <v>0</v>
      </c>
      <c r="H230" s="3" t="str">
        <f t="shared" si="15"/>
        <v>Monday</v>
      </c>
      <c r="I230" s="3">
        <v>1</v>
      </c>
      <c r="J230" s="3" t="str">
        <f t="shared" si="14"/>
        <v>Foggy</v>
      </c>
      <c r="K230" s="3">
        <v>0.16</v>
      </c>
      <c r="L230" s="6">
        <v>0.47</v>
      </c>
      <c r="M230" s="6">
        <v>0.16669999999999999</v>
      </c>
      <c r="N230" s="6">
        <v>0.16420000000000001</v>
      </c>
      <c r="O230" s="6">
        <v>3</v>
      </c>
      <c r="P230" s="6">
        <v>92</v>
      </c>
      <c r="Q230" s="6">
        <v>95</v>
      </c>
      <c r="R230" s="8"/>
      <c r="S230" s="8"/>
      <c r="T230" s="8"/>
      <c r="U230">
        <v>46</v>
      </c>
      <c r="W230">
        <v>164</v>
      </c>
    </row>
    <row r="231" spans="1:23">
      <c r="A231" s="3">
        <v>230</v>
      </c>
      <c r="B231" s="4">
        <v>40553</v>
      </c>
      <c r="C231" s="3">
        <v>1</v>
      </c>
      <c r="D231" s="3">
        <v>0</v>
      </c>
      <c r="E231" s="3" t="str">
        <f t="shared" si="13"/>
        <v>January</v>
      </c>
      <c r="F231" s="3">
        <v>20</v>
      </c>
      <c r="G231" s="3" t="b">
        <v>0</v>
      </c>
      <c r="H231" s="3" t="str">
        <f t="shared" si="15"/>
        <v>Monday</v>
      </c>
      <c r="I231" s="3">
        <v>1</v>
      </c>
      <c r="J231" s="3" t="str">
        <f t="shared" si="14"/>
        <v>Foggy</v>
      </c>
      <c r="K231" s="3">
        <v>0.16</v>
      </c>
      <c r="L231" s="6">
        <v>0.5</v>
      </c>
      <c r="M231" s="6">
        <v>0.16669999999999999</v>
      </c>
      <c r="N231" s="6">
        <v>0.16420000000000001</v>
      </c>
      <c r="O231" s="6">
        <v>1</v>
      </c>
      <c r="P231" s="6">
        <v>73</v>
      </c>
      <c r="Q231" s="6">
        <v>74</v>
      </c>
      <c r="R231" s="8"/>
      <c r="S231" s="8"/>
      <c r="T231" s="8"/>
      <c r="V231">
        <v>1</v>
      </c>
      <c r="W231">
        <v>45</v>
      </c>
    </row>
    <row r="232" spans="1:23">
      <c r="A232" s="3">
        <v>231</v>
      </c>
      <c r="B232" s="4">
        <v>40553</v>
      </c>
      <c r="C232" s="3">
        <v>1</v>
      </c>
      <c r="D232" s="3">
        <v>0</v>
      </c>
      <c r="E232" s="3" t="str">
        <f t="shared" si="13"/>
        <v>January</v>
      </c>
      <c r="F232" s="3">
        <v>21</v>
      </c>
      <c r="G232" s="3" t="b">
        <v>0</v>
      </c>
      <c r="H232" s="3" t="str">
        <f t="shared" si="15"/>
        <v>Monday</v>
      </c>
      <c r="I232" s="3">
        <v>1</v>
      </c>
      <c r="J232" s="3" t="str">
        <f t="shared" si="14"/>
        <v>Foggy</v>
      </c>
      <c r="K232" s="3">
        <v>0.14000000000000001</v>
      </c>
      <c r="L232" s="6">
        <v>0.59</v>
      </c>
      <c r="M232" s="6">
        <v>0.13639999999999999</v>
      </c>
      <c r="N232" s="6">
        <v>0.19400000000000001</v>
      </c>
      <c r="O232" s="6">
        <v>1</v>
      </c>
      <c r="P232" s="6">
        <v>37</v>
      </c>
      <c r="Q232" s="6">
        <v>38</v>
      </c>
      <c r="R232" s="8"/>
      <c r="S232" s="8"/>
      <c r="T232" s="8"/>
      <c r="V232">
        <v>3</v>
      </c>
      <c r="W232">
        <v>43</v>
      </c>
    </row>
    <row r="233" spans="1:23">
      <c r="A233" s="3">
        <v>232</v>
      </c>
      <c r="B233" s="4">
        <v>40553</v>
      </c>
      <c r="C233" s="3">
        <v>1</v>
      </c>
      <c r="D233" s="3">
        <v>0</v>
      </c>
      <c r="E233" s="3" t="str">
        <f t="shared" si="13"/>
        <v>January</v>
      </c>
      <c r="F233" s="3">
        <v>22</v>
      </c>
      <c r="G233" s="3" t="b">
        <v>0</v>
      </c>
      <c r="H233" s="3" t="str">
        <f t="shared" si="15"/>
        <v>Monday</v>
      </c>
      <c r="I233" s="3">
        <v>1</v>
      </c>
      <c r="J233" s="3" t="str">
        <f t="shared" si="14"/>
        <v>Foggy</v>
      </c>
      <c r="K233" s="3">
        <v>0.14000000000000001</v>
      </c>
      <c r="L233" s="6">
        <v>0.59</v>
      </c>
      <c r="M233" s="6">
        <v>0.1515</v>
      </c>
      <c r="N233" s="6">
        <v>0.16420000000000001</v>
      </c>
      <c r="O233" s="6">
        <v>2</v>
      </c>
      <c r="P233" s="6">
        <v>22</v>
      </c>
      <c r="Q233" s="6">
        <v>24</v>
      </c>
      <c r="R233" s="8"/>
      <c r="S233" s="8"/>
      <c r="T233" s="8"/>
      <c r="V233">
        <v>4</v>
      </c>
      <c r="W233">
        <v>42</v>
      </c>
    </row>
    <row r="234" spans="1:23">
      <c r="A234" s="3">
        <v>233</v>
      </c>
      <c r="B234" s="4">
        <v>40553</v>
      </c>
      <c r="C234" s="3">
        <v>1</v>
      </c>
      <c r="D234" s="3">
        <v>0</v>
      </c>
      <c r="E234" s="3" t="str">
        <f t="shared" si="13"/>
        <v>January</v>
      </c>
      <c r="F234" s="3">
        <v>23</v>
      </c>
      <c r="G234" s="3" t="b">
        <v>0</v>
      </c>
      <c r="H234" s="3" t="str">
        <f t="shared" si="15"/>
        <v>Monday</v>
      </c>
      <c r="I234" s="3">
        <v>1</v>
      </c>
      <c r="J234" s="3" t="str">
        <f t="shared" si="14"/>
        <v>Foggy</v>
      </c>
      <c r="K234" s="3">
        <v>0.14000000000000001</v>
      </c>
      <c r="L234" s="6">
        <v>0.59</v>
      </c>
      <c r="M234" s="6">
        <v>0.1515</v>
      </c>
      <c r="N234" s="6">
        <v>0.16420000000000001</v>
      </c>
      <c r="O234" s="6">
        <v>0</v>
      </c>
      <c r="P234" s="6">
        <v>18</v>
      </c>
      <c r="Q234" s="6">
        <v>18</v>
      </c>
      <c r="R234" s="8"/>
      <c r="S234" s="8"/>
      <c r="T234" s="8"/>
      <c r="V234">
        <v>12</v>
      </c>
      <c r="W234">
        <v>34</v>
      </c>
    </row>
    <row r="235" spans="1:23">
      <c r="A235" s="3">
        <v>234</v>
      </c>
      <c r="B235" s="4">
        <v>40554</v>
      </c>
      <c r="C235" s="3">
        <v>1</v>
      </c>
      <c r="D235" s="3">
        <v>0</v>
      </c>
      <c r="E235" s="3" t="str">
        <f t="shared" si="13"/>
        <v>January</v>
      </c>
      <c r="F235" s="3">
        <v>0</v>
      </c>
      <c r="G235" s="3" t="b">
        <v>0</v>
      </c>
      <c r="H235" s="3" t="str">
        <f t="shared" si="15"/>
        <v>Tuesday</v>
      </c>
      <c r="I235" s="3">
        <v>2</v>
      </c>
      <c r="J235" s="3" t="str">
        <f t="shared" si="14"/>
        <v>Foggy</v>
      </c>
      <c r="K235" s="3">
        <v>0.14000000000000001</v>
      </c>
      <c r="L235" s="6">
        <v>0.59</v>
      </c>
      <c r="M235" s="6">
        <v>0.16669999999999999</v>
      </c>
      <c r="N235" s="6">
        <v>0.1045</v>
      </c>
      <c r="O235" s="6">
        <v>2</v>
      </c>
      <c r="P235" s="6">
        <v>10</v>
      </c>
      <c r="Q235" s="6">
        <v>12</v>
      </c>
      <c r="R235" s="8"/>
      <c r="S235" s="8"/>
      <c r="T235" s="8"/>
      <c r="U235">
        <v>47</v>
      </c>
      <c r="W235">
        <v>505</v>
      </c>
    </row>
    <row r="236" spans="1:23">
      <c r="A236" s="3">
        <v>235</v>
      </c>
      <c r="B236" s="4">
        <v>40554</v>
      </c>
      <c r="C236" s="3">
        <v>1</v>
      </c>
      <c r="D236" s="3">
        <v>0</v>
      </c>
      <c r="E236" s="3" t="str">
        <f t="shared" si="13"/>
        <v>January</v>
      </c>
      <c r="F236" s="3">
        <v>1</v>
      </c>
      <c r="G236" s="3" t="b">
        <v>0</v>
      </c>
      <c r="H236" s="3" t="str">
        <f t="shared" si="15"/>
        <v>Tuesday</v>
      </c>
      <c r="I236" s="3">
        <v>2</v>
      </c>
      <c r="J236" s="3" t="str">
        <f t="shared" si="14"/>
        <v>Foggy</v>
      </c>
      <c r="K236" s="3">
        <v>0.14000000000000001</v>
      </c>
      <c r="L236" s="6">
        <v>0.59</v>
      </c>
      <c r="M236" s="6">
        <v>0.1515</v>
      </c>
      <c r="N236" s="6">
        <v>0.16420000000000001</v>
      </c>
      <c r="O236" s="6">
        <v>0</v>
      </c>
      <c r="P236" s="6">
        <v>3</v>
      </c>
      <c r="Q236" s="6">
        <v>3</v>
      </c>
      <c r="R236" s="8"/>
      <c r="S236" s="8"/>
      <c r="T236" s="8"/>
      <c r="V236">
        <v>0</v>
      </c>
      <c r="W236">
        <v>94</v>
      </c>
    </row>
    <row r="237" spans="1:23">
      <c r="A237" s="3">
        <v>236</v>
      </c>
      <c r="B237" s="4">
        <v>40554</v>
      </c>
      <c r="C237" s="3">
        <v>1</v>
      </c>
      <c r="D237" s="3">
        <v>0</v>
      </c>
      <c r="E237" s="3" t="str">
        <f t="shared" si="13"/>
        <v>January</v>
      </c>
      <c r="F237" s="3">
        <v>2</v>
      </c>
      <c r="G237" s="3" t="b">
        <v>0</v>
      </c>
      <c r="H237" s="3" t="str">
        <f t="shared" si="15"/>
        <v>Tuesday</v>
      </c>
      <c r="I237" s="3">
        <v>2</v>
      </c>
      <c r="J237" s="3" t="str">
        <f t="shared" si="14"/>
        <v>Foggy</v>
      </c>
      <c r="K237" s="3">
        <v>0.16</v>
      </c>
      <c r="L237" s="6">
        <v>0.55000000000000004</v>
      </c>
      <c r="M237" s="6">
        <v>0.1515</v>
      </c>
      <c r="N237" s="6">
        <v>0.19400000000000001</v>
      </c>
      <c r="O237" s="6">
        <v>0</v>
      </c>
      <c r="P237" s="6">
        <v>3</v>
      </c>
      <c r="Q237" s="6">
        <v>3</v>
      </c>
      <c r="R237" s="8"/>
      <c r="S237" s="8"/>
      <c r="T237" s="8"/>
      <c r="V237">
        <v>1</v>
      </c>
      <c r="W237">
        <v>138</v>
      </c>
    </row>
    <row r="238" spans="1:23">
      <c r="A238" s="3">
        <v>237</v>
      </c>
      <c r="B238" s="4">
        <v>40554</v>
      </c>
      <c r="C238" s="3">
        <v>1</v>
      </c>
      <c r="D238" s="3">
        <v>0</v>
      </c>
      <c r="E238" s="3" t="str">
        <f t="shared" si="13"/>
        <v>January</v>
      </c>
      <c r="F238" s="3">
        <v>5</v>
      </c>
      <c r="G238" s="3" t="b">
        <v>0</v>
      </c>
      <c r="H238" s="3" t="str">
        <f t="shared" si="15"/>
        <v>Tuesday</v>
      </c>
      <c r="I238" s="3">
        <v>2</v>
      </c>
      <c r="J238" s="3" t="str">
        <f t="shared" si="14"/>
        <v>Foggy</v>
      </c>
      <c r="K238" s="3">
        <v>0.16</v>
      </c>
      <c r="L238" s="6">
        <v>0.55000000000000004</v>
      </c>
      <c r="M238" s="6">
        <v>0.18179999999999999</v>
      </c>
      <c r="N238" s="6">
        <v>0.1343</v>
      </c>
      <c r="O238" s="6">
        <v>0</v>
      </c>
      <c r="P238" s="6">
        <v>6</v>
      </c>
      <c r="Q238" s="6">
        <v>6</v>
      </c>
      <c r="R238" s="8"/>
      <c r="S238" s="8"/>
      <c r="T238" s="8"/>
      <c r="V238">
        <v>2</v>
      </c>
      <c r="W238">
        <v>45</v>
      </c>
    </row>
    <row r="239" spans="1:23">
      <c r="A239" s="3">
        <v>238</v>
      </c>
      <c r="B239" s="4">
        <v>40554</v>
      </c>
      <c r="C239" s="3">
        <v>1</v>
      </c>
      <c r="D239" s="3">
        <v>0</v>
      </c>
      <c r="E239" s="3" t="str">
        <f t="shared" si="13"/>
        <v>January</v>
      </c>
      <c r="F239" s="3">
        <v>6</v>
      </c>
      <c r="G239" s="3" t="b">
        <v>0</v>
      </c>
      <c r="H239" s="3" t="str">
        <f t="shared" si="15"/>
        <v>Tuesday</v>
      </c>
      <c r="I239" s="3">
        <v>2</v>
      </c>
      <c r="J239" s="3" t="str">
        <f t="shared" si="14"/>
        <v>Foggy</v>
      </c>
      <c r="K239" s="3">
        <v>0.16</v>
      </c>
      <c r="L239" s="6">
        <v>0.55000000000000004</v>
      </c>
      <c r="M239" s="6">
        <v>0.18179999999999999</v>
      </c>
      <c r="N239" s="6">
        <v>0.1343</v>
      </c>
      <c r="O239" s="6">
        <v>0</v>
      </c>
      <c r="P239" s="6">
        <v>27</v>
      </c>
      <c r="Q239" s="6">
        <v>27</v>
      </c>
      <c r="R239" s="8"/>
      <c r="S239" s="8"/>
      <c r="T239" s="8"/>
      <c r="V239">
        <v>4</v>
      </c>
      <c r="W239">
        <v>86</v>
      </c>
    </row>
    <row r="240" spans="1:23">
      <c r="A240" s="3">
        <v>239</v>
      </c>
      <c r="B240" s="4">
        <v>40554</v>
      </c>
      <c r="C240" s="3">
        <v>1</v>
      </c>
      <c r="D240" s="3">
        <v>0</v>
      </c>
      <c r="E240" s="3" t="str">
        <f t="shared" si="13"/>
        <v>January</v>
      </c>
      <c r="F240" s="3">
        <v>7</v>
      </c>
      <c r="G240" s="3" t="b">
        <v>0</v>
      </c>
      <c r="H240" s="3" t="str">
        <f t="shared" si="15"/>
        <v>Tuesday</v>
      </c>
      <c r="I240" s="3">
        <v>2</v>
      </c>
      <c r="J240" s="3" t="str">
        <f t="shared" si="14"/>
        <v>Foggy</v>
      </c>
      <c r="K240" s="3">
        <v>0.16</v>
      </c>
      <c r="L240" s="6">
        <v>0.55000000000000004</v>
      </c>
      <c r="M240" s="6">
        <v>0.2273</v>
      </c>
      <c r="N240" s="6">
        <v>0</v>
      </c>
      <c r="O240" s="6">
        <v>2</v>
      </c>
      <c r="P240" s="6">
        <v>97</v>
      </c>
      <c r="Q240" s="6">
        <v>99</v>
      </c>
      <c r="R240" s="8"/>
      <c r="S240" s="8"/>
      <c r="T240" s="8"/>
      <c r="V240">
        <v>8</v>
      </c>
      <c r="W240">
        <v>39</v>
      </c>
    </row>
    <row r="241" spans="1:23">
      <c r="A241" s="3">
        <v>240</v>
      </c>
      <c r="B241" s="4">
        <v>40554</v>
      </c>
      <c r="C241" s="3">
        <v>1</v>
      </c>
      <c r="D241" s="3">
        <v>0</v>
      </c>
      <c r="E241" s="3" t="str">
        <f t="shared" si="13"/>
        <v>January</v>
      </c>
      <c r="F241" s="3">
        <v>8</v>
      </c>
      <c r="G241" s="3" t="b">
        <v>0</v>
      </c>
      <c r="H241" s="3" t="str">
        <f t="shared" si="15"/>
        <v>Tuesday</v>
      </c>
      <c r="I241" s="3">
        <v>2</v>
      </c>
      <c r="J241" s="3" t="str">
        <f t="shared" si="14"/>
        <v>Foggy</v>
      </c>
      <c r="K241" s="3">
        <v>0.18</v>
      </c>
      <c r="L241" s="6">
        <v>0.51</v>
      </c>
      <c r="M241" s="6">
        <v>0.21210000000000001</v>
      </c>
      <c r="N241" s="6">
        <v>8.9599999999999999E-2</v>
      </c>
      <c r="O241" s="6">
        <v>3</v>
      </c>
      <c r="P241" s="6">
        <v>214</v>
      </c>
      <c r="Q241" s="6">
        <v>217</v>
      </c>
      <c r="R241" s="8"/>
      <c r="S241" s="8"/>
      <c r="T241" s="8"/>
      <c r="V241">
        <v>11</v>
      </c>
      <c r="W241">
        <v>36</v>
      </c>
    </row>
    <row r="242" spans="1:23">
      <c r="A242" s="3">
        <v>241</v>
      </c>
      <c r="B242" s="4">
        <v>40554</v>
      </c>
      <c r="C242" s="3">
        <v>1</v>
      </c>
      <c r="D242" s="3">
        <v>0</v>
      </c>
      <c r="E242" s="3" t="str">
        <f t="shared" si="13"/>
        <v>January</v>
      </c>
      <c r="F242" s="3">
        <v>9</v>
      </c>
      <c r="G242" s="3" t="b">
        <v>0</v>
      </c>
      <c r="H242" s="3" t="str">
        <f t="shared" si="15"/>
        <v>Tuesday</v>
      </c>
      <c r="I242" s="3">
        <v>2</v>
      </c>
      <c r="J242" s="3" t="str">
        <f t="shared" si="14"/>
        <v>Foggy</v>
      </c>
      <c r="K242" s="3">
        <v>0.18</v>
      </c>
      <c r="L242" s="6">
        <v>0.51</v>
      </c>
      <c r="M242" s="6">
        <v>0.19700000000000001</v>
      </c>
      <c r="N242" s="6">
        <v>0.16420000000000001</v>
      </c>
      <c r="O242" s="6">
        <v>3</v>
      </c>
      <c r="P242" s="6">
        <v>127</v>
      </c>
      <c r="Q242" s="6">
        <v>130</v>
      </c>
      <c r="R242" s="8"/>
      <c r="S242" s="8"/>
      <c r="T242" s="8"/>
      <c r="V242">
        <v>12</v>
      </c>
      <c r="W242">
        <v>35</v>
      </c>
    </row>
    <row r="243" spans="1:23">
      <c r="A243" s="3">
        <v>242</v>
      </c>
      <c r="B243" s="4">
        <v>40554</v>
      </c>
      <c r="C243" s="3">
        <v>1</v>
      </c>
      <c r="D243" s="3">
        <v>0</v>
      </c>
      <c r="E243" s="3" t="str">
        <f t="shared" si="13"/>
        <v>January</v>
      </c>
      <c r="F243" s="3">
        <v>10</v>
      </c>
      <c r="G243" s="3" t="b">
        <v>0</v>
      </c>
      <c r="H243" s="3" t="str">
        <f t="shared" si="15"/>
        <v>Tuesday</v>
      </c>
      <c r="I243" s="3">
        <v>2</v>
      </c>
      <c r="J243" s="3" t="str">
        <f t="shared" si="14"/>
        <v>Foggy</v>
      </c>
      <c r="K243" s="3">
        <v>0.2</v>
      </c>
      <c r="L243" s="6">
        <v>0.51</v>
      </c>
      <c r="M243" s="6">
        <v>0.21210000000000001</v>
      </c>
      <c r="N243" s="6">
        <v>0.16420000000000001</v>
      </c>
      <c r="O243" s="6">
        <v>3</v>
      </c>
      <c r="P243" s="6">
        <v>51</v>
      </c>
      <c r="Q243" s="6">
        <v>54</v>
      </c>
      <c r="R243" s="8"/>
      <c r="S243" s="8"/>
      <c r="T243" s="8"/>
      <c r="V243">
        <v>15</v>
      </c>
      <c r="W243">
        <v>32</v>
      </c>
    </row>
    <row r="244" spans="1:23">
      <c r="A244" s="3">
        <v>243</v>
      </c>
      <c r="B244" s="4">
        <v>40554</v>
      </c>
      <c r="C244" s="3">
        <v>1</v>
      </c>
      <c r="D244" s="3">
        <v>0</v>
      </c>
      <c r="E244" s="3" t="str">
        <f t="shared" si="13"/>
        <v>January</v>
      </c>
      <c r="F244" s="3">
        <v>11</v>
      </c>
      <c r="G244" s="3" t="b">
        <v>0</v>
      </c>
      <c r="H244" s="3" t="str">
        <f t="shared" si="15"/>
        <v>Tuesday</v>
      </c>
      <c r="I244" s="3">
        <v>2</v>
      </c>
      <c r="J244" s="3" t="str">
        <f t="shared" si="14"/>
        <v>Foggy</v>
      </c>
      <c r="K244" s="3">
        <v>0.2</v>
      </c>
      <c r="L244" s="6">
        <v>0.47</v>
      </c>
      <c r="M244" s="6">
        <v>0.21210000000000001</v>
      </c>
      <c r="N244" s="6">
        <v>0.1343</v>
      </c>
      <c r="O244" s="6">
        <v>4</v>
      </c>
      <c r="P244" s="6">
        <v>31</v>
      </c>
      <c r="Q244" s="6">
        <v>35</v>
      </c>
      <c r="R244" s="8"/>
      <c r="S244" s="8"/>
      <c r="T244" s="8"/>
      <c r="U244">
        <v>48</v>
      </c>
      <c r="W244">
        <v>313</v>
      </c>
    </row>
    <row r="245" spans="1:23">
      <c r="A245" s="3">
        <v>244</v>
      </c>
      <c r="B245" s="4">
        <v>40554</v>
      </c>
      <c r="C245" s="3">
        <v>1</v>
      </c>
      <c r="D245" s="3">
        <v>0</v>
      </c>
      <c r="E245" s="3" t="str">
        <f t="shared" si="13"/>
        <v>January</v>
      </c>
      <c r="F245" s="3">
        <v>12</v>
      </c>
      <c r="G245" s="3" t="b">
        <v>0</v>
      </c>
      <c r="H245" s="3" t="str">
        <f t="shared" si="15"/>
        <v>Tuesday</v>
      </c>
      <c r="I245" s="3">
        <v>2</v>
      </c>
      <c r="J245" s="3" t="str">
        <f t="shared" si="14"/>
        <v>Foggy</v>
      </c>
      <c r="K245" s="3">
        <v>0.2</v>
      </c>
      <c r="L245" s="6">
        <v>0.51</v>
      </c>
      <c r="M245" s="6">
        <v>0.2273</v>
      </c>
      <c r="N245" s="6">
        <v>0.1045</v>
      </c>
      <c r="O245" s="6">
        <v>2</v>
      </c>
      <c r="P245" s="6">
        <v>55</v>
      </c>
      <c r="Q245" s="6">
        <v>57</v>
      </c>
      <c r="R245" s="8"/>
      <c r="S245" s="8"/>
      <c r="T245" s="8"/>
      <c r="V245">
        <v>0</v>
      </c>
      <c r="W245">
        <v>96</v>
      </c>
    </row>
    <row r="246" spans="1:23">
      <c r="A246" s="3">
        <v>245</v>
      </c>
      <c r="B246" s="4">
        <v>40554</v>
      </c>
      <c r="C246" s="3">
        <v>1</v>
      </c>
      <c r="D246" s="3">
        <v>0</v>
      </c>
      <c r="E246" s="3" t="str">
        <f t="shared" si="13"/>
        <v>January</v>
      </c>
      <c r="F246" s="3">
        <v>13</v>
      </c>
      <c r="G246" s="3" t="b">
        <v>0</v>
      </c>
      <c r="H246" s="3" t="str">
        <f t="shared" si="15"/>
        <v>Tuesday</v>
      </c>
      <c r="I246" s="3">
        <v>2</v>
      </c>
      <c r="J246" s="3" t="str">
        <f t="shared" si="14"/>
        <v>Foggy</v>
      </c>
      <c r="K246" s="3">
        <v>0.2</v>
      </c>
      <c r="L246" s="6">
        <v>0.59</v>
      </c>
      <c r="M246" s="6">
        <v>0.2273</v>
      </c>
      <c r="N246" s="6">
        <v>8.9599999999999999E-2</v>
      </c>
      <c r="O246" s="6">
        <v>6</v>
      </c>
      <c r="P246" s="6">
        <v>46</v>
      </c>
      <c r="Q246" s="6">
        <v>52</v>
      </c>
      <c r="R246" s="8"/>
      <c r="S246" s="8"/>
      <c r="T246" s="8"/>
      <c r="V246">
        <v>2</v>
      </c>
      <c r="W246">
        <v>46</v>
      </c>
    </row>
    <row r="247" spans="1:23">
      <c r="A247" s="3">
        <v>246</v>
      </c>
      <c r="B247" s="4">
        <v>40554</v>
      </c>
      <c r="C247" s="3">
        <v>1</v>
      </c>
      <c r="D247" s="3">
        <v>0</v>
      </c>
      <c r="E247" s="3" t="str">
        <f t="shared" si="13"/>
        <v>January</v>
      </c>
      <c r="F247" s="3">
        <v>14</v>
      </c>
      <c r="G247" s="3" t="b">
        <v>0</v>
      </c>
      <c r="H247" s="3" t="str">
        <f t="shared" si="15"/>
        <v>Tuesday</v>
      </c>
      <c r="I247" s="3">
        <v>2</v>
      </c>
      <c r="J247" s="3" t="str">
        <f t="shared" si="14"/>
        <v>Foggy</v>
      </c>
      <c r="K247" s="3">
        <v>0.2</v>
      </c>
      <c r="L247" s="6">
        <v>0.59</v>
      </c>
      <c r="M247" s="6">
        <v>0.2273</v>
      </c>
      <c r="N247" s="6">
        <v>8.9599999999999999E-2</v>
      </c>
      <c r="O247" s="6">
        <v>3</v>
      </c>
      <c r="P247" s="6">
        <v>60</v>
      </c>
      <c r="Q247" s="6">
        <v>63</v>
      </c>
      <c r="R247" s="8"/>
      <c r="S247" s="8"/>
      <c r="T247" s="8"/>
      <c r="V247">
        <v>4</v>
      </c>
      <c r="W247">
        <v>88</v>
      </c>
    </row>
    <row r="248" spans="1:23">
      <c r="A248" s="3">
        <v>247</v>
      </c>
      <c r="B248" s="4">
        <v>40554</v>
      </c>
      <c r="C248" s="3">
        <v>1</v>
      </c>
      <c r="D248" s="3">
        <v>0</v>
      </c>
      <c r="E248" s="3" t="str">
        <f t="shared" si="13"/>
        <v>January</v>
      </c>
      <c r="F248" s="3">
        <v>15</v>
      </c>
      <c r="G248" s="3" t="b">
        <v>0</v>
      </c>
      <c r="H248" s="3" t="str">
        <f t="shared" si="15"/>
        <v>Tuesday</v>
      </c>
      <c r="I248" s="3">
        <v>2</v>
      </c>
      <c r="J248" s="3" t="str">
        <f t="shared" si="14"/>
        <v>Foggy</v>
      </c>
      <c r="K248" s="3">
        <v>0.16</v>
      </c>
      <c r="L248" s="6">
        <v>0.8</v>
      </c>
      <c r="M248" s="6">
        <v>0.19700000000000001</v>
      </c>
      <c r="N248" s="6">
        <v>8.9599999999999999E-2</v>
      </c>
      <c r="O248" s="6">
        <v>2</v>
      </c>
      <c r="P248" s="6">
        <v>45</v>
      </c>
      <c r="Q248" s="6">
        <v>47</v>
      </c>
      <c r="R248" s="8"/>
      <c r="S248" s="8"/>
      <c r="T248" s="8"/>
      <c r="V248">
        <v>6</v>
      </c>
      <c r="W248">
        <v>42</v>
      </c>
    </row>
    <row r="249" spans="1:23">
      <c r="A249" s="3">
        <v>248</v>
      </c>
      <c r="B249" s="4">
        <v>40554</v>
      </c>
      <c r="C249" s="3">
        <v>1</v>
      </c>
      <c r="D249" s="3">
        <v>0</v>
      </c>
      <c r="E249" s="3" t="str">
        <f t="shared" si="13"/>
        <v>January</v>
      </c>
      <c r="F249" s="3">
        <v>16</v>
      </c>
      <c r="G249" s="3" t="b">
        <v>0</v>
      </c>
      <c r="H249" s="3" t="str">
        <f t="shared" si="15"/>
        <v>Tuesday</v>
      </c>
      <c r="I249" s="3">
        <v>2</v>
      </c>
      <c r="J249" s="3" t="str">
        <f t="shared" si="14"/>
        <v>Foggy</v>
      </c>
      <c r="K249" s="3">
        <v>0.16</v>
      </c>
      <c r="L249" s="6">
        <v>0.86</v>
      </c>
      <c r="M249" s="6">
        <v>0.1515</v>
      </c>
      <c r="N249" s="6">
        <v>0.22389999999999999</v>
      </c>
      <c r="O249" s="6">
        <v>4</v>
      </c>
      <c r="P249" s="6">
        <v>72</v>
      </c>
      <c r="Q249" s="6">
        <v>76</v>
      </c>
      <c r="R249" s="8"/>
      <c r="S249" s="8"/>
      <c r="T249" s="8"/>
      <c r="V249">
        <v>7</v>
      </c>
      <c r="W249">
        <v>41</v>
      </c>
    </row>
    <row r="250" spans="1:23">
      <c r="A250" s="3">
        <v>249</v>
      </c>
      <c r="B250" s="4">
        <v>40554</v>
      </c>
      <c r="C250" s="3">
        <v>1</v>
      </c>
      <c r="D250" s="3">
        <v>0</v>
      </c>
      <c r="E250" s="3" t="str">
        <f t="shared" si="13"/>
        <v>January</v>
      </c>
      <c r="F250" s="3">
        <v>17</v>
      </c>
      <c r="G250" s="3" t="b">
        <v>0</v>
      </c>
      <c r="H250" s="3" t="str">
        <f t="shared" si="15"/>
        <v>Tuesday</v>
      </c>
      <c r="I250" s="3">
        <v>2</v>
      </c>
      <c r="J250" s="3" t="str">
        <f t="shared" si="14"/>
        <v>Foggy</v>
      </c>
      <c r="K250" s="3">
        <v>0.16</v>
      </c>
      <c r="L250" s="6">
        <v>0.86</v>
      </c>
      <c r="M250" s="6">
        <v>0.1515</v>
      </c>
      <c r="N250" s="6">
        <v>0.22389999999999999</v>
      </c>
      <c r="O250" s="6">
        <v>6</v>
      </c>
      <c r="P250" s="6">
        <v>130</v>
      </c>
      <c r="Q250" s="6">
        <v>136</v>
      </c>
      <c r="R250" s="8"/>
      <c r="S250" s="8"/>
      <c r="T250" s="8"/>
      <c r="U250">
        <v>49</v>
      </c>
      <c r="W250">
        <v>334</v>
      </c>
    </row>
    <row r="251" spans="1:23">
      <c r="A251" s="3">
        <v>250</v>
      </c>
      <c r="B251" s="4">
        <v>40554</v>
      </c>
      <c r="C251" s="3">
        <v>1</v>
      </c>
      <c r="D251" s="3">
        <v>0</v>
      </c>
      <c r="E251" s="3" t="str">
        <f t="shared" si="13"/>
        <v>January</v>
      </c>
      <c r="F251" s="3">
        <v>18</v>
      </c>
      <c r="G251" s="3" t="b">
        <v>0</v>
      </c>
      <c r="H251" s="3" t="str">
        <f t="shared" si="15"/>
        <v>Tuesday</v>
      </c>
      <c r="I251" s="3">
        <v>2</v>
      </c>
      <c r="J251" s="3" t="str">
        <f t="shared" si="14"/>
        <v>Foggy</v>
      </c>
      <c r="K251" s="3">
        <v>0.16</v>
      </c>
      <c r="L251" s="6">
        <v>0.93</v>
      </c>
      <c r="M251" s="6">
        <v>0.18179999999999999</v>
      </c>
      <c r="N251" s="6">
        <v>0.1045</v>
      </c>
      <c r="O251" s="6">
        <v>1</v>
      </c>
      <c r="P251" s="6">
        <v>94</v>
      </c>
      <c r="Q251" s="6">
        <v>95</v>
      </c>
      <c r="R251" s="8"/>
      <c r="S251" s="8"/>
      <c r="T251" s="8"/>
      <c r="V251">
        <v>0</v>
      </c>
      <c r="W251">
        <v>147</v>
      </c>
    </row>
    <row r="252" spans="1:23">
      <c r="A252" s="3">
        <v>251</v>
      </c>
      <c r="B252" s="4">
        <v>40554</v>
      </c>
      <c r="C252" s="3">
        <v>1</v>
      </c>
      <c r="D252" s="3">
        <v>0</v>
      </c>
      <c r="E252" s="3" t="str">
        <f t="shared" si="13"/>
        <v>January</v>
      </c>
      <c r="F252" s="3">
        <v>19</v>
      </c>
      <c r="G252" s="3" t="b">
        <v>0</v>
      </c>
      <c r="H252" s="3" t="str">
        <f t="shared" si="15"/>
        <v>Tuesday</v>
      </c>
      <c r="I252" s="3">
        <v>2</v>
      </c>
      <c r="J252" s="3" t="str">
        <f t="shared" si="14"/>
        <v>Foggy</v>
      </c>
      <c r="K252" s="3">
        <v>0.16</v>
      </c>
      <c r="L252" s="6">
        <v>0.93</v>
      </c>
      <c r="M252" s="6">
        <v>0.2273</v>
      </c>
      <c r="N252" s="6">
        <v>0</v>
      </c>
      <c r="O252" s="6">
        <v>0</v>
      </c>
      <c r="P252" s="6">
        <v>51</v>
      </c>
      <c r="Q252" s="6">
        <v>51</v>
      </c>
      <c r="R252" s="8"/>
      <c r="S252" s="8"/>
      <c r="T252" s="8"/>
      <c r="V252">
        <v>1</v>
      </c>
      <c r="W252">
        <v>96</v>
      </c>
    </row>
    <row r="253" spans="1:23">
      <c r="A253" s="3">
        <v>252</v>
      </c>
      <c r="B253" s="4">
        <v>40554</v>
      </c>
      <c r="C253" s="3">
        <v>1</v>
      </c>
      <c r="D253" s="3">
        <v>0</v>
      </c>
      <c r="E253" s="3" t="str">
        <f t="shared" si="13"/>
        <v>January</v>
      </c>
      <c r="F253" s="3">
        <v>20</v>
      </c>
      <c r="G253" s="3" t="b">
        <v>0</v>
      </c>
      <c r="H253" s="3" t="str">
        <f t="shared" si="15"/>
        <v>Tuesday</v>
      </c>
      <c r="I253" s="3">
        <v>2</v>
      </c>
      <c r="J253" s="3" t="str">
        <f t="shared" si="14"/>
        <v>Foggy</v>
      </c>
      <c r="K253" s="3">
        <v>0.16</v>
      </c>
      <c r="L253" s="6">
        <v>0.93</v>
      </c>
      <c r="M253" s="6">
        <v>0.1515</v>
      </c>
      <c r="N253" s="6">
        <v>0.19400000000000001</v>
      </c>
      <c r="O253" s="6">
        <v>0</v>
      </c>
      <c r="P253" s="6">
        <v>32</v>
      </c>
      <c r="Q253" s="6">
        <v>32</v>
      </c>
      <c r="R253" s="8"/>
      <c r="S253" s="8"/>
      <c r="T253" s="8"/>
      <c r="V253">
        <v>2</v>
      </c>
      <c r="W253">
        <v>47</v>
      </c>
    </row>
    <row r="254" spans="1:23">
      <c r="A254" s="3">
        <v>253</v>
      </c>
      <c r="B254" s="4">
        <v>40554</v>
      </c>
      <c r="C254" s="3">
        <v>1</v>
      </c>
      <c r="D254" s="3">
        <v>0</v>
      </c>
      <c r="E254" s="3" t="str">
        <f t="shared" si="13"/>
        <v>January</v>
      </c>
      <c r="F254" s="3">
        <v>21</v>
      </c>
      <c r="G254" s="3" t="b">
        <v>0</v>
      </c>
      <c r="H254" s="3" t="str">
        <f t="shared" si="15"/>
        <v>Tuesday</v>
      </c>
      <c r="I254" s="3">
        <v>2</v>
      </c>
      <c r="J254" s="3" t="str">
        <f t="shared" si="14"/>
        <v>Foggy</v>
      </c>
      <c r="K254" s="3">
        <v>0.16</v>
      </c>
      <c r="L254" s="6">
        <v>0.86</v>
      </c>
      <c r="M254" s="6">
        <v>0.19700000000000001</v>
      </c>
      <c r="N254" s="6">
        <v>8.9599999999999999E-2</v>
      </c>
      <c r="O254" s="6">
        <v>0</v>
      </c>
      <c r="P254" s="6">
        <v>20</v>
      </c>
      <c r="Q254" s="6">
        <v>20</v>
      </c>
      <c r="R254" s="8"/>
      <c r="S254" s="8"/>
      <c r="T254" s="8"/>
      <c r="V254">
        <v>5</v>
      </c>
      <c r="W254">
        <v>44</v>
      </c>
    </row>
    <row r="255" spans="1:23">
      <c r="A255" s="3">
        <v>254</v>
      </c>
      <c r="B255" s="4">
        <v>40554</v>
      </c>
      <c r="C255" s="3">
        <v>1</v>
      </c>
      <c r="D255" s="3">
        <v>0</v>
      </c>
      <c r="E255" s="3" t="str">
        <f t="shared" si="13"/>
        <v>January</v>
      </c>
      <c r="F255" s="3">
        <v>22</v>
      </c>
      <c r="G255" s="3" t="b">
        <v>0</v>
      </c>
      <c r="H255" s="3" t="str">
        <f t="shared" si="15"/>
        <v>Tuesday</v>
      </c>
      <c r="I255" s="3">
        <v>2</v>
      </c>
      <c r="J255" s="3" t="str">
        <f t="shared" si="14"/>
        <v>Foggy</v>
      </c>
      <c r="K255" s="3">
        <v>0.16</v>
      </c>
      <c r="L255" s="6">
        <v>0.93</v>
      </c>
      <c r="M255" s="6">
        <v>0.18179999999999999</v>
      </c>
      <c r="N255" s="6">
        <v>0.1045</v>
      </c>
      <c r="O255" s="6">
        <v>1</v>
      </c>
      <c r="P255" s="6">
        <v>28</v>
      </c>
      <c r="Q255" s="6">
        <v>29</v>
      </c>
      <c r="R255" s="8"/>
      <c r="S255" s="8"/>
      <c r="T255" s="8"/>
      <c r="U255">
        <v>50</v>
      </c>
      <c r="W255">
        <v>281</v>
      </c>
    </row>
    <row r="256" spans="1:23">
      <c r="A256" s="3">
        <v>255</v>
      </c>
      <c r="B256" s="4">
        <v>40554</v>
      </c>
      <c r="C256" s="3">
        <v>1</v>
      </c>
      <c r="D256" s="3">
        <v>0</v>
      </c>
      <c r="E256" s="3" t="str">
        <f t="shared" si="13"/>
        <v>January</v>
      </c>
      <c r="F256" s="3">
        <v>23</v>
      </c>
      <c r="G256" s="3" t="b">
        <v>0</v>
      </c>
      <c r="H256" s="3" t="str">
        <f t="shared" si="15"/>
        <v>Tuesday</v>
      </c>
      <c r="I256" s="3">
        <v>2</v>
      </c>
      <c r="J256" s="3" t="str">
        <f t="shared" si="14"/>
        <v>Foggy</v>
      </c>
      <c r="K256" s="3">
        <v>0.16</v>
      </c>
      <c r="L256" s="6">
        <v>0.93</v>
      </c>
      <c r="M256" s="6">
        <v>0.19700000000000001</v>
      </c>
      <c r="N256" s="6">
        <v>8.9599999999999999E-2</v>
      </c>
      <c r="O256" s="6">
        <v>1</v>
      </c>
      <c r="P256" s="6">
        <v>18</v>
      </c>
      <c r="Q256" s="6">
        <v>19</v>
      </c>
      <c r="R256" s="8"/>
      <c r="S256" s="8"/>
      <c r="T256" s="8"/>
      <c r="V256">
        <v>0</v>
      </c>
      <c r="W256">
        <v>50</v>
      </c>
    </row>
    <row r="257" spans="1:23">
      <c r="A257" s="3">
        <v>256</v>
      </c>
      <c r="B257" s="4">
        <v>40555</v>
      </c>
      <c r="C257" s="3">
        <v>1</v>
      </c>
      <c r="D257" s="3">
        <v>0</v>
      </c>
      <c r="E257" s="3" t="str">
        <f t="shared" si="13"/>
        <v>January</v>
      </c>
      <c r="F257" s="3">
        <v>0</v>
      </c>
      <c r="G257" s="3" t="b">
        <v>0</v>
      </c>
      <c r="H257" s="3" t="str">
        <f t="shared" si="15"/>
        <v>Wednesday</v>
      </c>
      <c r="I257" s="3">
        <v>3</v>
      </c>
      <c r="J257" s="3" t="str">
        <f t="shared" si="14"/>
        <v>Foggy</v>
      </c>
      <c r="K257" s="3">
        <v>0.16</v>
      </c>
      <c r="L257" s="6">
        <v>0.86</v>
      </c>
      <c r="M257" s="6">
        <v>0.19700000000000001</v>
      </c>
      <c r="N257" s="6">
        <v>8.9599999999999999E-2</v>
      </c>
      <c r="O257" s="6">
        <v>0</v>
      </c>
      <c r="P257" s="6">
        <v>7</v>
      </c>
      <c r="Q257" s="6">
        <v>7</v>
      </c>
      <c r="R257" s="8"/>
      <c r="S257" s="8"/>
      <c r="T257" s="8"/>
      <c r="V257">
        <v>1</v>
      </c>
      <c r="W257">
        <v>49</v>
      </c>
    </row>
    <row r="258" spans="1:23">
      <c r="A258" s="3">
        <v>257</v>
      </c>
      <c r="B258" s="4">
        <v>40555</v>
      </c>
      <c r="C258" s="3">
        <v>1</v>
      </c>
      <c r="D258" s="3">
        <v>0</v>
      </c>
      <c r="E258" s="3" t="str">
        <f t="shared" si="13"/>
        <v>January</v>
      </c>
      <c r="F258" s="3">
        <v>1</v>
      </c>
      <c r="G258" s="3" t="b">
        <v>0</v>
      </c>
      <c r="H258" s="3" t="str">
        <f t="shared" si="15"/>
        <v>Wednesday</v>
      </c>
      <c r="I258" s="3">
        <v>3</v>
      </c>
      <c r="J258" s="3" t="str">
        <f t="shared" si="14"/>
        <v>Foggy</v>
      </c>
      <c r="K258" s="3">
        <v>0.16</v>
      </c>
      <c r="L258" s="6">
        <v>0.86</v>
      </c>
      <c r="M258" s="6">
        <v>0.18179999999999999</v>
      </c>
      <c r="N258" s="6">
        <v>0.1045</v>
      </c>
      <c r="O258" s="6">
        <v>0</v>
      </c>
      <c r="P258" s="6">
        <v>6</v>
      </c>
      <c r="Q258" s="6">
        <v>6</v>
      </c>
      <c r="R258" s="8"/>
      <c r="S258" s="8"/>
      <c r="T258" s="8"/>
      <c r="V258">
        <v>2</v>
      </c>
      <c r="W258">
        <v>48</v>
      </c>
    </row>
    <row r="259" spans="1:23">
      <c r="A259" s="3">
        <v>258</v>
      </c>
      <c r="B259" s="4">
        <v>40555</v>
      </c>
      <c r="C259" s="3">
        <v>1</v>
      </c>
      <c r="D259" s="3">
        <v>0</v>
      </c>
      <c r="E259" s="3" t="str">
        <f t="shared" ref="E259:E322" si="16">TEXT(B259,"MMMM")</f>
        <v>January</v>
      </c>
      <c r="F259" s="3">
        <v>2</v>
      </c>
      <c r="G259" s="3" t="b">
        <v>0</v>
      </c>
      <c r="H259" s="3" t="str">
        <f t="shared" si="15"/>
        <v>Wednesday</v>
      </c>
      <c r="I259" s="3">
        <v>3</v>
      </c>
      <c r="J259" s="3" t="str">
        <f t="shared" si="14"/>
        <v>Foggy</v>
      </c>
      <c r="K259" s="3">
        <v>0.14000000000000001</v>
      </c>
      <c r="L259" s="6">
        <v>0.86</v>
      </c>
      <c r="M259" s="6">
        <v>0.1515</v>
      </c>
      <c r="N259" s="6">
        <v>0.1343</v>
      </c>
      <c r="O259" s="6">
        <v>0</v>
      </c>
      <c r="P259" s="6">
        <v>1</v>
      </c>
      <c r="Q259" s="6">
        <v>1</v>
      </c>
      <c r="R259" s="8"/>
      <c r="S259" s="8"/>
      <c r="T259" s="8"/>
      <c r="V259">
        <v>4</v>
      </c>
      <c r="W259">
        <v>46</v>
      </c>
    </row>
    <row r="260" spans="1:23">
      <c r="A260" s="3">
        <v>259</v>
      </c>
      <c r="B260" s="4">
        <v>40555</v>
      </c>
      <c r="C260" s="3">
        <v>1</v>
      </c>
      <c r="D260" s="3">
        <v>0</v>
      </c>
      <c r="E260" s="3" t="str">
        <f t="shared" si="16"/>
        <v>January</v>
      </c>
      <c r="F260" s="3">
        <v>5</v>
      </c>
      <c r="G260" s="3" t="b">
        <v>0</v>
      </c>
      <c r="H260" s="3" t="str">
        <f t="shared" si="15"/>
        <v>Wednesday</v>
      </c>
      <c r="I260" s="3">
        <v>3</v>
      </c>
      <c r="J260" s="3" t="str">
        <f t="shared" si="14"/>
        <v>Foggy</v>
      </c>
      <c r="K260" s="3">
        <v>0.14000000000000001</v>
      </c>
      <c r="L260" s="6">
        <v>0.86</v>
      </c>
      <c r="M260" s="6">
        <v>0.1515</v>
      </c>
      <c r="N260" s="6">
        <v>0.16420000000000001</v>
      </c>
      <c r="O260" s="6">
        <v>0</v>
      </c>
      <c r="P260" s="6">
        <v>5</v>
      </c>
      <c r="Q260" s="6">
        <v>5</v>
      </c>
      <c r="R260" s="8"/>
      <c r="S260" s="8"/>
      <c r="T260" s="8"/>
      <c r="V260">
        <v>5</v>
      </c>
      <c r="W260">
        <v>45</v>
      </c>
    </row>
    <row r="261" spans="1:23">
      <c r="A261" s="3">
        <v>260</v>
      </c>
      <c r="B261" s="4">
        <v>40555</v>
      </c>
      <c r="C261" s="3">
        <v>1</v>
      </c>
      <c r="D261" s="3">
        <v>0</v>
      </c>
      <c r="E261" s="3" t="str">
        <f t="shared" si="16"/>
        <v>January</v>
      </c>
      <c r="F261" s="3">
        <v>6</v>
      </c>
      <c r="G261" s="3" t="b">
        <v>0</v>
      </c>
      <c r="H261" s="3" t="str">
        <f t="shared" si="15"/>
        <v>Wednesday</v>
      </c>
      <c r="I261" s="3">
        <v>3</v>
      </c>
      <c r="J261" s="3" t="str">
        <f t="shared" si="14"/>
        <v>Foggy</v>
      </c>
      <c r="K261" s="3">
        <v>0.12</v>
      </c>
      <c r="L261" s="6">
        <v>0.93</v>
      </c>
      <c r="M261" s="6">
        <v>0.1515</v>
      </c>
      <c r="N261" s="6">
        <v>0.1343</v>
      </c>
      <c r="O261" s="6">
        <v>0</v>
      </c>
      <c r="P261" s="6">
        <v>16</v>
      </c>
      <c r="Q261" s="6">
        <v>16</v>
      </c>
      <c r="R261" s="8"/>
      <c r="S261" s="8"/>
      <c r="T261" s="8"/>
      <c r="V261">
        <v>7</v>
      </c>
      <c r="W261">
        <v>43</v>
      </c>
    </row>
    <row r="262" spans="1:23">
      <c r="A262" s="3">
        <v>261</v>
      </c>
      <c r="B262" s="4">
        <v>40555</v>
      </c>
      <c r="C262" s="3">
        <v>1</v>
      </c>
      <c r="D262" s="3">
        <v>0</v>
      </c>
      <c r="E262" s="3" t="str">
        <f t="shared" si="16"/>
        <v>January</v>
      </c>
      <c r="F262" s="3">
        <v>7</v>
      </c>
      <c r="G262" s="3" t="b">
        <v>0</v>
      </c>
      <c r="H262" s="3" t="str">
        <f t="shared" si="15"/>
        <v>Wednesday</v>
      </c>
      <c r="I262" s="3">
        <v>3</v>
      </c>
      <c r="J262" s="3" t="str">
        <f t="shared" si="14"/>
        <v>Foggy</v>
      </c>
      <c r="K262" s="3">
        <v>0.14000000000000001</v>
      </c>
      <c r="L262" s="6">
        <v>0.69</v>
      </c>
      <c r="M262" s="6">
        <v>0.1515</v>
      </c>
      <c r="N262" s="6">
        <v>0.1343</v>
      </c>
      <c r="O262" s="6">
        <v>0</v>
      </c>
      <c r="P262" s="6">
        <v>54</v>
      </c>
      <c r="Q262" s="6">
        <v>54</v>
      </c>
      <c r="R262" s="8"/>
      <c r="S262" s="8"/>
      <c r="T262" s="8"/>
      <c r="U262">
        <v>51</v>
      </c>
      <c r="W262">
        <v>463</v>
      </c>
    </row>
    <row r="263" spans="1:23">
      <c r="A263" s="3">
        <v>262</v>
      </c>
      <c r="B263" s="4">
        <v>40555</v>
      </c>
      <c r="C263" s="3">
        <v>1</v>
      </c>
      <c r="D263" s="3">
        <v>0</v>
      </c>
      <c r="E263" s="3" t="str">
        <f t="shared" si="16"/>
        <v>January</v>
      </c>
      <c r="F263" s="3">
        <v>8</v>
      </c>
      <c r="G263" s="3" t="b">
        <v>0</v>
      </c>
      <c r="H263" s="3" t="str">
        <f t="shared" si="15"/>
        <v>Wednesday</v>
      </c>
      <c r="I263" s="3">
        <v>3</v>
      </c>
      <c r="J263" s="3" t="str">
        <f t="shared" ref="J263:J326" si="17">IF($K263&lt;=0.24,"Foggy",IF($K263&gt;0.24,"Clear"))</f>
        <v>Foggy</v>
      </c>
      <c r="K263" s="3">
        <v>0.16</v>
      </c>
      <c r="L263" s="6">
        <v>0.59</v>
      </c>
      <c r="M263" s="6">
        <v>0.16669999999999999</v>
      </c>
      <c r="N263" s="6">
        <v>0.16420000000000001</v>
      </c>
      <c r="O263" s="6">
        <v>3</v>
      </c>
      <c r="P263" s="6">
        <v>125</v>
      </c>
      <c r="Q263" s="6">
        <v>128</v>
      </c>
      <c r="R263" s="8"/>
      <c r="S263" s="8"/>
      <c r="T263" s="8"/>
      <c r="V263">
        <v>0</v>
      </c>
      <c r="W263">
        <v>51</v>
      </c>
    </row>
    <row r="264" spans="1:23">
      <c r="A264" s="3">
        <v>263</v>
      </c>
      <c r="B264" s="4">
        <v>40555</v>
      </c>
      <c r="C264" s="3">
        <v>1</v>
      </c>
      <c r="D264" s="3">
        <v>0</v>
      </c>
      <c r="E264" s="3" t="str">
        <f t="shared" si="16"/>
        <v>January</v>
      </c>
      <c r="F264" s="3">
        <v>9</v>
      </c>
      <c r="G264" s="3" t="b">
        <v>0</v>
      </c>
      <c r="H264" s="3" t="str">
        <f t="shared" si="15"/>
        <v>Wednesday</v>
      </c>
      <c r="I264" s="3">
        <v>3</v>
      </c>
      <c r="J264" s="3" t="str">
        <f t="shared" si="17"/>
        <v>Foggy</v>
      </c>
      <c r="K264" s="3">
        <v>0.16</v>
      </c>
      <c r="L264" s="6">
        <v>0.59</v>
      </c>
      <c r="M264" s="6">
        <v>0.13639999999999999</v>
      </c>
      <c r="N264" s="6">
        <v>0.32840000000000003</v>
      </c>
      <c r="O264" s="6">
        <v>3</v>
      </c>
      <c r="P264" s="6">
        <v>78</v>
      </c>
      <c r="Q264" s="6">
        <v>81</v>
      </c>
      <c r="R264" s="8"/>
      <c r="S264" s="8"/>
      <c r="T264" s="8"/>
      <c r="V264">
        <v>1</v>
      </c>
      <c r="W264">
        <v>50</v>
      </c>
    </row>
    <row r="265" spans="1:23">
      <c r="A265" s="3">
        <v>264</v>
      </c>
      <c r="B265" s="4">
        <v>40555</v>
      </c>
      <c r="C265" s="3">
        <v>1</v>
      </c>
      <c r="D265" s="3">
        <v>0</v>
      </c>
      <c r="E265" s="3" t="str">
        <f t="shared" si="16"/>
        <v>January</v>
      </c>
      <c r="F265" s="3">
        <v>10</v>
      </c>
      <c r="G265" s="3" t="b">
        <v>0</v>
      </c>
      <c r="H265" s="3" t="str">
        <f t="shared" ref="H265:H328" si="18">TEXT(B265,"dddd")</f>
        <v>Wednesday</v>
      </c>
      <c r="I265" s="3">
        <v>3</v>
      </c>
      <c r="J265" s="3" t="str">
        <f t="shared" si="17"/>
        <v>Foggy</v>
      </c>
      <c r="K265" s="3">
        <v>0.18</v>
      </c>
      <c r="L265" s="6">
        <v>0.55000000000000004</v>
      </c>
      <c r="M265" s="6">
        <v>0.18179999999999999</v>
      </c>
      <c r="N265" s="6">
        <v>0.22389999999999999</v>
      </c>
      <c r="O265" s="6">
        <v>0</v>
      </c>
      <c r="P265" s="6">
        <v>39</v>
      </c>
      <c r="Q265" s="6">
        <v>39</v>
      </c>
      <c r="R265" s="8"/>
      <c r="S265" s="8"/>
      <c r="T265" s="8"/>
      <c r="V265">
        <v>2</v>
      </c>
      <c r="W265">
        <v>49</v>
      </c>
    </row>
    <row r="266" spans="1:23">
      <c r="A266" s="3">
        <v>265</v>
      </c>
      <c r="B266" s="4">
        <v>40555</v>
      </c>
      <c r="C266" s="3">
        <v>1</v>
      </c>
      <c r="D266" s="3">
        <v>0</v>
      </c>
      <c r="E266" s="3" t="str">
        <f t="shared" si="16"/>
        <v>January</v>
      </c>
      <c r="F266" s="3">
        <v>11</v>
      </c>
      <c r="G266" s="3" t="b">
        <v>0</v>
      </c>
      <c r="H266" s="3" t="str">
        <f t="shared" si="18"/>
        <v>Wednesday</v>
      </c>
      <c r="I266" s="3">
        <v>3</v>
      </c>
      <c r="J266" s="3" t="str">
        <f t="shared" si="17"/>
        <v>Foggy</v>
      </c>
      <c r="K266" s="3">
        <v>0.2</v>
      </c>
      <c r="L266" s="6">
        <v>0.51</v>
      </c>
      <c r="M266" s="6">
        <v>0.18179999999999999</v>
      </c>
      <c r="N266" s="6">
        <v>0.3881</v>
      </c>
      <c r="O266" s="6">
        <v>3</v>
      </c>
      <c r="P266" s="6">
        <v>32</v>
      </c>
      <c r="Q266" s="6">
        <v>35</v>
      </c>
      <c r="R266" s="8"/>
      <c r="S266" s="8"/>
      <c r="T266" s="8"/>
      <c r="V266">
        <v>4</v>
      </c>
      <c r="W266">
        <v>94</v>
      </c>
    </row>
    <row r="267" spans="1:23">
      <c r="A267" s="3">
        <v>266</v>
      </c>
      <c r="B267" s="4">
        <v>40555</v>
      </c>
      <c r="C267" s="3">
        <v>1</v>
      </c>
      <c r="D267" s="3">
        <v>0</v>
      </c>
      <c r="E267" s="3" t="str">
        <f t="shared" si="16"/>
        <v>January</v>
      </c>
      <c r="F267" s="3">
        <v>12</v>
      </c>
      <c r="G267" s="3" t="b">
        <v>0</v>
      </c>
      <c r="H267" s="3" t="str">
        <f t="shared" si="18"/>
        <v>Wednesday</v>
      </c>
      <c r="I267" s="3">
        <v>3</v>
      </c>
      <c r="J267" s="3" t="str">
        <f t="shared" si="17"/>
        <v>Foggy</v>
      </c>
      <c r="K267" s="3">
        <v>0.2</v>
      </c>
      <c r="L267" s="6">
        <v>0.47</v>
      </c>
      <c r="M267" s="6">
        <v>0.1515</v>
      </c>
      <c r="N267" s="6">
        <v>0.58209999999999995</v>
      </c>
      <c r="O267" s="6">
        <v>3</v>
      </c>
      <c r="P267" s="6">
        <v>52</v>
      </c>
      <c r="Q267" s="6">
        <v>55</v>
      </c>
      <c r="R267" s="8"/>
      <c r="S267" s="8"/>
      <c r="T267" s="8"/>
      <c r="V267">
        <v>5</v>
      </c>
      <c r="W267">
        <v>46</v>
      </c>
    </row>
    <row r="268" spans="1:23">
      <c r="A268" s="3">
        <v>267</v>
      </c>
      <c r="B268" s="4">
        <v>40555</v>
      </c>
      <c r="C268" s="3">
        <v>1</v>
      </c>
      <c r="D268" s="3">
        <v>0</v>
      </c>
      <c r="E268" s="3" t="str">
        <f t="shared" si="16"/>
        <v>January</v>
      </c>
      <c r="F268" s="3">
        <v>13</v>
      </c>
      <c r="G268" s="3" t="b">
        <v>0</v>
      </c>
      <c r="H268" s="3" t="str">
        <f t="shared" si="18"/>
        <v>Wednesday</v>
      </c>
      <c r="I268" s="3">
        <v>3</v>
      </c>
      <c r="J268" s="3" t="str">
        <f t="shared" si="17"/>
        <v>Foggy</v>
      </c>
      <c r="K268" s="3">
        <v>0.22</v>
      </c>
      <c r="L268" s="6">
        <v>0.44</v>
      </c>
      <c r="M268" s="6">
        <v>0.19700000000000001</v>
      </c>
      <c r="N268" s="6">
        <v>0.35820000000000002</v>
      </c>
      <c r="O268" s="6">
        <v>0</v>
      </c>
      <c r="P268" s="6">
        <v>49</v>
      </c>
      <c r="Q268" s="6">
        <v>49</v>
      </c>
      <c r="R268" s="8"/>
      <c r="S268" s="8"/>
      <c r="T268" s="8"/>
      <c r="V268">
        <v>6</v>
      </c>
      <c r="W268">
        <v>90</v>
      </c>
    </row>
    <row r="269" spans="1:23">
      <c r="A269" s="3">
        <v>268</v>
      </c>
      <c r="B269" s="4">
        <v>40555</v>
      </c>
      <c r="C269" s="3">
        <v>1</v>
      </c>
      <c r="D269" s="3">
        <v>0</v>
      </c>
      <c r="E269" s="3" t="str">
        <f t="shared" si="16"/>
        <v>January</v>
      </c>
      <c r="F269" s="3">
        <v>14</v>
      </c>
      <c r="G269" s="3" t="b">
        <v>0</v>
      </c>
      <c r="H269" s="3" t="str">
        <f t="shared" si="18"/>
        <v>Wednesday</v>
      </c>
      <c r="I269" s="3">
        <v>3</v>
      </c>
      <c r="J269" s="3" t="str">
        <f t="shared" si="17"/>
        <v>Foggy</v>
      </c>
      <c r="K269" s="3">
        <v>0.2</v>
      </c>
      <c r="L269" s="6">
        <v>0.47</v>
      </c>
      <c r="M269" s="6">
        <v>0.18179999999999999</v>
      </c>
      <c r="N269" s="6">
        <v>0.32840000000000003</v>
      </c>
      <c r="O269" s="6">
        <v>0</v>
      </c>
      <c r="P269" s="6">
        <v>44</v>
      </c>
      <c r="Q269" s="6">
        <v>44</v>
      </c>
      <c r="R269" s="8"/>
      <c r="S269" s="8"/>
      <c r="T269" s="8"/>
      <c r="V269">
        <v>9</v>
      </c>
      <c r="W269">
        <v>42</v>
      </c>
    </row>
    <row r="270" spans="1:23">
      <c r="A270" s="3">
        <v>269</v>
      </c>
      <c r="B270" s="4">
        <v>40555</v>
      </c>
      <c r="C270" s="3">
        <v>1</v>
      </c>
      <c r="D270" s="3">
        <v>0</v>
      </c>
      <c r="E270" s="3" t="str">
        <f t="shared" si="16"/>
        <v>January</v>
      </c>
      <c r="F270" s="3">
        <v>15</v>
      </c>
      <c r="G270" s="3" t="b">
        <v>0</v>
      </c>
      <c r="H270" s="3" t="str">
        <f t="shared" si="18"/>
        <v>Wednesday</v>
      </c>
      <c r="I270" s="3">
        <v>3</v>
      </c>
      <c r="J270" s="3" t="str">
        <f t="shared" si="17"/>
        <v>Foggy</v>
      </c>
      <c r="K270" s="3">
        <v>0.2</v>
      </c>
      <c r="L270" s="6">
        <v>0.47</v>
      </c>
      <c r="M270" s="6">
        <v>0.16669999999999999</v>
      </c>
      <c r="N270" s="6">
        <v>0.41789999999999999</v>
      </c>
      <c r="O270" s="6">
        <v>1</v>
      </c>
      <c r="P270" s="6">
        <v>48</v>
      </c>
      <c r="Q270" s="6">
        <v>49</v>
      </c>
      <c r="R270" s="8"/>
      <c r="S270" s="8"/>
      <c r="T270" s="8"/>
      <c r="V270">
        <v>10</v>
      </c>
      <c r="W270">
        <v>41</v>
      </c>
    </row>
    <row r="271" spans="1:23">
      <c r="A271" s="3">
        <v>270</v>
      </c>
      <c r="B271" s="4">
        <v>40555</v>
      </c>
      <c r="C271" s="3">
        <v>1</v>
      </c>
      <c r="D271" s="3">
        <v>0</v>
      </c>
      <c r="E271" s="3" t="str">
        <f t="shared" si="16"/>
        <v>January</v>
      </c>
      <c r="F271" s="3">
        <v>16</v>
      </c>
      <c r="G271" s="3" t="b">
        <v>0</v>
      </c>
      <c r="H271" s="3" t="str">
        <f t="shared" si="18"/>
        <v>Wednesday</v>
      </c>
      <c r="I271" s="3">
        <v>3</v>
      </c>
      <c r="J271" s="3" t="str">
        <f t="shared" si="17"/>
        <v>Foggy</v>
      </c>
      <c r="K271" s="3">
        <v>0.22</v>
      </c>
      <c r="L271" s="6">
        <v>0.44</v>
      </c>
      <c r="M271" s="6">
        <v>0.19700000000000001</v>
      </c>
      <c r="N271" s="6">
        <v>0.32840000000000003</v>
      </c>
      <c r="O271" s="6">
        <v>5</v>
      </c>
      <c r="P271" s="6">
        <v>63</v>
      </c>
      <c r="Q271" s="6">
        <v>68</v>
      </c>
      <c r="R271" s="8"/>
      <c r="S271" s="8"/>
      <c r="T271" s="8"/>
      <c r="U271">
        <v>52</v>
      </c>
      <c r="W271">
        <v>671</v>
      </c>
    </row>
    <row r="272" spans="1:23">
      <c r="A272" s="3">
        <v>271</v>
      </c>
      <c r="B272" s="4">
        <v>40555</v>
      </c>
      <c r="C272" s="3">
        <v>1</v>
      </c>
      <c r="D272" s="3">
        <v>0</v>
      </c>
      <c r="E272" s="3" t="str">
        <f t="shared" si="16"/>
        <v>January</v>
      </c>
      <c r="F272" s="3">
        <v>17</v>
      </c>
      <c r="G272" s="3" t="b">
        <v>0</v>
      </c>
      <c r="H272" s="3" t="str">
        <f t="shared" si="18"/>
        <v>Wednesday</v>
      </c>
      <c r="I272" s="3">
        <v>3</v>
      </c>
      <c r="J272" s="3" t="str">
        <f t="shared" si="17"/>
        <v>Foggy</v>
      </c>
      <c r="K272" s="3">
        <v>0.2</v>
      </c>
      <c r="L272" s="6">
        <v>0.47</v>
      </c>
      <c r="M272" s="6">
        <v>0.18179999999999999</v>
      </c>
      <c r="N272" s="6">
        <v>0.35820000000000002</v>
      </c>
      <c r="O272" s="6">
        <v>0</v>
      </c>
      <c r="P272" s="6">
        <v>139</v>
      </c>
      <c r="Q272" s="6">
        <v>139</v>
      </c>
      <c r="R272" s="8"/>
      <c r="S272" s="8"/>
      <c r="T272" s="8"/>
      <c r="V272">
        <v>0</v>
      </c>
      <c r="W272">
        <v>52</v>
      </c>
    </row>
    <row r="273" spans="1:23">
      <c r="A273" s="3">
        <v>272</v>
      </c>
      <c r="B273" s="4">
        <v>40555</v>
      </c>
      <c r="C273" s="3">
        <v>1</v>
      </c>
      <c r="D273" s="3">
        <v>0</v>
      </c>
      <c r="E273" s="3" t="str">
        <f t="shared" si="16"/>
        <v>January</v>
      </c>
      <c r="F273" s="3">
        <v>18</v>
      </c>
      <c r="G273" s="3" t="b">
        <v>0</v>
      </c>
      <c r="H273" s="3" t="str">
        <f t="shared" si="18"/>
        <v>Wednesday</v>
      </c>
      <c r="I273" s="3">
        <v>3</v>
      </c>
      <c r="J273" s="3" t="str">
        <f t="shared" si="17"/>
        <v>Foggy</v>
      </c>
      <c r="K273" s="3">
        <v>0.2</v>
      </c>
      <c r="L273" s="6">
        <v>0.47</v>
      </c>
      <c r="M273" s="6">
        <v>0.1515</v>
      </c>
      <c r="N273" s="6">
        <v>0.52239999999999998</v>
      </c>
      <c r="O273" s="6">
        <v>2</v>
      </c>
      <c r="P273" s="6">
        <v>135</v>
      </c>
      <c r="Q273" s="6">
        <v>137</v>
      </c>
      <c r="R273" s="8"/>
      <c r="S273" s="8"/>
      <c r="T273" s="8"/>
      <c r="V273">
        <v>1</v>
      </c>
      <c r="W273">
        <v>51</v>
      </c>
    </row>
    <row r="274" spans="1:23">
      <c r="A274" s="3">
        <v>273</v>
      </c>
      <c r="B274" s="4">
        <v>40555</v>
      </c>
      <c r="C274" s="3">
        <v>1</v>
      </c>
      <c r="D274" s="3">
        <v>0</v>
      </c>
      <c r="E274" s="3" t="str">
        <f t="shared" si="16"/>
        <v>January</v>
      </c>
      <c r="F274" s="3">
        <v>19</v>
      </c>
      <c r="G274" s="3" t="b">
        <v>0</v>
      </c>
      <c r="H274" s="3" t="str">
        <f t="shared" si="18"/>
        <v>Wednesday</v>
      </c>
      <c r="I274" s="3">
        <v>3</v>
      </c>
      <c r="J274" s="3" t="str">
        <f t="shared" si="17"/>
        <v>Foggy</v>
      </c>
      <c r="K274" s="3">
        <v>0.18</v>
      </c>
      <c r="L274" s="6">
        <v>0.47</v>
      </c>
      <c r="M274" s="6">
        <v>0.1515</v>
      </c>
      <c r="N274" s="6">
        <v>0.41789999999999999</v>
      </c>
      <c r="O274" s="6">
        <v>1</v>
      </c>
      <c r="P274" s="6">
        <v>82</v>
      </c>
      <c r="Q274" s="6">
        <v>83</v>
      </c>
      <c r="R274" s="8"/>
      <c r="S274" s="8"/>
      <c r="T274" s="8"/>
      <c r="V274">
        <v>2</v>
      </c>
      <c r="W274">
        <v>50</v>
      </c>
    </row>
    <row r="275" spans="1:23">
      <c r="A275" s="3">
        <v>274</v>
      </c>
      <c r="B275" s="4">
        <v>40555</v>
      </c>
      <c r="C275" s="3">
        <v>1</v>
      </c>
      <c r="D275" s="3">
        <v>0</v>
      </c>
      <c r="E275" s="3" t="str">
        <f t="shared" si="16"/>
        <v>January</v>
      </c>
      <c r="F275" s="3">
        <v>20</v>
      </c>
      <c r="G275" s="3" t="b">
        <v>0</v>
      </c>
      <c r="H275" s="3" t="str">
        <f t="shared" si="18"/>
        <v>Wednesday</v>
      </c>
      <c r="I275" s="3">
        <v>3</v>
      </c>
      <c r="J275" s="3" t="str">
        <f t="shared" si="17"/>
        <v>Foggy</v>
      </c>
      <c r="K275" s="3">
        <v>0.16</v>
      </c>
      <c r="L275" s="6">
        <v>0.5</v>
      </c>
      <c r="M275" s="6">
        <v>0.13639999999999999</v>
      </c>
      <c r="N275" s="6">
        <v>0.32840000000000003</v>
      </c>
      <c r="O275" s="6">
        <v>2</v>
      </c>
      <c r="P275" s="6">
        <v>54</v>
      </c>
      <c r="Q275" s="6">
        <v>56</v>
      </c>
      <c r="R275" s="8"/>
      <c r="S275" s="8"/>
      <c r="T275" s="8"/>
      <c r="V275">
        <v>3</v>
      </c>
      <c r="W275">
        <v>196</v>
      </c>
    </row>
    <row r="276" spans="1:23">
      <c r="A276" s="3">
        <v>275</v>
      </c>
      <c r="B276" s="4">
        <v>40555</v>
      </c>
      <c r="C276" s="3">
        <v>1</v>
      </c>
      <c r="D276" s="3">
        <v>0</v>
      </c>
      <c r="E276" s="3" t="str">
        <f t="shared" si="16"/>
        <v>January</v>
      </c>
      <c r="F276" s="3">
        <v>21</v>
      </c>
      <c r="G276" s="3" t="b">
        <v>0</v>
      </c>
      <c r="H276" s="3" t="str">
        <f t="shared" si="18"/>
        <v>Wednesday</v>
      </c>
      <c r="I276" s="3">
        <v>3</v>
      </c>
      <c r="J276" s="3" t="str">
        <f t="shared" si="17"/>
        <v>Foggy</v>
      </c>
      <c r="K276" s="3">
        <v>0.16</v>
      </c>
      <c r="L276" s="6">
        <v>0.55000000000000004</v>
      </c>
      <c r="M276" s="6">
        <v>0.13639999999999999</v>
      </c>
      <c r="N276" s="6">
        <v>0.32840000000000003</v>
      </c>
      <c r="O276" s="6">
        <v>0</v>
      </c>
      <c r="P276" s="6">
        <v>57</v>
      </c>
      <c r="Q276" s="6">
        <v>57</v>
      </c>
      <c r="R276" s="8"/>
      <c r="S276" s="8"/>
      <c r="T276" s="8"/>
      <c r="V276">
        <v>4</v>
      </c>
      <c r="W276">
        <v>48</v>
      </c>
    </row>
    <row r="277" spans="1:23">
      <c r="A277" s="3">
        <v>276</v>
      </c>
      <c r="B277" s="4">
        <v>40555</v>
      </c>
      <c r="C277" s="3">
        <v>1</v>
      </c>
      <c r="D277" s="3">
        <v>0</v>
      </c>
      <c r="E277" s="3" t="str">
        <f t="shared" si="16"/>
        <v>January</v>
      </c>
      <c r="F277" s="3">
        <v>22</v>
      </c>
      <c r="G277" s="3" t="b">
        <v>0</v>
      </c>
      <c r="H277" s="3" t="str">
        <f t="shared" si="18"/>
        <v>Wednesday</v>
      </c>
      <c r="I277" s="3">
        <v>3</v>
      </c>
      <c r="J277" s="3" t="str">
        <f t="shared" si="17"/>
        <v>Foggy</v>
      </c>
      <c r="K277" s="3">
        <v>0.16</v>
      </c>
      <c r="L277" s="6">
        <v>0.55000000000000004</v>
      </c>
      <c r="M277" s="6">
        <v>0.1212</v>
      </c>
      <c r="N277" s="6">
        <v>0.44779999999999998</v>
      </c>
      <c r="O277" s="6">
        <v>1</v>
      </c>
      <c r="P277" s="6">
        <v>32</v>
      </c>
      <c r="Q277" s="6">
        <v>33</v>
      </c>
      <c r="R277" s="8"/>
      <c r="S277" s="8"/>
      <c r="T277" s="8"/>
      <c r="V277">
        <v>5</v>
      </c>
      <c r="W277">
        <v>141</v>
      </c>
    </row>
    <row r="278" spans="1:23">
      <c r="A278" s="3">
        <v>277</v>
      </c>
      <c r="B278" s="4">
        <v>40555</v>
      </c>
      <c r="C278" s="3">
        <v>1</v>
      </c>
      <c r="D278" s="3">
        <v>0</v>
      </c>
      <c r="E278" s="3" t="str">
        <f t="shared" si="16"/>
        <v>January</v>
      </c>
      <c r="F278" s="3">
        <v>23</v>
      </c>
      <c r="G278" s="3" t="b">
        <v>0</v>
      </c>
      <c r="H278" s="3" t="str">
        <f t="shared" si="18"/>
        <v>Wednesday</v>
      </c>
      <c r="I278" s="3">
        <v>3</v>
      </c>
      <c r="J278" s="3" t="str">
        <f t="shared" si="17"/>
        <v>Foggy</v>
      </c>
      <c r="K278" s="3">
        <v>0.14000000000000001</v>
      </c>
      <c r="L278" s="6">
        <v>0.59</v>
      </c>
      <c r="M278" s="6">
        <v>0.1061</v>
      </c>
      <c r="N278" s="6">
        <v>0.41789999999999999</v>
      </c>
      <c r="O278" s="6">
        <v>1</v>
      </c>
      <c r="P278" s="6">
        <v>19</v>
      </c>
      <c r="Q278" s="6">
        <v>20</v>
      </c>
      <c r="R278" s="8"/>
      <c r="S278" s="8"/>
      <c r="T278" s="8"/>
      <c r="V278">
        <v>6</v>
      </c>
      <c r="W278">
        <v>46</v>
      </c>
    </row>
    <row r="279" spans="1:23">
      <c r="A279" s="3">
        <v>278</v>
      </c>
      <c r="B279" s="4">
        <v>40556</v>
      </c>
      <c r="C279" s="3">
        <v>1</v>
      </c>
      <c r="D279" s="3">
        <v>0</v>
      </c>
      <c r="E279" s="3" t="str">
        <f t="shared" si="16"/>
        <v>January</v>
      </c>
      <c r="F279" s="3">
        <v>0</v>
      </c>
      <c r="G279" s="3" t="b">
        <v>0</v>
      </c>
      <c r="H279" s="3" t="str">
        <f t="shared" si="18"/>
        <v>Thursday</v>
      </c>
      <c r="I279" s="3">
        <v>4</v>
      </c>
      <c r="J279" s="3" t="str">
        <f t="shared" si="17"/>
        <v>Foggy</v>
      </c>
      <c r="K279" s="3">
        <v>0.14000000000000001</v>
      </c>
      <c r="L279" s="6">
        <v>0.59</v>
      </c>
      <c r="M279" s="6">
        <v>0.1212</v>
      </c>
      <c r="N279" s="6">
        <v>0.28360000000000002</v>
      </c>
      <c r="O279" s="6">
        <v>1</v>
      </c>
      <c r="P279" s="6">
        <v>6</v>
      </c>
      <c r="Q279" s="6">
        <v>7</v>
      </c>
      <c r="R279" s="8"/>
      <c r="S279" s="8"/>
      <c r="T279" s="8"/>
      <c r="V279">
        <v>7</v>
      </c>
      <c r="W279">
        <v>45</v>
      </c>
    </row>
    <row r="280" spans="1:23">
      <c r="A280" s="3">
        <v>279</v>
      </c>
      <c r="B280" s="4">
        <v>40556</v>
      </c>
      <c r="C280" s="3">
        <v>1</v>
      </c>
      <c r="D280" s="3">
        <v>0</v>
      </c>
      <c r="E280" s="3" t="str">
        <f t="shared" si="16"/>
        <v>January</v>
      </c>
      <c r="F280" s="3">
        <v>1</v>
      </c>
      <c r="G280" s="3" t="b">
        <v>0</v>
      </c>
      <c r="H280" s="3" t="str">
        <f t="shared" si="18"/>
        <v>Thursday</v>
      </c>
      <c r="I280" s="3">
        <v>4</v>
      </c>
      <c r="J280" s="3" t="str">
        <f t="shared" si="17"/>
        <v>Foggy</v>
      </c>
      <c r="K280" s="3">
        <v>0.14000000000000001</v>
      </c>
      <c r="L280" s="6">
        <v>0.5</v>
      </c>
      <c r="M280" s="6">
        <v>0.1212</v>
      </c>
      <c r="N280" s="6">
        <v>0.28360000000000002</v>
      </c>
      <c r="O280" s="6">
        <v>0</v>
      </c>
      <c r="P280" s="6">
        <v>2</v>
      </c>
      <c r="Q280" s="6">
        <v>2</v>
      </c>
      <c r="R280" s="8"/>
      <c r="S280" s="8"/>
      <c r="T280" s="8"/>
      <c r="V280">
        <v>10</v>
      </c>
      <c r="W280">
        <v>42</v>
      </c>
    </row>
    <row r="281" spans="1:23">
      <c r="A281" s="3">
        <v>280</v>
      </c>
      <c r="B281" s="4">
        <v>40556</v>
      </c>
      <c r="C281" s="3">
        <v>1</v>
      </c>
      <c r="D281" s="3">
        <v>0</v>
      </c>
      <c r="E281" s="3" t="str">
        <f t="shared" si="16"/>
        <v>January</v>
      </c>
      <c r="F281" s="3">
        <v>2</v>
      </c>
      <c r="G281" s="3" t="b">
        <v>0</v>
      </c>
      <c r="H281" s="3" t="str">
        <f t="shared" si="18"/>
        <v>Thursday</v>
      </c>
      <c r="I281" s="3">
        <v>4</v>
      </c>
      <c r="J281" s="3" t="str">
        <f t="shared" si="17"/>
        <v>Foggy</v>
      </c>
      <c r="K281" s="3">
        <v>0.14000000000000001</v>
      </c>
      <c r="L281" s="6">
        <v>0.5</v>
      </c>
      <c r="M281" s="6">
        <v>0.1212</v>
      </c>
      <c r="N281" s="6">
        <v>0.35820000000000002</v>
      </c>
      <c r="O281" s="6">
        <v>0</v>
      </c>
      <c r="P281" s="6">
        <v>2</v>
      </c>
      <c r="Q281" s="6">
        <v>2</v>
      </c>
      <c r="R281" s="8"/>
      <c r="S281" s="8"/>
      <c r="T281" s="8"/>
      <c r="U281">
        <v>53</v>
      </c>
      <c r="W281">
        <v>335</v>
      </c>
    </row>
    <row r="282" spans="1:23">
      <c r="A282" s="3">
        <v>281</v>
      </c>
      <c r="B282" s="4">
        <v>40556</v>
      </c>
      <c r="C282" s="3">
        <v>1</v>
      </c>
      <c r="D282" s="3">
        <v>0</v>
      </c>
      <c r="E282" s="3" t="str">
        <f t="shared" si="16"/>
        <v>January</v>
      </c>
      <c r="F282" s="3">
        <v>3</v>
      </c>
      <c r="G282" s="3" t="b">
        <v>0</v>
      </c>
      <c r="H282" s="3" t="str">
        <f t="shared" si="18"/>
        <v>Thursday</v>
      </c>
      <c r="I282" s="3">
        <v>4</v>
      </c>
      <c r="J282" s="3" t="str">
        <f t="shared" si="17"/>
        <v>Foggy</v>
      </c>
      <c r="K282" s="3">
        <v>0.14000000000000001</v>
      </c>
      <c r="L282" s="6">
        <v>0.5</v>
      </c>
      <c r="M282" s="6">
        <v>0.1212</v>
      </c>
      <c r="N282" s="6">
        <v>0.32840000000000003</v>
      </c>
      <c r="O282" s="6">
        <v>0</v>
      </c>
      <c r="P282" s="6">
        <v>3</v>
      </c>
      <c r="Q282" s="6">
        <v>3</v>
      </c>
      <c r="R282" s="8"/>
      <c r="S282" s="8"/>
      <c r="T282" s="8"/>
      <c r="V282">
        <v>1</v>
      </c>
      <c r="W282">
        <v>52</v>
      </c>
    </row>
    <row r="283" spans="1:23">
      <c r="A283" s="3">
        <v>282</v>
      </c>
      <c r="B283" s="4">
        <v>40556</v>
      </c>
      <c r="C283" s="3">
        <v>1</v>
      </c>
      <c r="D283" s="3">
        <v>0</v>
      </c>
      <c r="E283" s="3" t="str">
        <f t="shared" si="16"/>
        <v>January</v>
      </c>
      <c r="F283" s="3">
        <v>4</v>
      </c>
      <c r="G283" s="3" t="b">
        <v>0</v>
      </c>
      <c r="H283" s="3" t="str">
        <f t="shared" si="18"/>
        <v>Thursday</v>
      </c>
      <c r="I283" s="3">
        <v>4</v>
      </c>
      <c r="J283" s="3" t="str">
        <f t="shared" si="17"/>
        <v>Foggy</v>
      </c>
      <c r="K283" s="3">
        <v>0.14000000000000001</v>
      </c>
      <c r="L283" s="6">
        <v>0.5</v>
      </c>
      <c r="M283" s="6">
        <v>0.1212</v>
      </c>
      <c r="N283" s="6">
        <v>0.25369999999999998</v>
      </c>
      <c r="O283" s="6">
        <v>0</v>
      </c>
      <c r="P283" s="6">
        <v>4</v>
      </c>
      <c r="Q283" s="6">
        <v>4</v>
      </c>
      <c r="R283" s="8"/>
      <c r="S283" s="8"/>
      <c r="T283" s="8"/>
      <c r="V283">
        <v>3</v>
      </c>
      <c r="W283">
        <v>50</v>
      </c>
    </row>
    <row r="284" spans="1:23">
      <c r="A284" s="3">
        <v>283</v>
      </c>
      <c r="B284" s="4">
        <v>40556</v>
      </c>
      <c r="C284" s="3">
        <v>1</v>
      </c>
      <c r="D284" s="3">
        <v>0</v>
      </c>
      <c r="E284" s="3" t="str">
        <f t="shared" si="16"/>
        <v>January</v>
      </c>
      <c r="F284" s="3">
        <v>5</v>
      </c>
      <c r="G284" s="3" t="b">
        <v>0</v>
      </c>
      <c r="H284" s="3" t="str">
        <f t="shared" si="18"/>
        <v>Thursday</v>
      </c>
      <c r="I284" s="3">
        <v>4</v>
      </c>
      <c r="J284" s="3" t="str">
        <f t="shared" si="17"/>
        <v>Foggy</v>
      </c>
      <c r="K284" s="3">
        <v>0.14000000000000001</v>
      </c>
      <c r="L284" s="6">
        <v>0.5</v>
      </c>
      <c r="M284" s="6">
        <v>0.1212</v>
      </c>
      <c r="N284" s="6">
        <v>0.29849999999999999</v>
      </c>
      <c r="O284" s="6">
        <v>0</v>
      </c>
      <c r="P284" s="6">
        <v>3</v>
      </c>
      <c r="Q284" s="6">
        <v>3</v>
      </c>
      <c r="R284" s="8"/>
      <c r="S284" s="8"/>
      <c r="T284" s="8"/>
      <c r="V284">
        <v>4</v>
      </c>
      <c r="W284">
        <v>49</v>
      </c>
    </row>
    <row r="285" spans="1:23">
      <c r="A285" s="3">
        <v>284</v>
      </c>
      <c r="B285" s="4">
        <v>40556</v>
      </c>
      <c r="C285" s="3">
        <v>1</v>
      </c>
      <c r="D285" s="3">
        <v>0</v>
      </c>
      <c r="E285" s="3" t="str">
        <f t="shared" si="16"/>
        <v>January</v>
      </c>
      <c r="F285" s="3">
        <v>6</v>
      </c>
      <c r="G285" s="3" t="b">
        <v>0</v>
      </c>
      <c r="H285" s="3" t="str">
        <f t="shared" si="18"/>
        <v>Thursday</v>
      </c>
      <c r="I285" s="3">
        <v>4</v>
      </c>
      <c r="J285" s="3" t="str">
        <f t="shared" si="17"/>
        <v>Foggy</v>
      </c>
      <c r="K285" s="3">
        <v>0.12</v>
      </c>
      <c r="L285" s="6">
        <v>0.54</v>
      </c>
      <c r="M285" s="6">
        <v>0.1515</v>
      </c>
      <c r="N285" s="6">
        <v>0.1343</v>
      </c>
      <c r="O285" s="6">
        <v>0</v>
      </c>
      <c r="P285" s="6">
        <v>28</v>
      </c>
      <c r="Q285" s="6">
        <v>28</v>
      </c>
      <c r="R285" s="8"/>
      <c r="S285" s="8"/>
      <c r="T285" s="8"/>
      <c r="V285">
        <v>5</v>
      </c>
      <c r="W285">
        <v>48</v>
      </c>
    </row>
    <row r="286" spans="1:23">
      <c r="A286" s="3">
        <v>285</v>
      </c>
      <c r="B286" s="4">
        <v>40556</v>
      </c>
      <c r="C286" s="3">
        <v>1</v>
      </c>
      <c r="D286" s="3">
        <v>0</v>
      </c>
      <c r="E286" s="3" t="str">
        <f t="shared" si="16"/>
        <v>January</v>
      </c>
      <c r="F286" s="3">
        <v>7</v>
      </c>
      <c r="G286" s="3" t="b">
        <v>0</v>
      </c>
      <c r="H286" s="3" t="str">
        <f t="shared" si="18"/>
        <v>Thursday</v>
      </c>
      <c r="I286" s="3">
        <v>4</v>
      </c>
      <c r="J286" s="3" t="str">
        <f t="shared" si="17"/>
        <v>Foggy</v>
      </c>
      <c r="K286" s="3">
        <v>0.12</v>
      </c>
      <c r="L286" s="6">
        <v>0.54</v>
      </c>
      <c r="M286" s="6">
        <v>0.1515</v>
      </c>
      <c r="N286" s="6">
        <v>0.1343</v>
      </c>
      <c r="O286" s="6">
        <v>0</v>
      </c>
      <c r="P286" s="6">
        <v>72</v>
      </c>
      <c r="Q286" s="6">
        <v>72</v>
      </c>
      <c r="R286" s="8"/>
      <c r="S286" s="8"/>
      <c r="T286" s="8"/>
      <c r="V286">
        <v>6</v>
      </c>
      <c r="W286">
        <v>47</v>
      </c>
    </row>
    <row r="287" spans="1:23">
      <c r="A287" s="3">
        <v>286</v>
      </c>
      <c r="B287" s="4">
        <v>40556</v>
      </c>
      <c r="C287" s="3">
        <v>1</v>
      </c>
      <c r="D287" s="3">
        <v>0</v>
      </c>
      <c r="E287" s="3" t="str">
        <f t="shared" si="16"/>
        <v>January</v>
      </c>
      <c r="F287" s="3">
        <v>8</v>
      </c>
      <c r="G287" s="3" t="b">
        <v>0</v>
      </c>
      <c r="H287" s="3" t="str">
        <f t="shared" si="18"/>
        <v>Thursday</v>
      </c>
      <c r="I287" s="3">
        <v>4</v>
      </c>
      <c r="J287" s="3" t="str">
        <f t="shared" si="17"/>
        <v>Foggy</v>
      </c>
      <c r="K287" s="3">
        <v>0.14000000000000001</v>
      </c>
      <c r="L287" s="6">
        <v>0.5</v>
      </c>
      <c r="M287" s="6">
        <v>0.13639999999999999</v>
      </c>
      <c r="N287" s="6">
        <v>0.19400000000000001</v>
      </c>
      <c r="O287" s="6">
        <v>5</v>
      </c>
      <c r="P287" s="6">
        <v>197</v>
      </c>
      <c r="Q287" s="6">
        <v>202</v>
      </c>
      <c r="R287" s="8"/>
      <c r="S287" s="8"/>
      <c r="T287" s="8"/>
      <c r="V287">
        <v>7</v>
      </c>
      <c r="W287">
        <v>46</v>
      </c>
    </row>
    <row r="288" spans="1:23">
      <c r="A288" s="3">
        <v>287</v>
      </c>
      <c r="B288" s="4">
        <v>40556</v>
      </c>
      <c r="C288" s="3">
        <v>1</v>
      </c>
      <c r="D288" s="3">
        <v>0</v>
      </c>
      <c r="E288" s="3" t="str">
        <f t="shared" si="16"/>
        <v>January</v>
      </c>
      <c r="F288" s="3">
        <v>9</v>
      </c>
      <c r="G288" s="3" t="b">
        <v>0</v>
      </c>
      <c r="H288" s="3" t="str">
        <f t="shared" si="18"/>
        <v>Thursday</v>
      </c>
      <c r="I288" s="3">
        <v>4</v>
      </c>
      <c r="J288" s="3" t="str">
        <f t="shared" si="17"/>
        <v>Foggy</v>
      </c>
      <c r="K288" s="3">
        <v>0.14000000000000001</v>
      </c>
      <c r="L288" s="6">
        <v>0.5</v>
      </c>
      <c r="M288" s="6">
        <v>0.1212</v>
      </c>
      <c r="N288" s="6">
        <v>0.32840000000000003</v>
      </c>
      <c r="O288" s="6">
        <v>2</v>
      </c>
      <c r="P288" s="6">
        <v>137</v>
      </c>
      <c r="Q288" s="6">
        <v>139</v>
      </c>
      <c r="R288" s="8"/>
      <c r="S288" s="8"/>
      <c r="T288" s="8"/>
      <c r="V288">
        <v>10</v>
      </c>
      <c r="W288">
        <v>43</v>
      </c>
    </row>
    <row r="289" spans="1:23">
      <c r="A289" s="3">
        <v>288</v>
      </c>
      <c r="B289" s="4">
        <v>40556</v>
      </c>
      <c r="C289" s="3">
        <v>1</v>
      </c>
      <c r="D289" s="3">
        <v>0</v>
      </c>
      <c r="E289" s="3" t="str">
        <f t="shared" si="16"/>
        <v>January</v>
      </c>
      <c r="F289" s="3">
        <v>10</v>
      </c>
      <c r="G289" s="3" t="b">
        <v>0</v>
      </c>
      <c r="H289" s="3" t="str">
        <f t="shared" si="18"/>
        <v>Thursday</v>
      </c>
      <c r="I289" s="3">
        <v>4</v>
      </c>
      <c r="J289" s="3" t="str">
        <f t="shared" si="17"/>
        <v>Foggy</v>
      </c>
      <c r="K289" s="3">
        <v>0.16</v>
      </c>
      <c r="L289" s="6">
        <v>0.5</v>
      </c>
      <c r="M289" s="6">
        <v>0.13639999999999999</v>
      </c>
      <c r="N289" s="6">
        <v>0.35820000000000002</v>
      </c>
      <c r="O289" s="6">
        <v>2</v>
      </c>
      <c r="P289" s="6">
        <v>36</v>
      </c>
      <c r="Q289" s="6">
        <v>38</v>
      </c>
      <c r="R289" s="8"/>
      <c r="S289" s="8"/>
      <c r="T289" s="8"/>
      <c r="U289">
        <v>54</v>
      </c>
      <c r="W289">
        <v>462</v>
      </c>
    </row>
    <row r="290" spans="1:23">
      <c r="A290" s="3">
        <v>289</v>
      </c>
      <c r="B290" s="4">
        <v>40556</v>
      </c>
      <c r="C290" s="3">
        <v>1</v>
      </c>
      <c r="D290" s="3">
        <v>0</v>
      </c>
      <c r="E290" s="3" t="str">
        <f t="shared" si="16"/>
        <v>January</v>
      </c>
      <c r="F290" s="3">
        <v>11</v>
      </c>
      <c r="G290" s="3" t="b">
        <v>0</v>
      </c>
      <c r="H290" s="3" t="str">
        <f t="shared" si="18"/>
        <v>Thursday</v>
      </c>
      <c r="I290" s="3">
        <v>4</v>
      </c>
      <c r="J290" s="3" t="str">
        <f t="shared" si="17"/>
        <v>Foggy</v>
      </c>
      <c r="K290" s="3">
        <v>0.2</v>
      </c>
      <c r="L290" s="6">
        <v>0.44</v>
      </c>
      <c r="M290" s="6">
        <v>0.16669999999999999</v>
      </c>
      <c r="N290" s="6">
        <v>0.44779999999999998</v>
      </c>
      <c r="O290" s="6">
        <v>4</v>
      </c>
      <c r="P290" s="6">
        <v>33</v>
      </c>
      <c r="Q290" s="6">
        <v>37</v>
      </c>
      <c r="R290" s="8"/>
      <c r="S290" s="8"/>
      <c r="T290" s="8"/>
      <c r="V290">
        <v>0</v>
      </c>
      <c r="W290">
        <v>108</v>
      </c>
    </row>
    <row r="291" spans="1:23">
      <c r="A291" s="3">
        <v>290</v>
      </c>
      <c r="B291" s="4">
        <v>40556</v>
      </c>
      <c r="C291" s="3">
        <v>1</v>
      </c>
      <c r="D291" s="3">
        <v>0</v>
      </c>
      <c r="E291" s="3" t="str">
        <f t="shared" si="16"/>
        <v>January</v>
      </c>
      <c r="F291" s="3">
        <v>12</v>
      </c>
      <c r="G291" s="3" t="b">
        <v>0</v>
      </c>
      <c r="H291" s="3" t="str">
        <f t="shared" si="18"/>
        <v>Thursday</v>
      </c>
      <c r="I291" s="3">
        <v>4</v>
      </c>
      <c r="J291" s="3" t="str">
        <f t="shared" si="17"/>
        <v>Foggy</v>
      </c>
      <c r="K291" s="3">
        <v>0.2</v>
      </c>
      <c r="L291" s="6">
        <v>0.44</v>
      </c>
      <c r="M291" s="6">
        <v>0.16669999999999999</v>
      </c>
      <c r="N291" s="6">
        <v>0.41789999999999999</v>
      </c>
      <c r="O291" s="6">
        <v>3</v>
      </c>
      <c r="P291" s="6">
        <v>49</v>
      </c>
      <c r="Q291" s="6">
        <v>52</v>
      </c>
      <c r="R291" s="8"/>
      <c r="S291" s="8"/>
      <c r="T291" s="8"/>
      <c r="V291">
        <v>1</v>
      </c>
      <c r="W291">
        <v>106</v>
      </c>
    </row>
    <row r="292" spans="1:23">
      <c r="A292" s="3">
        <v>291</v>
      </c>
      <c r="B292" s="4">
        <v>40556</v>
      </c>
      <c r="C292" s="3">
        <v>1</v>
      </c>
      <c r="D292" s="3">
        <v>0</v>
      </c>
      <c r="E292" s="3" t="str">
        <f t="shared" si="16"/>
        <v>January</v>
      </c>
      <c r="F292" s="3">
        <v>13</v>
      </c>
      <c r="G292" s="3" t="b">
        <v>0</v>
      </c>
      <c r="H292" s="3" t="str">
        <f t="shared" si="18"/>
        <v>Thursday</v>
      </c>
      <c r="I292" s="3">
        <v>4</v>
      </c>
      <c r="J292" s="3" t="str">
        <f t="shared" si="17"/>
        <v>Foggy</v>
      </c>
      <c r="K292" s="3">
        <v>0.22</v>
      </c>
      <c r="L292" s="6">
        <v>0.41</v>
      </c>
      <c r="M292" s="6">
        <v>0.19700000000000001</v>
      </c>
      <c r="N292" s="6">
        <v>0.44779999999999998</v>
      </c>
      <c r="O292" s="6">
        <v>2</v>
      </c>
      <c r="P292" s="6">
        <v>81</v>
      </c>
      <c r="Q292" s="6">
        <v>83</v>
      </c>
      <c r="R292" s="8"/>
      <c r="S292" s="8"/>
      <c r="T292" s="8"/>
      <c r="V292">
        <v>2</v>
      </c>
      <c r="W292">
        <v>52</v>
      </c>
    </row>
    <row r="293" spans="1:23">
      <c r="A293" s="3">
        <v>292</v>
      </c>
      <c r="B293" s="4">
        <v>40556</v>
      </c>
      <c r="C293" s="3">
        <v>1</v>
      </c>
      <c r="D293" s="3">
        <v>0</v>
      </c>
      <c r="E293" s="3" t="str">
        <f t="shared" si="16"/>
        <v>January</v>
      </c>
      <c r="F293" s="3">
        <v>14</v>
      </c>
      <c r="G293" s="3" t="b">
        <v>0</v>
      </c>
      <c r="H293" s="3" t="str">
        <f t="shared" si="18"/>
        <v>Thursday</v>
      </c>
      <c r="I293" s="3">
        <v>4</v>
      </c>
      <c r="J293" s="3" t="str">
        <f t="shared" si="17"/>
        <v>Foggy</v>
      </c>
      <c r="K293" s="3">
        <v>0.22</v>
      </c>
      <c r="L293" s="6">
        <v>0.41</v>
      </c>
      <c r="M293" s="6">
        <v>0.19700000000000001</v>
      </c>
      <c r="N293" s="6">
        <v>0.3881</v>
      </c>
      <c r="O293" s="6">
        <v>3</v>
      </c>
      <c r="P293" s="6">
        <v>39</v>
      </c>
      <c r="Q293" s="6">
        <v>42</v>
      </c>
      <c r="R293" s="8"/>
      <c r="S293" s="8"/>
      <c r="T293" s="8"/>
      <c r="V293">
        <v>3</v>
      </c>
      <c r="W293">
        <v>51</v>
      </c>
    </row>
    <row r="294" spans="1:23">
      <c r="A294" s="3">
        <v>293</v>
      </c>
      <c r="B294" s="4">
        <v>40556</v>
      </c>
      <c r="C294" s="3">
        <v>1</v>
      </c>
      <c r="D294" s="3">
        <v>0</v>
      </c>
      <c r="E294" s="3" t="str">
        <f t="shared" si="16"/>
        <v>January</v>
      </c>
      <c r="F294" s="3">
        <v>15</v>
      </c>
      <c r="G294" s="3" t="b">
        <v>0</v>
      </c>
      <c r="H294" s="3" t="str">
        <f t="shared" si="18"/>
        <v>Thursday</v>
      </c>
      <c r="I294" s="3">
        <v>4</v>
      </c>
      <c r="J294" s="3" t="str">
        <f t="shared" si="17"/>
        <v>Foggy</v>
      </c>
      <c r="K294" s="3">
        <v>0.24</v>
      </c>
      <c r="L294" s="6">
        <v>0.38</v>
      </c>
      <c r="M294" s="6">
        <v>0.21210000000000001</v>
      </c>
      <c r="N294" s="6">
        <v>0.29849999999999999</v>
      </c>
      <c r="O294" s="6">
        <v>5</v>
      </c>
      <c r="P294" s="6">
        <v>55</v>
      </c>
      <c r="Q294" s="6">
        <v>60</v>
      </c>
      <c r="R294" s="8"/>
      <c r="S294" s="8"/>
      <c r="T294" s="8"/>
      <c r="V294">
        <v>4</v>
      </c>
      <c r="W294">
        <v>50</v>
      </c>
    </row>
    <row r="295" spans="1:23">
      <c r="A295" s="3">
        <v>294</v>
      </c>
      <c r="B295" s="4">
        <v>40556</v>
      </c>
      <c r="C295" s="3">
        <v>1</v>
      </c>
      <c r="D295" s="3">
        <v>0</v>
      </c>
      <c r="E295" s="3" t="str">
        <f t="shared" si="16"/>
        <v>January</v>
      </c>
      <c r="F295" s="3">
        <v>16</v>
      </c>
      <c r="G295" s="3" t="b">
        <v>0</v>
      </c>
      <c r="H295" s="3" t="str">
        <f t="shared" si="18"/>
        <v>Thursday</v>
      </c>
      <c r="I295" s="3">
        <v>4</v>
      </c>
      <c r="J295" s="3" t="str">
        <f t="shared" si="17"/>
        <v>Foggy</v>
      </c>
      <c r="K295" s="3">
        <v>0.24</v>
      </c>
      <c r="L295" s="6">
        <v>0.38</v>
      </c>
      <c r="M295" s="6">
        <v>0.21210000000000001</v>
      </c>
      <c r="N295" s="6">
        <v>0.35820000000000002</v>
      </c>
      <c r="O295" s="6">
        <v>2</v>
      </c>
      <c r="P295" s="6">
        <v>76</v>
      </c>
      <c r="Q295" s="6">
        <v>78</v>
      </c>
      <c r="R295" s="8"/>
      <c r="S295" s="8"/>
      <c r="T295" s="8"/>
      <c r="V295">
        <v>5</v>
      </c>
      <c r="W295">
        <v>49</v>
      </c>
    </row>
    <row r="296" spans="1:23">
      <c r="A296" s="3">
        <v>295</v>
      </c>
      <c r="B296" s="4">
        <v>40556</v>
      </c>
      <c r="C296" s="3">
        <v>1</v>
      </c>
      <c r="D296" s="3">
        <v>0</v>
      </c>
      <c r="E296" s="3" t="str">
        <f t="shared" si="16"/>
        <v>January</v>
      </c>
      <c r="F296" s="3">
        <v>17</v>
      </c>
      <c r="G296" s="3" t="b">
        <v>0</v>
      </c>
      <c r="H296" s="3" t="str">
        <f t="shared" si="18"/>
        <v>Thursday</v>
      </c>
      <c r="I296" s="3">
        <v>4</v>
      </c>
      <c r="J296" s="3" t="str">
        <f t="shared" si="17"/>
        <v>Foggy</v>
      </c>
      <c r="K296" s="3">
        <v>0.2</v>
      </c>
      <c r="L296" s="6">
        <v>0.4</v>
      </c>
      <c r="M296" s="6">
        <v>0.18179999999999999</v>
      </c>
      <c r="N296" s="6">
        <v>0.28360000000000002</v>
      </c>
      <c r="O296" s="6">
        <v>4</v>
      </c>
      <c r="P296" s="6">
        <v>158</v>
      </c>
      <c r="Q296" s="6">
        <v>162</v>
      </c>
      <c r="R296" s="8"/>
      <c r="S296" s="8"/>
      <c r="T296" s="8"/>
      <c r="V296">
        <v>8</v>
      </c>
      <c r="W296">
        <v>46</v>
      </c>
    </row>
    <row r="297" spans="1:23">
      <c r="A297" s="3">
        <v>296</v>
      </c>
      <c r="B297" s="4">
        <v>40556</v>
      </c>
      <c r="C297" s="3">
        <v>1</v>
      </c>
      <c r="D297" s="3">
        <v>0</v>
      </c>
      <c r="E297" s="3" t="str">
        <f t="shared" si="16"/>
        <v>January</v>
      </c>
      <c r="F297" s="3">
        <v>18</v>
      </c>
      <c r="G297" s="3" t="b">
        <v>0</v>
      </c>
      <c r="H297" s="3" t="str">
        <f t="shared" si="18"/>
        <v>Thursday</v>
      </c>
      <c r="I297" s="3">
        <v>4</v>
      </c>
      <c r="J297" s="3" t="str">
        <f t="shared" si="17"/>
        <v>Foggy</v>
      </c>
      <c r="K297" s="3">
        <v>0.2</v>
      </c>
      <c r="L297" s="6">
        <v>0.4</v>
      </c>
      <c r="M297" s="6">
        <v>0.18179999999999999</v>
      </c>
      <c r="N297" s="6">
        <v>0.32840000000000003</v>
      </c>
      <c r="O297" s="6">
        <v>3</v>
      </c>
      <c r="P297" s="6">
        <v>141</v>
      </c>
      <c r="Q297" s="6">
        <v>144</v>
      </c>
      <c r="R297" s="8"/>
      <c r="S297" s="8"/>
      <c r="T297" s="8"/>
      <c r="U297">
        <v>55</v>
      </c>
      <c r="W297">
        <v>452</v>
      </c>
    </row>
    <row r="298" spans="1:23">
      <c r="A298" s="3">
        <v>297</v>
      </c>
      <c r="B298" s="4">
        <v>40556</v>
      </c>
      <c r="C298" s="3">
        <v>1</v>
      </c>
      <c r="D298" s="3">
        <v>0</v>
      </c>
      <c r="E298" s="3" t="str">
        <f t="shared" si="16"/>
        <v>January</v>
      </c>
      <c r="F298" s="3">
        <v>19</v>
      </c>
      <c r="G298" s="3" t="b">
        <v>0</v>
      </c>
      <c r="H298" s="3" t="str">
        <f t="shared" si="18"/>
        <v>Thursday</v>
      </c>
      <c r="I298" s="3">
        <v>4</v>
      </c>
      <c r="J298" s="3" t="str">
        <f t="shared" si="17"/>
        <v>Foggy</v>
      </c>
      <c r="K298" s="3">
        <v>0.16</v>
      </c>
      <c r="L298" s="6">
        <v>0.47</v>
      </c>
      <c r="M298" s="6">
        <v>0.1515</v>
      </c>
      <c r="N298" s="6">
        <v>0.25369999999999998</v>
      </c>
      <c r="O298" s="6">
        <v>1</v>
      </c>
      <c r="P298" s="6">
        <v>98</v>
      </c>
      <c r="Q298" s="6">
        <v>99</v>
      </c>
      <c r="R298" s="8"/>
      <c r="S298" s="8"/>
      <c r="T298" s="8"/>
      <c r="V298">
        <v>2</v>
      </c>
      <c r="W298">
        <v>53</v>
      </c>
    </row>
    <row r="299" spans="1:23">
      <c r="A299" s="3">
        <v>298</v>
      </c>
      <c r="B299" s="4">
        <v>40556</v>
      </c>
      <c r="C299" s="3">
        <v>1</v>
      </c>
      <c r="D299" s="3">
        <v>0</v>
      </c>
      <c r="E299" s="3" t="str">
        <f t="shared" si="16"/>
        <v>January</v>
      </c>
      <c r="F299" s="3">
        <v>20</v>
      </c>
      <c r="G299" s="3" t="b">
        <v>0</v>
      </c>
      <c r="H299" s="3" t="str">
        <f t="shared" si="18"/>
        <v>Thursday</v>
      </c>
      <c r="I299" s="3">
        <v>4</v>
      </c>
      <c r="J299" s="3" t="str">
        <f t="shared" si="17"/>
        <v>Foggy</v>
      </c>
      <c r="K299" s="3">
        <v>0.16</v>
      </c>
      <c r="L299" s="6">
        <v>0.47</v>
      </c>
      <c r="M299" s="6">
        <v>0.1515</v>
      </c>
      <c r="N299" s="6">
        <v>0.22389999999999999</v>
      </c>
      <c r="O299" s="6">
        <v>0</v>
      </c>
      <c r="P299" s="6">
        <v>64</v>
      </c>
      <c r="Q299" s="6">
        <v>64</v>
      </c>
      <c r="R299" s="8"/>
      <c r="S299" s="8"/>
      <c r="T299" s="8"/>
      <c r="V299">
        <v>3</v>
      </c>
      <c r="W299">
        <v>104</v>
      </c>
    </row>
    <row r="300" spans="1:23">
      <c r="A300" s="3">
        <v>299</v>
      </c>
      <c r="B300" s="4">
        <v>40556</v>
      </c>
      <c r="C300" s="3">
        <v>1</v>
      </c>
      <c r="D300" s="3">
        <v>0</v>
      </c>
      <c r="E300" s="3" t="str">
        <f t="shared" si="16"/>
        <v>January</v>
      </c>
      <c r="F300" s="3">
        <v>21</v>
      </c>
      <c r="G300" s="3" t="b">
        <v>0</v>
      </c>
      <c r="H300" s="3" t="str">
        <f t="shared" si="18"/>
        <v>Thursday</v>
      </c>
      <c r="I300" s="3">
        <v>4</v>
      </c>
      <c r="J300" s="3" t="str">
        <f t="shared" si="17"/>
        <v>Foggy</v>
      </c>
      <c r="K300" s="3">
        <v>0.14000000000000001</v>
      </c>
      <c r="L300" s="6">
        <v>0.46</v>
      </c>
      <c r="M300" s="6">
        <v>0.1212</v>
      </c>
      <c r="N300" s="6">
        <v>0.29849999999999999</v>
      </c>
      <c r="O300" s="6">
        <v>0</v>
      </c>
      <c r="P300" s="6">
        <v>40</v>
      </c>
      <c r="Q300" s="6">
        <v>40</v>
      </c>
      <c r="R300" s="8"/>
      <c r="S300" s="8"/>
      <c r="T300" s="8"/>
      <c r="V300">
        <v>4</v>
      </c>
      <c r="W300">
        <v>51</v>
      </c>
    </row>
    <row r="301" spans="1:23">
      <c r="A301" s="3">
        <v>300</v>
      </c>
      <c r="B301" s="4">
        <v>40556</v>
      </c>
      <c r="C301" s="3">
        <v>1</v>
      </c>
      <c r="D301" s="3">
        <v>0</v>
      </c>
      <c r="E301" s="3" t="str">
        <f t="shared" si="16"/>
        <v>January</v>
      </c>
      <c r="F301" s="3">
        <v>22</v>
      </c>
      <c r="G301" s="3" t="b">
        <v>0</v>
      </c>
      <c r="H301" s="3" t="str">
        <f t="shared" si="18"/>
        <v>Thursday</v>
      </c>
      <c r="I301" s="3">
        <v>4</v>
      </c>
      <c r="J301" s="3" t="str">
        <f t="shared" si="17"/>
        <v>Foggy</v>
      </c>
      <c r="K301" s="3">
        <v>0.14000000000000001</v>
      </c>
      <c r="L301" s="6">
        <v>0.46</v>
      </c>
      <c r="M301" s="6">
        <v>0.1212</v>
      </c>
      <c r="N301" s="6">
        <v>0.32840000000000003</v>
      </c>
      <c r="O301" s="6">
        <v>0</v>
      </c>
      <c r="P301" s="6">
        <v>30</v>
      </c>
      <c r="Q301" s="6">
        <v>30</v>
      </c>
      <c r="R301" s="8"/>
      <c r="S301" s="8"/>
      <c r="T301" s="8"/>
      <c r="V301">
        <v>5</v>
      </c>
      <c r="W301">
        <v>100</v>
      </c>
    </row>
    <row r="302" spans="1:23">
      <c r="A302" s="3">
        <v>301</v>
      </c>
      <c r="B302" s="4">
        <v>40556</v>
      </c>
      <c r="C302" s="3">
        <v>1</v>
      </c>
      <c r="D302" s="3">
        <v>0</v>
      </c>
      <c r="E302" s="3" t="str">
        <f t="shared" si="16"/>
        <v>January</v>
      </c>
      <c r="F302" s="3">
        <v>23</v>
      </c>
      <c r="G302" s="3" t="b">
        <v>0</v>
      </c>
      <c r="H302" s="3" t="str">
        <f t="shared" si="18"/>
        <v>Thursday</v>
      </c>
      <c r="I302" s="3">
        <v>4</v>
      </c>
      <c r="J302" s="3" t="str">
        <f t="shared" si="17"/>
        <v>Foggy</v>
      </c>
      <c r="K302" s="3">
        <v>0.12</v>
      </c>
      <c r="L302" s="6">
        <v>0.5</v>
      </c>
      <c r="M302" s="6">
        <v>0.13639999999999999</v>
      </c>
      <c r="N302" s="6">
        <v>0.19400000000000001</v>
      </c>
      <c r="O302" s="6">
        <v>1</v>
      </c>
      <c r="P302" s="6">
        <v>14</v>
      </c>
      <c r="Q302" s="6">
        <v>15</v>
      </c>
      <c r="R302" s="8"/>
      <c r="S302" s="8"/>
      <c r="T302" s="8"/>
      <c r="V302">
        <v>6</v>
      </c>
      <c r="W302">
        <v>98</v>
      </c>
    </row>
    <row r="303" spans="1:23">
      <c r="A303" s="3">
        <v>302</v>
      </c>
      <c r="B303" s="4">
        <v>40557</v>
      </c>
      <c r="C303" s="3">
        <v>1</v>
      </c>
      <c r="D303" s="3">
        <v>0</v>
      </c>
      <c r="E303" s="3" t="str">
        <f t="shared" si="16"/>
        <v>January</v>
      </c>
      <c r="F303" s="3">
        <v>0</v>
      </c>
      <c r="G303" s="3" t="b">
        <v>0</v>
      </c>
      <c r="H303" s="3" t="str">
        <f t="shared" si="18"/>
        <v>Friday</v>
      </c>
      <c r="I303" s="3">
        <v>5</v>
      </c>
      <c r="J303" s="3" t="str">
        <f t="shared" si="17"/>
        <v>Foggy</v>
      </c>
      <c r="K303" s="3">
        <v>0.12</v>
      </c>
      <c r="L303" s="6">
        <v>0.5</v>
      </c>
      <c r="M303" s="6">
        <v>0.13639999999999999</v>
      </c>
      <c r="N303" s="6">
        <v>0.19400000000000001</v>
      </c>
      <c r="O303" s="6">
        <v>0</v>
      </c>
      <c r="P303" s="6">
        <v>14</v>
      </c>
      <c r="Q303" s="6">
        <v>14</v>
      </c>
      <c r="R303" s="8"/>
      <c r="S303" s="8"/>
      <c r="T303" s="8"/>
      <c r="V303">
        <v>9</v>
      </c>
      <c r="W303">
        <v>46</v>
      </c>
    </row>
    <row r="304" spans="1:23">
      <c r="A304" s="3">
        <v>303</v>
      </c>
      <c r="B304" s="4">
        <v>40557</v>
      </c>
      <c r="C304" s="3">
        <v>1</v>
      </c>
      <c r="D304" s="3">
        <v>0</v>
      </c>
      <c r="E304" s="3" t="str">
        <f t="shared" si="16"/>
        <v>January</v>
      </c>
      <c r="F304" s="3">
        <v>1</v>
      </c>
      <c r="G304" s="3" t="b">
        <v>0</v>
      </c>
      <c r="H304" s="3" t="str">
        <f t="shared" si="18"/>
        <v>Friday</v>
      </c>
      <c r="I304" s="3">
        <v>5</v>
      </c>
      <c r="J304" s="3" t="str">
        <f t="shared" si="17"/>
        <v>Foggy</v>
      </c>
      <c r="K304" s="3">
        <v>0.1</v>
      </c>
      <c r="L304" s="6">
        <v>0.54</v>
      </c>
      <c r="M304" s="6">
        <v>0.1212</v>
      </c>
      <c r="N304" s="6">
        <v>0.16420000000000001</v>
      </c>
      <c r="O304" s="6">
        <v>0</v>
      </c>
      <c r="P304" s="6">
        <v>5</v>
      </c>
      <c r="Q304" s="6">
        <v>5</v>
      </c>
      <c r="R304" s="8"/>
      <c r="S304" s="8"/>
      <c r="T304" s="8"/>
      <c r="U304">
        <v>56</v>
      </c>
      <c r="W304">
        <v>299</v>
      </c>
    </row>
    <row r="305" spans="1:23">
      <c r="A305" s="3">
        <v>304</v>
      </c>
      <c r="B305" s="4">
        <v>40557</v>
      </c>
      <c r="C305" s="3">
        <v>1</v>
      </c>
      <c r="D305" s="3">
        <v>0</v>
      </c>
      <c r="E305" s="3" t="str">
        <f t="shared" si="16"/>
        <v>January</v>
      </c>
      <c r="F305" s="3">
        <v>2</v>
      </c>
      <c r="G305" s="3" t="b">
        <v>0</v>
      </c>
      <c r="H305" s="3" t="str">
        <f t="shared" si="18"/>
        <v>Friday</v>
      </c>
      <c r="I305" s="3">
        <v>5</v>
      </c>
      <c r="J305" s="3" t="str">
        <f t="shared" si="17"/>
        <v>Foggy</v>
      </c>
      <c r="K305" s="3">
        <v>0.1</v>
      </c>
      <c r="L305" s="6">
        <v>0.54</v>
      </c>
      <c r="M305" s="6">
        <v>0.1212</v>
      </c>
      <c r="N305" s="6">
        <v>0.1343</v>
      </c>
      <c r="O305" s="6">
        <v>0</v>
      </c>
      <c r="P305" s="6">
        <v>1</v>
      </c>
      <c r="Q305" s="6">
        <v>1</v>
      </c>
      <c r="R305" s="8"/>
      <c r="S305" s="8"/>
      <c r="T305" s="8"/>
      <c r="V305">
        <v>0</v>
      </c>
      <c r="W305">
        <v>56</v>
      </c>
    </row>
    <row r="306" spans="1:23">
      <c r="A306" s="3">
        <v>305</v>
      </c>
      <c r="B306" s="4">
        <v>40557</v>
      </c>
      <c r="C306" s="3">
        <v>1</v>
      </c>
      <c r="D306" s="3">
        <v>0</v>
      </c>
      <c r="E306" s="3" t="str">
        <f t="shared" si="16"/>
        <v>January</v>
      </c>
      <c r="F306" s="3">
        <v>3</v>
      </c>
      <c r="G306" s="3" t="b">
        <v>0</v>
      </c>
      <c r="H306" s="3" t="str">
        <f t="shared" si="18"/>
        <v>Friday</v>
      </c>
      <c r="I306" s="3">
        <v>5</v>
      </c>
      <c r="J306" s="3" t="str">
        <f t="shared" si="17"/>
        <v>Foggy</v>
      </c>
      <c r="K306" s="3">
        <v>0.1</v>
      </c>
      <c r="L306" s="6">
        <v>0.54</v>
      </c>
      <c r="M306" s="6">
        <v>0.13639999999999999</v>
      </c>
      <c r="N306" s="6">
        <v>0.1045</v>
      </c>
      <c r="O306" s="6">
        <v>0</v>
      </c>
      <c r="P306" s="6">
        <v>1</v>
      </c>
      <c r="Q306" s="6">
        <v>1</v>
      </c>
      <c r="R306" s="8"/>
      <c r="S306" s="8"/>
      <c r="T306" s="8"/>
      <c r="V306">
        <v>2</v>
      </c>
      <c r="W306">
        <v>54</v>
      </c>
    </row>
    <row r="307" spans="1:23">
      <c r="A307" s="3">
        <v>306</v>
      </c>
      <c r="B307" s="4">
        <v>40557</v>
      </c>
      <c r="C307" s="3">
        <v>1</v>
      </c>
      <c r="D307" s="3">
        <v>0</v>
      </c>
      <c r="E307" s="3" t="str">
        <f t="shared" si="16"/>
        <v>January</v>
      </c>
      <c r="F307" s="3">
        <v>5</v>
      </c>
      <c r="G307" s="3" t="b">
        <v>0</v>
      </c>
      <c r="H307" s="3" t="str">
        <f t="shared" si="18"/>
        <v>Friday</v>
      </c>
      <c r="I307" s="3">
        <v>5</v>
      </c>
      <c r="J307" s="3" t="str">
        <f t="shared" si="17"/>
        <v>Foggy</v>
      </c>
      <c r="K307" s="3">
        <v>0.1</v>
      </c>
      <c r="L307" s="6">
        <v>0.54</v>
      </c>
      <c r="M307" s="6">
        <v>0.13639999999999999</v>
      </c>
      <c r="N307" s="6">
        <v>8.9599999999999999E-2</v>
      </c>
      <c r="O307" s="6">
        <v>0</v>
      </c>
      <c r="P307" s="6">
        <v>8</v>
      </c>
      <c r="Q307" s="6">
        <v>8</v>
      </c>
      <c r="R307" s="8"/>
      <c r="S307" s="8"/>
      <c r="T307" s="8"/>
      <c r="V307">
        <v>3</v>
      </c>
      <c r="W307">
        <v>159</v>
      </c>
    </row>
    <row r="308" spans="1:23">
      <c r="A308" s="3">
        <v>307</v>
      </c>
      <c r="B308" s="4">
        <v>40557</v>
      </c>
      <c r="C308" s="3">
        <v>1</v>
      </c>
      <c r="D308" s="3">
        <v>0</v>
      </c>
      <c r="E308" s="3" t="str">
        <f t="shared" si="16"/>
        <v>January</v>
      </c>
      <c r="F308" s="3">
        <v>6</v>
      </c>
      <c r="G308" s="3" t="b">
        <v>0</v>
      </c>
      <c r="H308" s="3" t="str">
        <f t="shared" si="18"/>
        <v>Friday</v>
      </c>
      <c r="I308" s="3">
        <v>5</v>
      </c>
      <c r="J308" s="3" t="str">
        <f t="shared" si="17"/>
        <v>Foggy</v>
      </c>
      <c r="K308" s="3">
        <v>0.1</v>
      </c>
      <c r="L308" s="6">
        <v>0.54</v>
      </c>
      <c r="M308" s="6">
        <v>0.18179999999999999</v>
      </c>
      <c r="N308" s="6">
        <v>0</v>
      </c>
      <c r="O308" s="6">
        <v>0</v>
      </c>
      <c r="P308" s="6">
        <v>17</v>
      </c>
      <c r="Q308" s="6">
        <v>17</v>
      </c>
      <c r="R308" s="8"/>
      <c r="S308" s="8"/>
      <c r="T308" s="8"/>
      <c r="V308">
        <v>26</v>
      </c>
      <c r="W308">
        <v>30</v>
      </c>
    </row>
    <row r="309" spans="1:23">
      <c r="A309" s="3">
        <v>308</v>
      </c>
      <c r="B309" s="4">
        <v>40557</v>
      </c>
      <c r="C309" s="3">
        <v>1</v>
      </c>
      <c r="D309" s="3">
        <v>0</v>
      </c>
      <c r="E309" s="3" t="str">
        <f t="shared" si="16"/>
        <v>January</v>
      </c>
      <c r="F309" s="3">
        <v>7</v>
      </c>
      <c r="G309" s="3" t="b">
        <v>0</v>
      </c>
      <c r="H309" s="3" t="str">
        <f t="shared" si="18"/>
        <v>Friday</v>
      </c>
      <c r="I309" s="3">
        <v>5</v>
      </c>
      <c r="J309" s="3" t="str">
        <f t="shared" si="17"/>
        <v>Foggy</v>
      </c>
      <c r="K309" s="3">
        <v>0.1</v>
      </c>
      <c r="L309" s="6">
        <v>0.74</v>
      </c>
      <c r="M309" s="6">
        <v>0.1212</v>
      </c>
      <c r="N309" s="6">
        <v>0.16420000000000001</v>
      </c>
      <c r="O309" s="6">
        <v>0</v>
      </c>
      <c r="P309" s="6">
        <v>70</v>
      </c>
      <c r="Q309" s="6">
        <v>70</v>
      </c>
      <c r="R309" s="8"/>
      <c r="S309" s="8"/>
      <c r="T309" s="8"/>
      <c r="U309">
        <v>57</v>
      </c>
      <c r="W309">
        <v>526</v>
      </c>
    </row>
    <row r="310" spans="1:23">
      <c r="A310" s="3">
        <v>309</v>
      </c>
      <c r="B310" s="4">
        <v>40557</v>
      </c>
      <c r="C310" s="3">
        <v>1</v>
      </c>
      <c r="D310" s="3">
        <v>0</v>
      </c>
      <c r="E310" s="3" t="str">
        <f t="shared" si="16"/>
        <v>January</v>
      </c>
      <c r="F310" s="3">
        <v>8</v>
      </c>
      <c r="G310" s="3" t="b">
        <v>0</v>
      </c>
      <c r="H310" s="3" t="str">
        <f t="shared" si="18"/>
        <v>Friday</v>
      </c>
      <c r="I310" s="3">
        <v>5</v>
      </c>
      <c r="J310" s="3" t="str">
        <f t="shared" si="17"/>
        <v>Foggy</v>
      </c>
      <c r="K310" s="3">
        <v>0.12</v>
      </c>
      <c r="L310" s="6">
        <v>0.68</v>
      </c>
      <c r="M310" s="6">
        <v>0.16669999999999999</v>
      </c>
      <c r="N310" s="6">
        <v>0</v>
      </c>
      <c r="O310" s="6">
        <v>2</v>
      </c>
      <c r="P310" s="6">
        <v>156</v>
      </c>
      <c r="Q310" s="6">
        <v>158</v>
      </c>
      <c r="R310" s="8"/>
      <c r="S310" s="8"/>
      <c r="T310" s="8"/>
      <c r="V310">
        <v>0</v>
      </c>
      <c r="W310">
        <v>57</v>
      </c>
    </row>
    <row r="311" spans="1:23">
      <c r="A311" s="3">
        <v>310</v>
      </c>
      <c r="B311" s="4">
        <v>40557</v>
      </c>
      <c r="C311" s="3">
        <v>1</v>
      </c>
      <c r="D311" s="3">
        <v>0</v>
      </c>
      <c r="E311" s="3" t="str">
        <f t="shared" si="16"/>
        <v>January</v>
      </c>
      <c r="F311" s="3">
        <v>9</v>
      </c>
      <c r="G311" s="3" t="b">
        <v>0</v>
      </c>
      <c r="H311" s="3" t="str">
        <f t="shared" si="18"/>
        <v>Friday</v>
      </c>
      <c r="I311" s="3">
        <v>5</v>
      </c>
      <c r="J311" s="3" t="str">
        <f t="shared" si="17"/>
        <v>Foggy</v>
      </c>
      <c r="K311" s="3">
        <v>0.14000000000000001</v>
      </c>
      <c r="L311" s="6">
        <v>0.69</v>
      </c>
      <c r="M311" s="6">
        <v>0.1515</v>
      </c>
      <c r="N311" s="6">
        <v>0.1343</v>
      </c>
      <c r="O311" s="6">
        <v>0</v>
      </c>
      <c r="P311" s="6">
        <v>117</v>
      </c>
      <c r="Q311" s="6">
        <v>117</v>
      </c>
      <c r="R311" s="8"/>
      <c r="S311" s="8"/>
      <c r="T311" s="8"/>
      <c r="V311">
        <v>1</v>
      </c>
      <c r="W311">
        <v>56</v>
      </c>
    </row>
    <row r="312" spans="1:23">
      <c r="A312" s="3">
        <v>311</v>
      </c>
      <c r="B312" s="4">
        <v>40557</v>
      </c>
      <c r="C312" s="3">
        <v>1</v>
      </c>
      <c r="D312" s="3">
        <v>0</v>
      </c>
      <c r="E312" s="3" t="str">
        <f t="shared" si="16"/>
        <v>January</v>
      </c>
      <c r="F312" s="3">
        <v>10</v>
      </c>
      <c r="G312" s="3" t="b">
        <v>0</v>
      </c>
      <c r="H312" s="3" t="str">
        <f t="shared" si="18"/>
        <v>Friday</v>
      </c>
      <c r="I312" s="3">
        <v>5</v>
      </c>
      <c r="J312" s="3" t="str">
        <f t="shared" si="17"/>
        <v>Foggy</v>
      </c>
      <c r="K312" s="3">
        <v>0.18</v>
      </c>
      <c r="L312" s="6">
        <v>0.55000000000000004</v>
      </c>
      <c r="M312" s="6">
        <v>0.18179999999999999</v>
      </c>
      <c r="N312" s="6">
        <v>0.19400000000000001</v>
      </c>
      <c r="O312" s="6">
        <v>4</v>
      </c>
      <c r="P312" s="6">
        <v>40</v>
      </c>
      <c r="Q312" s="6">
        <v>44</v>
      </c>
      <c r="R312" s="8"/>
      <c r="S312" s="8"/>
      <c r="T312" s="8"/>
      <c r="V312">
        <v>2</v>
      </c>
      <c r="W312">
        <v>55</v>
      </c>
    </row>
    <row r="313" spans="1:23">
      <c r="A313" s="3">
        <v>312</v>
      </c>
      <c r="B313" s="4">
        <v>40557</v>
      </c>
      <c r="C313" s="3">
        <v>1</v>
      </c>
      <c r="D313" s="3">
        <v>0</v>
      </c>
      <c r="E313" s="3" t="str">
        <f t="shared" si="16"/>
        <v>January</v>
      </c>
      <c r="F313" s="3">
        <v>11</v>
      </c>
      <c r="G313" s="3" t="b">
        <v>0</v>
      </c>
      <c r="H313" s="3" t="str">
        <f t="shared" si="18"/>
        <v>Friday</v>
      </c>
      <c r="I313" s="3">
        <v>5</v>
      </c>
      <c r="J313" s="3" t="str">
        <f t="shared" si="17"/>
        <v>Foggy</v>
      </c>
      <c r="K313" s="3">
        <v>0.18</v>
      </c>
      <c r="L313" s="6">
        <v>0.51</v>
      </c>
      <c r="M313" s="6">
        <v>0.16669999999999999</v>
      </c>
      <c r="N313" s="6">
        <v>0.28360000000000002</v>
      </c>
      <c r="O313" s="6">
        <v>6</v>
      </c>
      <c r="P313" s="6">
        <v>47</v>
      </c>
      <c r="Q313" s="6">
        <v>53</v>
      </c>
      <c r="R313" s="8"/>
      <c r="S313" s="8"/>
      <c r="T313" s="8"/>
      <c r="V313">
        <v>3</v>
      </c>
      <c r="W313">
        <v>54</v>
      </c>
    </row>
    <row r="314" spans="1:23">
      <c r="A314" s="3">
        <v>313</v>
      </c>
      <c r="B314" s="4">
        <v>40557</v>
      </c>
      <c r="C314" s="3">
        <v>1</v>
      </c>
      <c r="D314" s="3">
        <v>0</v>
      </c>
      <c r="E314" s="3" t="str">
        <f t="shared" si="16"/>
        <v>January</v>
      </c>
      <c r="F314" s="3">
        <v>12</v>
      </c>
      <c r="G314" s="3" t="b">
        <v>0</v>
      </c>
      <c r="H314" s="3" t="str">
        <f t="shared" si="18"/>
        <v>Friday</v>
      </c>
      <c r="I314" s="3">
        <v>5</v>
      </c>
      <c r="J314" s="3" t="str">
        <f t="shared" si="17"/>
        <v>Foggy</v>
      </c>
      <c r="K314" s="3">
        <v>0.2</v>
      </c>
      <c r="L314" s="6">
        <v>0.44</v>
      </c>
      <c r="M314" s="6">
        <v>0.19700000000000001</v>
      </c>
      <c r="N314" s="6">
        <v>0.25369999999999998</v>
      </c>
      <c r="O314" s="6">
        <v>2</v>
      </c>
      <c r="P314" s="6">
        <v>59</v>
      </c>
      <c r="Q314" s="6">
        <v>61</v>
      </c>
      <c r="R314" s="8"/>
      <c r="S314" s="8"/>
      <c r="T314" s="8"/>
      <c r="V314">
        <v>4</v>
      </c>
      <c r="W314">
        <v>53</v>
      </c>
    </row>
    <row r="315" spans="1:23">
      <c r="A315" s="3">
        <v>314</v>
      </c>
      <c r="B315" s="4">
        <v>40557</v>
      </c>
      <c r="C315" s="3">
        <v>1</v>
      </c>
      <c r="D315" s="3">
        <v>0</v>
      </c>
      <c r="E315" s="3" t="str">
        <f t="shared" si="16"/>
        <v>January</v>
      </c>
      <c r="F315" s="3">
        <v>13</v>
      </c>
      <c r="G315" s="3" t="b">
        <v>0</v>
      </c>
      <c r="H315" s="3" t="str">
        <f t="shared" si="18"/>
        <v>Friday</v>
      </c>
      <c r="I315" s="3">
        <v>5</v>
      </c>
      <c r="J315" s="3" t="str">
        <f t="shared" si="17"/>
        <v>Foggy</v>
      </c>
      <c r="K315" s="3">
        <v>0.22</v>
      </c>
      <c r="L315" s="6">
        <v>0.37</v>
      </c>
      <c r="M315" s="6">
        <v>0.19700000000000001</v>
      </c>
      <c r="N315" s="6">
        <v>0.3881</v>
      </c>
      <c r="O315" s="6">
        <v>4</v>
      </c>
      <c r="P315" s="6">
        <v>73</v>
      </c>
      <c r="Q315" s="6">
        <v>77</v>
      </c>
      <c r="R315" s="8"/>
      <c r="S315" s="8"/>
      <c r="T315" s="8"/>
      <c r="V315">
        <v>6</v>
      </c>
      <c r="W315">
        <v>51</v>
      </c>
    </row>
    <row r="316" spans="1:23">
      <c r="A316" s="3">
        <v>315</v>
      </c>
      <c r="B316" s="4">
        <v>40557</v>
      </c>
      <c r="C316" s="3">
        <v>1</v>
      </c>
      <c r="D316" s="3">
        <v>0</v>
      </c>
      <c r="E316" s="3" t="str">
        <f t="shared" si="16"/>
        <v>January</v>
      </c>
      <c r="F316" s="3">
        <v>14</v>
      </c>
      <c r="G316" s="3" t="b">
        <v>0</v>
      </c>
      <c r="H316" s="3" t="str">
        <f t="shared" si="18"/>
        <v>Friday</v>
      </c>
      <c r="I316" s="3">
        <v>5</v>
      </c>
      <c r="J316" s="3" t="str">
        <f t="shared" si="17"/>
        <v>Foggy</v>
      </c>
      <c r="K316" s="3">
        <v>0.22</v>
      </c>
      <c r="L316" s="6">
        <v>0.41</v>
      </c>
      <c r="M316" s="6">
        <v>0.21210000000000001</v>
      </c>
      <c r="N316" s="6">
        <v>0.28360000000000002</v>
      </c>
      <c r="O316" s="6">
        <v>5</v>
      </c>
      <c r="P316" s="6">
        <v>59</v>
      </c>
      <c r="Q316" s="6">
        <v>64</v>
      </c>
      <c r="R316" s="8"/>
      <c r="S316" s="8"/>
      <c r="T316" s="8"/>
      <c r="V316">
        <v>7</v>
      </c>
      <c r="W316">
        <v>200</v>
      </c>
    </row>
    <row r="317" spans="1:23">
      <c r="A317" s="3">
        <v>316</v>
      </c>
      <c r="B317" s="4">
        <v>40557</v>
      </c>
      <c r="C317" s="3">
        <v>1</v>
      </c>
      <c r="D317" s="3">
        <v>0</v>
      </c>
      <c r="E317" s="3" t="str">
        <f t="shared" si="16"/>
        <v>January</v>
      </c>
      <c r="F317" s="3">
        <v>15</v>
      </c>
      <c r="G317" s="3" t="b">
        <v>0</v>
      </c>
      <c r="H317" s="3" t="str">
        <f t="shared" si="18"/>
        <v>Friday</v>
      </c>
      <c r="I317" s="3">
        <v>5</v>
      </c>
      <c r="J317" s="3" t="str">
        <f t="shared" si="17"/>
        <v>Foggy</v>
      </c>
      <c r="K317" s="3">
        <v>0.24</v>
      </c>
      <c r="L317" s="6">
        <v>0.38</v>
      </c>
      <c r="M317" s="6">
        <v>0.2424</v>
      </c>
      <c r="N317" s="6">
        <v>0.16420000000000001</v>
      </c>
      <c r="O317" s="6">
        <v>9</v>
      </c>
      <c r="P317" s="6">
        <v>59</v>
      </c>
      <c r="Q317" s="6">
        <v>68</v>
      </c>
      <c r="R317" s="8"/>
      <c r="S317" s="8"/>
      <c r="T317" s="8"/>
      <c r="U317">
        <v>58</v>
      </c>
      <c r="W317">
        <v>271</v>
      </c>
    </row>
    <row r="318" spans="1:23">
      <c r="A318" s="3">
        <v>317</v>
      </c>
      <c r="B318" s="4">
        <v>40557</v>
      </c>
      <c r="C318" s="3">
        <v>1</v>
      </c>
      <c r="D318" s="3">
        <v>0</v>
      </c>
      <c r="E318" s="3" t="str">
        <f t="shared" si="16"/>
        <v>January</v>
      </c>
      <c r="F318" s="3">
        <v>16</v>
      </c>
      <c r="G318" s="3" t="b">
        <v>0</v>
      </c>
      <c r="H318" s="3" t="str">
        <f t="shared" si="18"/>
        <v>Friday</v>
      </c>
      <c r="I318" s="3">
        <v>5</v>
      </c>
      <c r="J318" s="3" t="str">
        <f t="shared" si="17"/>
        <v>Foggy</v>
      </c>
      <c r="K318" s="3">
        <v>0.22</v>
      </c>
      <c r="L318" s="6">
        <v>0.41</v>
      </c>
      <c r="M318" s="6">
        <v>0.2424</v>
      </c>
      <c r="N318" s="6">
        <v>0.1045</v>
      </c>
      <c r="O318" s="6">
        <v>3</v>
      </c>
      <c r="P318" s="6">
        <v>87</v>
      </c>
      <c r="Q318" s="6">
        <v>90</v>
      </c>
      <c r="R318" s="8"/>
      <c r="S318" s="8"/>
      <c r="T318" s="8"/>
      <c r="V318">
        <v>1</v>
      </c>
      <c r="W318">
        <v>57</v>
      </c>
    </row>
    <row r="319" spans="1:23">
      <c r="A319" s="3">
        <v>318</v>
      </c>
      <c r="B319" s="4">
        <v>40557</v>
      </c>
      <c r="C319" s="3">
        <v>1</v>
      </c>
      <c r="D319" s="3">
        <v>0</v>
      </c>
      <c r="E319" s="3" t="str">
        <f t="shared" si="16"/>
        <v>January</v>
      </c>
      <c r="F319" s="3">
        <v>17</v>
      </c>
      <c r="G319" s="3" t="b">
        <v>0</v>
      </c>
      <c r="H319" s="3" t="str">
        <f t="shared" si="18"/>
        <v>Friday</v>
      </c>
      <c r="I319" s="3">
        <v>5</v>
      </c>
      <c r="J319" s="3" t="str">
        <f t="shared" si="17"/>
        <v>Foggy</v>
      </c>
      <c r="K319" s="3">
        <v>0.22</v>
      </c>
      <c r="L319" s="6">
        <v>0.41</v>
      </c>
      <c r="M319" s="6">
        <v>0.2273</v>
      </c>
      <c r="N319" s="6">
        <v>0.16420000000000001</v>
      </c>
      <c r="O319" s="6">
        <v>4</v>
      </c>
      <c r="P319" s="6">
        <v>155</v>
      </c>
      <c r="Q319" s="6">
        <v>159</v>
      </c>
      <c r="R319" s="8"/>
      <c r="S319" s="8"/>
      <c r="T319" s="8"/>
      <c r="V319">
        <v>2</v>
      </c>
      <c r="W319">
        <v>56</v>
      </c>
    </row>
    <row r="320" spans="1:23">
      <c r="A320" s="3">
        <v>319</v>
      </c>
      <c r="B320" s="4">
        <v>40557</v>
      </c>
      <c r="C320" s="3">
        <v>1</v>
      </c>
      <c r="D320" s="3">
        <v>0</v>
      </c>
      <c r="E320" s="3" t="str">
        <f t="shared" si="16"/>
        <v>January</v>
      </c>
      <c r="F320" s="3">
        <v>18</v>
      </c>
      <c r="G320" s="3" t="b">
        <v>0</v>
      </c>
      <c r="H320" s="3" t="str">
        <f t="shared" si="18"/>
        <v>Friday</v>
      </c>
      <c r="I320" s="3">
        <v>5</v>
      </c>
      <c r="J320" s="3" t="str">
        <f t="shared" si="17"/>
        <v>Foggy</v>
      </c>
      <c r="K320" s="3">
        <v>0.2</v>
      </c>
      <c r="L320" s="6">
        <v>0.47</v>
      </c>
      <c r="M320" s="6">
        <v>0.2576</v>
      </c>
      <c r="N320" s="6">
        <v>0</v>
      </c>
      <c r="O320" s="6">
        <v>5</v>
      </c>
      <c r="P320" s="6">
        <v>134</v>
      </c>
      <c r="Q320" s="6">
        <v>139</v>
      </c>
      <c r="R320" s="8"/>
      <c r="S320" s="8"/>
      <c r="T320" s="8"/>
      <c r="V320">
        <v>3</v>
      </c>
      <c r="W320">
        <v>55</v>
      </c>
    </row>
    <row r="321" spans="1:23">
      <c r="A321" s="3">
        <v>320</v>
      </c>
      <c r="B321" s="4">
        <v>40557</v>
      </c>
      <c r="C321" s="3">
        <v>1</v>
      </c>
      <c r="D321" s="3">
        <v>0</v>
      </c>
      <c r="E321" s="3" t="str">
        <f t="shared" si="16"/>
        <v>January</v>
      </c>
      <c r="F321" s="3">
        <v>19</v>
      </c>
      <c r="G321" s="3" t="b">
        <v>0</v>
      </c>
      <c r="H321" s="3" t="str">
        <f t="shared" si="18"/>
        <v>Friday</v>
      </c>
      <c r="I321" s="3">
        <v>5</v>
      </c>
      <c r="J321" s="3" t="str">
        <f t="shared" si="17"/>
        <v>Foggy</v>
      </c>
      <c r="K321" s="3">
        <v>0.16</v>
      </c>
      <c r="L321" s="6">
        <v>0.59</v>
      </c>
      <c r="M321" s="6">
        <v>0.19700000000000001</v>
      </c>
      <c r="N321" s="6">
        <v>8.9599999999999999E-2</v>
      </c>
      <c r="O321" s="6">
        <v>3</v>
      </c>
      <c r="P321" s="6">
        <v>89</v>
      </c>
      <c r="Q321" s="6">
        <v>92</v>
      </c>
      <c r="R321" s="8"/>
      <c r="S321" s="8"/>
      <c r="T321" s="8"/>
      <c r="V321">
        <v>6</v>
      </c>
      <c r="W321">
        <v>52</v>
      </c>
    </row>
    <row r="322" spans="1:23">
      <c r="A322" s="3">
        <v>321</v>
      </c>
      <c r="B322" s="4">
        <v>40557</v>
      </c>
      <c r="C322" s="3">
        <v>1</v>
      </c>
      <c r="D322" s="3">
        <v>0</v>
      </c>
      <c r="E322" s="3" t="str">
        <f t="shared" si="16"/>
        <v>January</v>
      </c>
      <c r="F322" s="3">
        <v>20</v>
      </c>
      <c r="G322" s="3" t="b">
        <v>0</v>
      </c>
      <c r="H322" s="3" t="str">
        <f t="shared" si="18"/>
        <v>Friday</v>
      </c>
      <c r="I322" s="3">
        <v>5</v>
      </c>
      <c r="J322" s="3" t="str">
        <f t="shared" si="17"/>
        <v>Foggy</v>
      </c>
      <c r="K322" s="3">
        <v>0.18</v>
      </c>
      <c r="L322" s="6">
        <v>0.59</v>
      </c>
      <c r="M322" s="6">
        <v>0.2424</v>
      </c>
      <c r="N322" s="6">
        <v>0</v>
      </c>
      <c r="O322" s="6">
        <v>0</v>
      </c>
      <c r="P322" s="6">
        <v>68</v>
      </c>
      <c r="Q322" s="6">
        <v>68</v>
      </c>
      <c r="R322" s="8"/>
      <c r="S322" s="8"/>
      <c r="T322" s="8"/>
      <c r="V322">
        <v>7</v>
      </c>
      <c r="W322">
        <v>51</v>
      </c>
    </row>
    <row r="323" spans="1:23">
      <c r="A323" s="3">
        <v>322</v>
      </c>
      <c r="B323" s="4">
        <v>40557</v>
      </c>
      <c r="C323" s="3">
        <v>1</v>
      </c>
      <c r="D323" s="3">
        <v>0</v>
      </c>
      <c r="E323" s="3" t="str">
        <f t="shared" ref="E323:E386" si="19">TEXT(B323,"MMMM")</f>
        <v>January</v>
      </c>
      <c r="F323" s="3">
        <v>21</v>
      </c>
      <c r="G323" s="3" t="b">
        <v>0</v>
      </c>
      <c r="H323" s="3" t="str">
        <f t="shared" si="18"/>
        <v>Friday</v>
      </c>
      <c r="I323" s="3">
        <v>5</v>
      </c>
      <c r="J323" s="3" t="str">
        <f t="shared" si="17"/>
        <v>Foggy</v>
      </c>
      <c r="K323" s="3">
        <v>0.16</v>
      </c>
      <c r="L323" s="6">
        <v>0.69</v>
      </c>
      <c r="M323" s="6">
        <v>0.2273</v>
      </c>
      <c r="N323" s="6">
        <v>0</v>
      </c>
      <c r="O323" s="6">
        <v>4</v>
      </c>
      <c r="P323" s="6">
        <v>48</v>
      </c>
      <c r="Q323" s="6">
        <v>52</v>
      </c>
      <c r="R323" s="8"/>
      <c r="S323" s="8"/>
      <c r="T323" s="8"/>
      <c r="U323">
        <v>59</v>
      </c>
      <c r="W323">
        <v>694</v>
      </c>
    </row>
    <row r="324" spans="1:23">
      <c r="A324" s="3">
        <v>323</v>
      </c>
      <c r="B324" s="4">
        <v>40557</v>
      </c>
      <c r="C324" s="3">
        <v>1</v>
      </c>
      <c r="D324" s="3">
        <v>0</v>
      </c>
      <c r="E324" s="3" t="str">
        <f t="shared" si="19"/>
        <v>January</v>
      </c>
      <c r="F324" s="3">
        <v>22</v>
      </c>
      <c r="G324" s="3" t="b">
        <v>0</v>
      </c>
      <c r="H324" s="3" t="str">
        <f t="shared" si="18"/>
        <v>Friday</v>
      </c>
      <c r="I324" s="3">
        <v>5</v>
      </c>
      <c r="J324" s="3" t="str">
        <f t="shared" si="17"/>
        <v>Foggy</v>
      </c>
      <c r="K324" s="3">
        <v>0.16</v>
      </c>
      <c r="L324" s="6">
        <v>0.69</v>
      </c>
      <c r="M324" s="6">
        <v>0.2273</v>
      </c>
      <c r="N324" s="6">
        <v>0</v>
      </c>
      <c r="O324" s="6">
        <v>2</v>
      </c>
      <c r="P324" s="6">
        <v>34</v>
      </c>
      <c r="Q324" s="6">
        <v>36</v>
      </c>
      <c r="R324" s="8"/>
      <c r="S324" s="8"/>
      <c r="T324" s="8"/>
      <c r="V324">
        <v>2</v>
      </c>
      <c r="W324">
        <v>114</v>
      </c>
    </row>
    <row r="325" spans="1:23">
      <c r="A325" s="3">
        <v>324</v>
      </c>
      <c r="B325" s="4">
        <v>40557</v>
      </c>
      <c r="C325" s="3">
        <v>1</v>
      </c>
      <c r="D325" s="3">
        <v>0</v>
      </c>
      <c r="E325" s="3" t="str">
        <f t="shared" si="19"/>
        <v>January</v>
      </c>
      <c r="F325" s="3">
        <v>23</v>
      </c>
      <c r="G325" s="3" t="b">
        <v>0</v>
      </c>
      <c r="H325" s="3" t="str">
        <f t="shared" si="18"/>
        <v>Friday</v>
      </c>
      <c r="I325" s="3">
        <v>5</v>
      </c>
      <c r="J325" s="3" t="str">
        <f t="shared" si="17"/>
        <v>Foggy</v>
      </c>
      <c r="K325" s="3">
        <v>0.18</v>
      </c>
      <c r="L325" s="6">
        <v>0.55000000000000004</v>
      </c>
      <c r="M325" s="6">
        <v>0.2424</v>
      </c>
      <c r="N325" s="6">
        <v>0</v>
      </c>
      <c r="O325" s="6">
        <v>1</v>
      </c>
      <c r="P325" s="6">
        <v>26</v>
      </c>
      <c r="Q325" s="6">
        <v>27</v>
      </c>
      <c r="R325" s="8"/>
      <c r="S325" s="8"/>
      <c r="T325" s="8"/>
      <c r="V325">
        <v>4</v>
      </c>
      <c r="W325">
        <v>165</v>
      </c>
    </row>
    <row r="326" spans="1:23">
      <c r="A326" s="3">
        <v>325</v>
      </c>
      <c r="B326" s="4">
        <v>40558</v>
      </c>
      <c r="C326" s="3">
        <v>1</v>
      </c>
      <c r="D326" s="3">
        <v>0</v>
      </c>
      <c r="E326" s="3" t="str">
        <f t="shared" si="19"/>
        <v>January</v>
      </c>
      <c r="F326" s="3">
        <v>0</v>
      </c>
      <c r="G326" s="3" t="b">
        <v>0</v>
      </c>
      <c r="H326" s="3" t="str">
        <f t="shared" si="18"/>
        <v>Saturday</v>
      </c>
      <c r="I326" s="3">
        <v>6</v>
      </c>
      <c r="J326" s="3" t="str">
        <f t="shared" si="17"/>
        <v>Foggy</v>
      </c>
      <c r="K326" s="3">
        <v>0.18</v>
      </c>
      <c r="L326" s="6">
        <v>0.55000000000000004</v>
      </c>
      <c r="M326" s="6">
        <v>0.2424</v>
      </c>
      <c r="N326" s="6">
        <v>0</v>
      </c>
      <c r="O326" s="6">
        <v>3</v>
      </c>
      <c r="P326" s="6">
        <v>25</v>
      </c>
      <c r="Q326" s="6">
        <v>28</v>
      </c>
      <c r="R326" s="8"/>
      <c r="S326" s="8"/>
      <c r="T326" s="8"/>
      <c r="V326">
        <v>6</v>
      </c>
      <c r="W326">
        <v>212</v>
      </c>
    </row>
    <row r="327" spans="1:23">
      <c r="A327" s="3">
        <v>326</v>
      </c>
      <c r="B327" s="4">
        <v>40558</v>
      </c>
      <c r="C327" s="3">
        <v>1</v>
      </c>
      <c r="D327" s="3">
        <v>0</v>
      </c>
      <c r="E327" s="3" t="str">
        <f t="shared" si="19"/>
        <v>January</v>
      </c>
      <c r="F327" s="3">
        <v>1</v>
      </c>
      <c r="G327" s="3" t="b">
        <v>0</v>
      </c>
      <c r="H327" s="3" t="str">
        <f t="shared" si="18"/>
        <v>Saturday</v>
      </c>
      <c r="I327" s="3">
        <v>6</v>
      </c>
      <c r="J327" s="3" t="str">
        <f t="shared" ref="J327:J390" si="20">IF($K327&lt;=0.24,"Foggy",IF($K327&gt;0.24,"Clear"))</f>
        <v>Foggy</v>
      </c>
      <c r="K327" s="3">
        <v>0.16</v>
      </c>
      <c r="L327" s="6">
        <v>0.59</v>
      </c>
      <c r="M327" s="6">
        <v>0.19700000000000001</v>
      </c>
      <c r="N327" s="6">
        <v>8.9599999999999999E-2</v>
      </c>
      <c r="O327" s="6">
        <v>2</v>
      </c>
      <c r="P327" s="6">
        <v>18</v>
      </c>
      <c r="Q327" s="6">
        <v>20</v>
      </c>
      <c r="R327" s="8"/>
      <c r="S327" s="8"/>
      <c r="T327" s="8"/>
      <c r="V327">
        <v>7</v>
      </c>
      <c r="W327">
        <v>52</v>
      </c>
    </row>
    <row r="328" spans="1:23">
      <c r="A328" s="3">
        <v>327</v>
      </c>
      <c r="B328" s="4">
        <v>40558</v>
      </c>
      <c r="C328" s="3">
        <v>1</v>
      </c>
      <c r="D328" s="3">
        <v>0</v>
      </c>
      <c r="E328" s="3" t="str">
        <f t="shared" si="19"/>
        <v>January</v>
      </c>
      <c r="F328" s="3">
        <v>2</v>
      </c>
      <c r="G328" s="3" t="b">
        <v>0</v>
      </c>
      <c r="H328" s="3" t="str">
        <f t="shared" si="18"/>
        <v>Saturday</v>
      </c>
      <c r="I328" s="3">
        <v>6</v>
      </c>
      <c r="J328" s="3" t="str">
        <f t="shared" si="20"/>
        <v>Foggy</v>
      </c>
      <c r="K328" s="3">
        <v>0.16</v>
      </c>
      <c r="L328" s="6">
        <v>0.59</v>
      </c>
      <c r="M328" s="6">
        <v>0.19700000000000001</v>
      </c>
      <c r="N328" s="6">
        <v>8.9599999999999999E-2</v>
      </c>
      <c r="O328" s="6">
        <v>0</v>
      </c>
      <c r="P328" s="6">
        <v>12</v>
      </c>
      <c r="Q328" s="6">
        <v>12</v>
      </c>
      <c r="R328" s="8"/>
      <c r="S328" s="8"/>
      <c r="T328" s="8"/>
      <c r="V328">
        <v>8</v>
      </c>
      <c r="W328">
        <v>51</v>
      </c>
    </row>
    <row r="329" spans="1:23">
      <c r="A329" s="3">
        <v>328</v>
      </c>
      <c r="B329" s="4">
        <v>40558</v>
      </c>
      <c r="C329" s="3">
        <v>1</v>
      </c>
      <c r="D329" s="3">
        <v>0</v>
      </c>
      <c r="E329" s="3" t="str">
        <f t="shared" si="19"/>
        <v>January</v>
      </c>
      <c r="F329" s="3">
        <v>3</v>
      </c>
      <c r="G329" s="3" t="b">
        <v>0</v>
      </c>
      <c r="H329" s="3" t="str">
        <f t="shared" ref="H329:H392" si="21">TEXT(B329,"dddd")</f>
        <v>Saturday</v>
      </c>
      <c r="I329" s="3">
        <v>6</v>
      </c>
      <c r="J329" s="3" t="str">
        <f t="shared" si="20"/>
        <v>Foggy</v>
      </c>
      <c r="K329" s="3">
        <v>0.16</v>
      </c>
      <c r="L329" s="6">
        <v>0.59</v>
      </c>
      <c r="M329" s="6">
        <v>0.2273</v>
      </c>
      <c r="N329" s="6">
        <v>0</v>
      </c>
      <c r="O329" s="6">
        <v>1</v>
      </c>
      <c r="P329" s="6">
        <v>7</v>
      </c>
      <c r="Q329" s="6">
        <v>8</v>
      </c>
      <c r="R329" s="8"/>
      <c r="S329" s="8"/>
      <c r="T329" s="8"/>
      <c r="V329">
        <v>9</v>
      </c>
      <c r="W329">
        <v>100</v>
      </c>
    </row>
    <row r="330" spans="1:23">
      <c r="A330" s="3">
        <v>329</v>
      </c>
      <c r="B330" s="4">
        <v>40558</v>
      </c>
      <c r="C330" s="3">
        <v>1</v>
      </c>
      <c r="D330" s="3">
        <v>0</v>
      </c>
      <c r="E330" s="3" t="str">
        <f t="shared" si="19"/>
        <v>January</v>
      </c>
      <c r="F330" s="3">
        <v>4</v>
      </c>
      <c r="G330" s="3" t="b">
        <v>0</v>
      </c>
      <c r="H330" s="3" t="str">
        <f t="shared" si="21"/>
        <v>Saturday</v>
      </c>
      <c r="I330" s="3">
        <v>6</v>
      </c>
      <c r="J330" s="3" t="str">
        <f t="shared" si="20"/>
        <v>Foggy</v>
      </c>
      <c r="K330" s="3">
        <v>0.16</v>
      </c>
      <c r="L330" s="6">
        <v>0.59</v>
      </c>
      <c r="M330" s="6">
        <v>0.2273</v>
      </c>
      <c r="N330" s="6">
        <v>0</v>
      </c>
      <c r="O330" s="6">
        <v>0</v>
      </c>
      <c r="P330" s="6">
        <v>5</v>
      </c>
      <c r="Q330" s="6">
        <v>5</v>
      </c>
      <c r="R330" s="8"/>
      <c r="S330" s="8"/>
      <c r="T330" s="8"/>
      <c r="U330">
        <v>60</v>
      </c>
      <c r="W330">
        <v>382</v>
      </c>
    </row>
    <row r="331" spans="1:23">
      <c r="A331" s="3">
        <v>330</v>
      </c>
      <c r="B331" s="4">
        <v>40558</v>
      </c>
      <c r="C331" s="3">
        <v>1</v>
      </c>
      <c r="D331" s="3">
        <v>0</v>
      </c>
      <c r="E331" s="3" t="str">
        <f t="shared" si="19"/>
        <v>January</v>
      </c>
      <c r="F331" s="3">
        <v>5</v>
      </c>
      <c r="G331" s="3" t="b">
        <v>0</v>
      </c>
      <c r="H331" s="3" t="str">
        <f t="shared" si="21"/>
        <v>Saturday</v>
      </c>
      <c r="I331" s="3">
        <v>6</v>
      </c>
      <c r="J331" s="3" t="str">
        <f t="shared" si="20"/>
        <v>Foggy</v>
      </c>
      <c r="K331" s="3">
        <v>0.16</v>
      </c>
      <c r="L331" s="6">
        <v>0.59</v>
      </c>
      <c r="M331" s="6">
        <v>0.2273</v>
      </c>
      <c r="N331" s="6">
        <v>0</v>
      </c>
      <c r="O331" s="6">
        <v>0</v>
      </c>
      <c r="P331" s="6">
        <v>1</v>
      </c>
      <c r="Q331" s="6">
        <v>1</v>
      </c>
      <c r="R331" s="8"/>
      <c r="S331" s="8"/>
      <c r="T331" s="8"/>
      <c r="V331">
        <v>2</v>
      </c>
      <c r="W331">
        <v>116</v>
      </c>
    </row>
    <row r="332" spans="1:23">
      <c r="A332" s="3">
        <v>331</v>
      </c>
      <c r="B332" s="4">
        <v>40558</v>
      </c>
      <c r="C332" s="3">
        <v>1</v>
      </c>
      <c r="D332" s="3">
        <v>0</v>
      </c>
      <c r="E332" s="3" t="str">
        <f t="shared" si="19"/>
        <v>January</v>
      </c>
      <c r="F332" s="3">
        <v>6</v>
      </c>
      <c r="G332" s="3" t="b">
        <v>0</v>
      </c>
      <c r="H332" s="3" t="str">
        <f t="shared" si="21"/>
        <v>Saturday</v>
      </c>
      <c r="I332" s="3">
        <v>6</v>
      </c>
      <c r="J332" s="3" t="str">
        <f t="shared" si="20"/>
        <v>Foggy</v>
      </c>
      <c r="K332" s="3">
        <v>0.14000000000000001</v>
      </c>
      <c r="L332" s="6">
        <v>0.63</v>
      </c>
      <c r="M332" s="6">
        <v>0.16669999999999999</v>
      </c>
      <c r="N332" s="6">
        <v>0.1045</v>
      </c>
      <c r="O332" s="6">
        <v>1</v>
      </c>
      <c r="P332" s="6">
        <v>2</v>
      </c>
      <c r="Q332" s="6">
        <v>3</v>
      </c>
      <c r="R332" s="8"/>
      <c r="S332" s="8"/>
      <c r="T332" s="8"/>
      <c r="V332">
        <v>4</v>
      </c>
      <c r="W332">
        <v>56</v>
      </c>
    </row>
    <row r="333" spans="1:23">
      <c r="A333" s="3">
        <v>332</v>
      </c>
      <c r="B333" s="4">
        <v>40558</v>
      </c>
      <c r="C333" s="3">
        <v>1</v>
      </c>
      <c r="D333" s="3">
        <v>0</v>
      </c>
      <c r="E333" s="3" t="str">
        <f t="shared" si="19"/>
        <v>January</v>
      </c>
      <c r="F333" s="3">
        <v>7</v>
      </c>
      <c r="G333" s="3" t="b">
        <v>0</v>
      </c>
      <c r="H333" s="3" t="str">
        <f t="shared" si="21"/>
        <v>Saturday</v>
      </c>
      <c r="I333" s="3">
        <v>6</v>
      </c>
      <c r="J333" s="3" t="str">
        <f t="shared" si="20"/>
        <v>Foggy</v>
      </c>
      <c r="K333" s="3">
        <v>0.14000000000000001</v>
      </c>
      <c r="L333" s="6">
        <v>0.63</v>
      </c>
      <c r="M333" s="6">
        <v>0.21210000000000001</v>
      </c>
      <c r="N333" s="6">
        <v>0</v>
      </c>
      <c r="O333" s="6">
        <v>1</v>
      </c>
      <c r="P333" s="6">
        <v>9</v>
      </c>
      <c r="Q333" s="6">
        <v>10</v>
      </c>
      <c r="R333" s="8"/>
      <c r="S333" s="8"/>
      <c r="T333" s="8"/>
      <c r="V333">
        <v>5</v>
      </c>
      <c r="W333">
        <v>55</v>
      </c>
    </row>
    <row r="334" spans="1:23">
      <c r="A334" s="3">
        <v>333</v>
      </c>
      <c r="B334" s="4">
        <v>40558</v>
      </c>
      <c r="C334" s="3">
        <v>1</v>
      </c>
      <c r="D334" s="3">
        <v>0</v>
      </c>
      <c r="E334" s="3" t="str">
        <f t="shared" si="19"/>
        <v>January</v>
      </c>
      <c r="F334" s="3">
        <v>8</v>
      </c>
      <c r="G334" s="3" t="b">
        <v>0</v>
      </c>
      <c r="H334" s="3" t="str">
        <f t="shared" si="21"/>
        <v>Saturday</v>
      </c>
      <c r="I334" s="3">
        <v>6</v>
      </c>
      <c r="J334" s="3" t="str">
        <f t="shared" si="20"/>
        <v>Foggy</v>
      </c>
      <c r="K334" s="3">
        <v>0.14000000000000001</v>
      </c>
      <c r="L334" s="6">
        <v>0.63</v>
      </c>
      <c r="M334" s="6">
        <v>0.1515</v>
      </c>
      <c r="N334" s="6">
        <v>0.1343</v>
      </c>
      <c r="O334" s="6">
        <v>1</v>
      </c>
      <c r="P334" s="6">
        <v>22</v>
      </c>
      <c r="Q334" s="6">
        <v>23</v>
      </c>
      <c r="R334" s="8"/>
      <c r="S334" s="8"/>
      <c r="T334" s="8"/>
      <c r="V334">
        <v>6</v>
      </c>
      <c r="W334">
        <v>54</v>
      </c>
    </row>
    <row r="335" spans="1:23">
      <c r="A335" s="3">
        <v>334</v>
      </c>
      <c r="B335" s="4">
        <v>40558</v>
      </c>
      <c r="C335" s="3">
        <v>1</v>
      </c>
      <c r="D335" s="3">
        <v>0</v>
      </c>
      <c r="E335" s="3" t="str">
        <f t="shared" si="19"/>
        <v>January</v>
      </c>
      <c r="F335" s="3">
        <v>9</v>
      </c>
      <c r="G335" s="3" t="b">
        <v>0</v>
      </c>
      <c r="H335" s="3" t="str">
        <f t="shared" si="21"/>
        <v>Saturday</v>
      </c>
      <c r="I335" s="3">
        <v>6</v>
      </c>
      <c r="J335" s="3" t="str">
        <f t="shared" si="20"/>
        <v>Foggy</v>
      </c>
      <c r="K335" s="3">
        <v>0.16</v>
      </c>
      <c r="L335" s="6">
        <v>0.64</v>
      </c>
      <c r="M335" s="6">
        <v>0.18179999999999999</v>
      </c>
      <c r="N335" s="6">
        <v>0.1343</v>
      </c>
      <c r="O335" s="6">
        <v>2</v>
      </c>
      <c r="P335" s="6">
        <v>31</v>
      </c>
      <c r="Q335" s="6">
        <v>33</v>
      </c>
      <c r="R335" s="8"/>
      <c r="S335" s="8"/>
      <c r="T335" s="8"/>
      <c r="V335">
        <v>8</v>
      </c>
      <c r="W335">
        <v>52</v>
      </c>
    </row>
    <row r="336" spans="1:23">
      <c r="A336" s="3">
        <v>335</v>
      </c>
      <c r="B336" s="4">
        <v>40558</v>
      </c>
      <c r="C336" s="3">
        <v>1</v>
      </c>
      <c r="D336" s="3">
        <v>0</v>
      </c>
      <c r="E336" s="3" t="str">
        <f t="shared" si="19"/>
        <v>January</v>
      </c>
      <c r="F336" s="3">
        <v>10</v>
      </c>
      <c r="G336" s="3" t="b">
        <v>0</v>
      </c>
      <c r="H336" s="3" t="str">
        <f t="shared" si="21"/>
        <v>Saturday</v>
      </c>
      <c r="I336" s="3">
        <v>6</v>
      </c>
      <c r="J336" s="3" t="str">
        <f t="shared" si="20"/>
        <v>Foggy</v>
      </c>
      <c r="K336" s="3">
        <v>0.18</v>
      </c>
      <c r="L336" s="6">
        <v>0.59</v>
      </c>
      <c r="M336" s="6">
        <v>0.19700000000000001</v>
      </c>
      <c r="N336" s="6">
        <v>0.16420000000000001</v>
      </c>
      <c r="O336" s="6">
        <v>2</v>
      </c>
      <c r="P336" s="6">
        <v>57</v>
      </c>
      <c r="Q336" s="6">
        <v>59</v>
      </c>
      <c r="R336" s="8"/>
      <c r="S336" s="8"/>
      <c r="T336" s="8"/>
      <c r="V336">
        <v>11</v>
      </c>
      <c r="W336">
        <v>49</v>
      </c>
    </row>
    <row r="337" spans="1:23">
      <c r="A337" s="3">
        <v>336</v>
      </c>
      <c r="B337" s="4">
        <v>40558</v>
      </c>
      <c r="C337" s="3">
        <v>1</v>
      </c>
      <c r="D337" s="3">
        <v>0</v>
      </c>
      <c r="E337" s="3" t="str">
        <f t="shared" si="19"/>
        <v>January</v>
      </c>
      <c r="F337" s="3">
        <v>11</v>
      </c>
      <c r="G337" s="3" t="b">
        <v>0</v>
      </c>
      <c r="H337" s="3" t="str">
        <f t="shared" si="21"/>
        <v>Saturday</v>
      </c>
      <c r="I337" s="3">
        <v>6</v>
      </c>
      <c r="J337" s="3" t="str">
        <f t="shared" si="20"/>
        <v>Foggy</v>
      </c>
      <c r="K337" s="3">
        <v>0.2</v>
      </c>
      <c r="L337" s="6">
        <v>0.55000000000000004</v>
      </c>
      <c r="M337" s="6">
        <v>0.19700000000000001</v>
      </c>
      <c r="N337" s="6">
        <v>0.22389999999999999</v>
      </c>
      <c r="O337" s="6">
        <v>18</v>
      </c>
      <c r="P337" s="6">
        <v>54</v>
      </c>
      <c r="Q337" s="6">
        <v>72</v>
      </c>
      <c r="R337" s="8"/>
      <c r="S337" s="8"/>
      <c r="T337" s="8"/>
      <c r="U337">
        <v>61</v>
      </c>
      <c r="W337">
        <v>545</v>
      </c>
    </row>
    <row r="338" spans="1:23">
      <c r="A338" s="3">
        <v>337</v>
      </c>
      <c r="B338" s="4">
        <v>40558</v>
      </c>
      <c r="C338" s="3">
        <v>1</v>
      </c>
      <c r="D338" s="3">
        <v>0</v>
      </c>
      <c r="E338" s="3" t="str">
        <f t="shared" si="19"/>
        <v>January</v>
      </c>
      <c r="F338" s="3">
        <v>12</v>
      </c>
      <c r="G338" s="3" t="b">
        <v>0</v>
      </c>
      <c r="H338" s="3" t="str">
        <f t="shared" si="21"/>
        <v>Saturday</v>
      </c>
      <c r="I338" s="3">
        <v>6</v>
      </c>
      <c r="J338" s="3" t="str">
        <f t="shared" si="20"/>
        <v>Foggy</v>
      </c>
      <c r="K338" s="3">
        <v>0.24</v>
      </c>
      <c r="L338" s="6">
        <v>0.48</v>
      </c>
      <c r="M338" s="6">
        <v>0.2273</v>
      </c>
      <c r="N338" s="6">
        <v>0.22389999999999999</v>
      </c>
      <c r="O338" s="6">
        <v>15</v>
      </c>
      <c r="P338" s="6">
        <v>74</v>
      </c>
      <c r="Q338" s="6">
        <v>89</v>
      </c>
      <c r="R338" s="8"/>
      <c r="S338" s="8"/>
      <c r="T338" s="8"/>
      <c r="V338">
        <v>0</v>
      </c>
      <c r="W338">
        <v>61</v>
      </c>
    </row>
    <row r="339" spans="1:23">
      <c r="A339" s="3">
        <v>338</v>
      </c>
      <c r="B339" s="4">
        <v>40558</v>
      </c>
      <c r="C339" s="3">
        <v>1</v>
      </c>
      <c r="D339" s="3">
        <v>0</v>
      </c>
      <c r="E339" s="3" t="str">
        <f t="shared" si="19"/>
        <v>January</v>
      </c>
      <c r="F339" s="3">
        <v>13</v>
      </c>
      <c r="G339" s="3" t="b">
        <v>0</v>
      </c>
      <c r="H339" s="3" t="str">
        <f t="shared" si="21"/>
        <v>Saturday</v>
      </c>
      <c r="I339" s="3">
        <v>6</v>
      </c>
      <c r="J339" s="3" t="str">
        <f t="shared" si="20"/>
        <v>Clear</v>
      </c>
      <c r="K339" s="3">
        <v>0.28000000000000003</v>
      </c>
      <c r="L339" s="6">
        <v>0.38</v>
      </c>
      <c r="M339" s="6">
        <v>0.2576</v>
      </c>
      <c r="N339" s="6">
        <v>0.29849999999999999</v>
      </c>
      <c r="O339" s="6">
        <v>21</v>
      </c>
      <c r="P339" s="6">
        <v>80</v>
      </c>
      <c r="Q339" s="6">
        <v>101</v>
      </c>
      <c r="R339" s="8"/>
      <c r="S339" s="8"/>
      <c r="T339" s="8"/>
      <c r="V339">
        <v>2</v>
      </c>
      <c r="W339">
        <v>118</v>
      </c>
    </row>
    <row r="340" spans="1:23">
      <c r="A340" s="3">
        <v>339</v>
      </c>
      <c r="B340" s="4">
        <v>40558</v>
      </c>
      <c r="C340" s="3">
        <v>1</v>
      </c>
      <c r="D340" s="3">
        <v>0</v>
      </c>
      <c r="E340" s="3" t="str">
        <f t="shared" si="19"/>
        <v>January</v>
      </c>
      <c r="F340" s="3">
        <v>14</v>
      </c>
      <c r="G340" s="3" t="b">
        <v>0</v>
      </c>
      <c r="H340" s="3" t="str">
        <f t="shared" si="21"/>
        <v>Saturday</v>
      </c>
      <c r="I340" s="3">
        <v>6</v>
      </c>
      <c r="J340" s="3" t="str">
        <f t="shared" si="20"/>
        <v>Clear</v>
      </c>
      <c r="K340" s="3">
        <v>0.3</v>
      </c>
      <c r="L340" s="6">
        <v>0.39</v>
      </c>
      <c r="M340" s="6">
        <v>0.28789999999999999</v>
      </c>
      <c r="N340" s="6">
        <v>0.28360000000000002</v>
      </c>
      <c r="O340" s="6">
        <v>26</v>
      </c>
      <c r="P340" s="6">
        <v>92</v>
      </c>
      <c r="Q340" s="6">
        <v>118</v>
      </c>
      <c r="R340" s="8"/>
      <c r="S340" s="8"/>
      <c r="T340" s="8"/>
      <c r="V340">
        <v>4</v>
      </c>
      <c r="W340">
        <v>57</v>
      </c>
    </row>
    <row r="341" spans="1:23">
      <c r="A341" s="3">
        <v>340</v>
      </c>
      <c r="B341" s="4">
        <v>40558</v>
      </c>
      <c r="C341" s="3">
        <v>1</v>
      </c>
      <c r="D341" s="3">
        <v>0</v>
      </c>
      <c r="E341" s="3" t="str">
        <f t="shared" si="19"/>
        <v>January</v>
      </c>
      <c r="F341" s="3">
        <v>15</v>
      </c>
      <c r="G341" s="3" t="b">
        <v>0</v>
      </c>
      <c r="H341" s="3" t="str">
        <f t="shared" si="21"/>
        <v>Saturday</v>
      </c>
      <c r="I341" s="3">
        <v>6</v>
      </c>
      <c r="J341" s="3" t="str">
        <f t="shared" si="20"/>
        <v>Clear</v>
      </c>
      <c r="K341" s="3">
        <v>0.32</v>
      </c>
      <c r="L341" s="6">
        <v>0.36</v>
      </c>
      <c r="M341" s="6">
        <v>0.31819999999999998</v>
      </c>
      <c r="N341" s="6">
        <v>0.19400000000000001</v>
      </c>
      <c r="O341" s="6">
        <v>21</v>
      </c>
      <c r="P341" s="6">
        <v>108</v>
      </c>
      <c r="Q341" s="6">
        <v>129</v>
      </c>
      <c r="R341" s="8"/>
      <c r="S341" s="8"/>
      <c r="T341" s="8"/>
      <c r="V341">
        <v>5</v>
      </c>
      <c r="W341">
        <v>56</v>
      </c>
    </row>
    <row r="342" spans="1:23">
      <c r="A342" s="3">
        <v>341</v>
      </c>
      <c r="B342" s="4">
        <v>40558</v>
      </c>
      <c r="C342" s="3">
        <v>1</v>
      </c>
      <c r="D342" s="3">
        <v>0</v>
      </c>
      <c r="E342" s="3" t="str">
        <f t="shared" si="19"/>
        <v>January</v>
      </c>
      <c r="F342" s="3">
        <v>16</v>
      </c>
      <c r="G342" s="3" t="b">
        <v>0</v>
      </c>
      <c r="H342" s="3" t="str">
        <f t="shared" si="21"/>
        <v>Saturday</v>
      </c>
      <c r="I342" s="3">
        <v>6</v>
      </c>
      <c r="J342" s="3" t="str">
        <f t="shared" si="20"/>
        <v>Clear</v>
      </c>
      <c r="K342" s="3">
        <v>0.34</v>
      </c>
      <c r="L342" s="6">
        <v>0.34</v>
      </c>
      <c r="M342" s="6">
        <v>0.33329999999999999</v>
      </c>
      <c r="N342" s="6">
        <v>0.19400000000000001</v>
      </c>
      <c r="O342" s="6">
        <v>33</v>
      </c>
      <c r="P342" s="6">
        <v>95</v>
      </c>
      <c r="Q342" s="6">
        <v>128</v>
      </c>
      <c r="R342" s="8"/>
      <c r="S342" s="8"/>
      <c r="T342" s="8"/>
      <c r="V342">
        <v>6</v>
      </c>
      <c r="W342">
        <v>55</v>
      </c>
    </row>
    <row r="343" spans="1:23">
      <c r="A343" s="3">
        <v>342</v>
      </c>
      <c r="B343" s="4">
        <v>40558</v>
      </c>
      <c r="C343" s="3">
        <v>1</v>
      </c>
      <c r="D343" s="3">
        <v>0</v>
      </c>
      <c r="E343" s="3" t="str">
        <f t="shared" si="19"/>
        <v>January</v>
      </c>
      <c r="F343" s="3">
        <v>17</v>
      </c>
      <c r="G343" s="3" t="b">
        <v>0</v>
      </c>
      <c r="H343" s="3" t="str">
        <f t="shared" si="21"/>
        <v>Saturday</v>
      </c>
      <c r="I343" s="3">
        <v>6</v>
      </c>
      <c r="J343" s="3" t="str">
        <f t="shared" si="20"/>
        <v>Clear</v>
      </c>
      <c r="K343" s="3">
        <v>0.32</v>
      </c>
      <c r="L343" s="6">
        <v>0.36</v>
      </c>
      <c r="M343" s="6">
        <v>0.30299999999999999</v>
      </c>
      <c r="N343" s="6">
        <v>0.28360000000000002</v>
      </c>
      <c r="O343" s="6">
        <v>29</v>
      </c>
      <c r="P343" s="6">
        <v>54</v>
      </c>
      <c r="Q343" s="6">
        <v>83</v>
      </c>
      <c r="R343" s="8"/>
      <c r="S343" s="8"/>
      <c r="T343" s="8"/>
      <c r="V343">
        <v>8</v>
      </c>
      <c r="W343">
        <v>53</v>
      </c>
    </row>
    <row r="344" spans="1:23">
      <c r="A344" s="3">
        <v>343</v>
      </c>
      <c r="B344" s="4">
        <v>40558</v>
      </c>
      <c r="C344" s="3">
        <v>1</v>
      </c>
      <c r="D344" s="3">
        <v>0</v>
      </c>
      <c r="E344" s="3" t="str">
        <f t="shared" si="19"/>
        <v>January</v>
      </c>
      <c r="F344" s="3">
        <v>18</v>
      </c>
      <c r="G344" s="3" t="b">
        <v>0</v>
      </c>
      <c r="H344" s="3" t="str">
        <f t="shared" si="21"/>
        <v>Saturday</v>
      </c>
      <c r="I344" s="3">
        <v>6</v>
      </c>
      <c r="J344" s="3" t="str">
        <f t="shared" si="20"/>
        <v>Clear</v>
      </c>
      <c r="K344" s="3">
        <v>0.3</v>
      </c>
      <c r="L344" s="6">
        <v>0.45</v>
      </c>
      <c r="M344" s="6">
        <v>0.28789999999999999</v>
      </c>
      <c r="N344" s="6">
        <v>0.25369999999999998</v>
      </c>
      <c r="O344" s="6">
        <v>15</v>
      </c>
      <c r="P344" s="6">
        <v>69</v>
      </c>
      <c r="Q344" s="6">
        <v>84</v>
      </c>
      <c r="R344" s="8"/>
      <c r="S344" s="8"/>
      <c r="T344" s="8"/>
      <c r="V344">
        <v>11</v>
      </c>
      <c r="W344">
        <v>50</v>
      </c>
    </row>
    <row r="345" spans="1:23">
      <c r="A345" s="3">
        <v>344</v>
      </c>
      <c r="B345" s="4">
        <v>40558</v>
      </c>
      <c r="C345" s="3">
        <v>1</v>
      </c>
      <c r="D345" s="3">
        <v>0</v>
      </c>
      <c r="E345" s="3" t="str">
        <f t="shared" si="19"/>
        <v>January</v>
      </c>
      <c r="F345" s="3">
        <v>19</v>
      </c>
      <c r="G345" s="3" t="b">
        <v>0</v>
      </c>
      <c r="H345" s="3" t="str">
        <f t="shared" si="21"/>
        <v>Saturday</v>
      </c>
      <c r="I345" s="3">
        <v>6</v>
      </c>
      <c r="J345" s="3" t="str">
        <f t="shared" si="20"/>
        <v>Clear</v>
      </c>
      <c r="K345" s="3">
        <v>0.32</v>
      </c>
      <c r="L345" s="6">
        <v>0.39</v>
      </c>
      <c r="M345" s="6">
        <v>0.30299999999999999</v>
      </c>
      <c r="N345" s="6">
        <v>0.25369999999999998</v>
      </c>
      <c r="O345" s="6">
        <v>14</v>
      </c>
      <c r="P345" s="6">
        <v>60</v>
      </c>
      <c r="Q345" s="6">
        <v>74</v>
      </c>
      <c r="R345" s="8"/>
      <c r="S345" s="8"/>
      <c r="T345" s="8"/>
      <c r="V345">
        <v>13</v>
      </c>
      <c r="W345">
        <v>48</v>
      </c>
    </row>
    <row r="346" spans="1:23">
      <c r="A346" s="3">
        <v>345</v>
      </c>
      <c r="B346" s="4">
        <v>40558</v>
      </c>
      <c r="C346" s="3">
        <v>1</v>
      </c>
      <c r="D346" s="3">
        <v>0</v>
      </c>
      <c r="E346" s="3" t="str">
        <f t="shared" si="19"/>
        <v>January</v>
      </c>
      <c r="F346" s="3">
        <v>20</v>
      </c>
      <c r="G346" s="3" t="b">
        <v>0</v>
      </c>
      <c r="H346" s="3" t="str">
        <f t="shared" si="21"/>
        <v>Saturday</v>
      </c>
      <c r="I346" s="3">
        <v>6</v>
      </c>
      <c r="J346" s="3" t="str">
        <f t="shared" si="20"/>
        <v>Clear</v>
      </c>
      <c r="K346" s="3">
        <v>0.32</v>
      </c>
      <c r="L346" s="6">
        <v>0.39</v>
      </c>
      <c r="M346" s="6">
        <v>0.30299999999999999</v>
      </c>
      <c r="N346" s="6">
        <v>0.25369999999999998</v>
      </c>
      <c r="O346" s="6">
        <v>6</v>
      </c>
      <c r="P346" s="6">
        <v>35</v>
      </c>
      <c r="Q346" s="6">
        <v>41</v>
      </c>
      <c r="R346" s="8"/>
      <c r="S346" s="8"/>
      <c r="T346" s="8"/>
      <c r="V346">
        <v>14</v>
      </c>
      <c r="W346">
        <v>47</v>
      </c>
    </row>
    <row r="347" spans="1:23">
      <c r="A347" s="3">
        <v>346</v>
      </c>
      <c r="B347" s="4">
        <v>40558</v>
      </c>
      <c r="C347" s="3">
        <v>1</v>
      </c>
      <c r="D347" s="3">
        <v>0</v>
      </c>
      <c r="E347" s="3" t="str">
        <f t="shared" si="19"/>
        <v>January</v>
      </c>
      <c r="F347" s="3">
        <v>21</v>
      </c>
      <c r="G347" s="3" t="b">
        <v>0</v>
      </c>
      <c r="H347" s="3" t="str">
        <f t="shared" si="21"/>
        <v>Saturday</v>
      </c>
      <c r="I347" s="3">
        <v>6</v>
      </c>
      <c r="J347" s="3" t="str">
        <f t="shared" si="20"/>
        <v>Clear</v>
      </c>
      <c r="K347" s="3">
        <v>0.32</v>
      </c>
      <c r="L347" s="6">
        <v>0.39</v>
      </c>
      <c r="M347" s="6">
        <v>0.30299999999999999</v>
      </c>
      <c r="N347" s="6">
        <v>0.22389999999999999</v>
      </c>
      <c r="O347" s="6">
        <v>6</v>
      </c>
      <c r="P347" s="6">
        <v>51</v>
      </c>
      <c r="Q347" s="6">
        <v>57</v>
      </c>
      <c r="R347" s="8"/>
      <c r="S347" s="8"/>
      <c r="T347" s="8"/>
      <c r="U347">
        <v>62</v>
      </c>
      <c r="W347">
        <v>513</v>
      </c>
    </row>
    <row r="348" spans="1:23">
      <c r="A348" s="3">
        <v>347</v>
      </c>
      <c r="B348" s="4">
        <v>40558</v>
      </c>
      <c r="C348" s="3">
        <v>1</v>
      </c>
      <c r="D348" s="3">
        <v>0</v>
      </c>
      <c r="E348" s="3" t="str">
        <f t="shared" si="19"/>
        <v>January</v>
      </c>
      <c r="F348" s="3">
        <v>22</v>
      </c>
      <c r="G348" s="3" t="b">
        <v>0</v>
      </c>
      <c r="H348" s="3" t="str">
        <f t="shared" si="21"/>
        <v>Saturday</v>
      </c>
      <c r="I348" s="3">
        <v>6</v>
      </c>
      <c r="J348" s="3" t="str">
        <f t="shared" si="20"/>
        <v>Clear</v>
      </c>
      <c r="K348" s="3">
        <v>0.3</v>
      </c>
      <c r="L348" s="6">
        <v>0.42</v>
      </c>
      <c r="M348" s="6">
        <v>0.31819999999999998</v>
      </c>
      <c r="N348" s="6">
        <v>0.1045</v>
      </c>
      <c r="O348" s="6">
        <v>0</v>
      </c>
      <c r="P348" s="6">
        <v>26</v>
      </c>
      <c r="Q348" s="6">
        <v>26</v>
      </c>
      <c r="R348" s="8"/>
      <c r="S348" s="8"/>
      <c r="T348" s="8"/>
      <c r="V348">
        <v>1</v>
      </c>
      <c r="W348">
        <v>61</v>
      </c>
    </row>
    <row r="349" spans="1:23">
      <c r="A349" s="3">
        <v>348</v>
      </c>
      <c r="B349" s="4">
        <v>40558</v>
      </c>
      <c r="C349" s="3">
        <v>1</v>
      </c>
      <c r="D349" s="3">
        <v>0</v>
      </c>
      <c r="E349" s="3" t="str">
        <f t="shared" si="19"/>
        <v>January</v>
      </c>
      <c r="F349" s="3">
        <v>23</v>
      </c>
      <c r="G349" s="3" t="b">
        <v>0</v>
      </c>
      <c r="H349" s="3" t="str">
        <f t="shared" si="21"/>
        <v>Saturday</v>
      </c>
      <c r="I349" s="3">
        <v>6</v>
      </c>
      <c r="J349" s="3" t="str">
        <f t="shared" si="20"/>
        <v>Clear</v>
      </c>
      <c r="K349" s="3">
        <v>0.3</v>
      </c>
      <c r="L349" s="6">
        <v>0.45</v>
      </c>
      <c r="M349" s="6">
        <v>0.28789999999999999</v>
      </c>
      <c r="N349" s="6">
        <v>0.28360000000000002</v>
      </c>
      <c r="O349" s="6">
        <v>5</v>
      </c>
      <c r="P349" s="6">
        <v>39</v>
      </c>
      <c r="Q349" s="6">
        <v>44</v>
      </c>
      <c r="R349" s="8"/>
      <c r="S349" s="8"/>
      <c r="T349" s="8"/>
      <c r="V349">
        <v>2</v>
      </c>
      <c r="W349">
        <v>60</v>
      </c>
    </row>
    <row r="350" spans="1:23">
      <c r="A350" s="3">
        <v>349</v>
      </c>
      <c r="B350" s="4">
        <v>40559</v>
      </c>
      <c r="C350" s="3">
        <v>1</v>
      </c>
      <c r="D350" s="3">
        <v>0</v>
      </c>
      <c r="E350" s="3" t="str">
        <f t="shared" si="19"/>
        <v>January</v>
      </c>
      <c r="F350" s="3">
        <v>0</v>
      </c>
      <c r="G350" s="3" t="b">
        <v>0</v>
      </c>
      <c r="H350" s="3" t="str">
        <f t="shared" si="21"/>
        <v>Sunday</v>
      </c>
      <c r="I350" s="3">
        <v>0</v>
      </c>
      <c r="J350" s="3" t="str">
        <f t="shared" si="20"/>
        <v>Clear</v>
      </c>
      <c r="K350" s="3">
        <v>0.26</v>
      </c>
      <c r="L350" s="6">
        <v>0.56000000000000005</v>
      </c>
      <c r="M350" s="6">
        <v>0.30299999999999999</v>
      </c>
      <c r="N350" s="6">
        <v>0</v>
      </c>
      <c r="O350" s="6">
        <v>6</v>
      </c>
      <c r="P350" s="6">
        <v>33</v>
      </c>
      <c r="Q350" s="6">
        <v>39</v>
      </c>
      <c r="R350" s="8"/>
      <c r="S350" s="8"/>
      <c r="T350" s="8"/>
      <c r="V350">
        <v>3</v>
      </c>
      <c r="W350">
        <v>118</v>
      </c>
    </row>
    <row r="351" spans="1:23">
      <c r="A351" s="3">
        <v>350</v>
      </c>
      <c r="B351" s="4">
        <v>40559</v>
      </c>
      <c r="C351" s="3">
        <v>1</v>
      </c>
      <c r="D351" s="3">
        <v>0</v>
      </c>
      <c r="E351" s="3" t="str">
        <f t="shared" si="19"/>
        <v>January</v>
      </c>
      <c r="F351" s="3">
        <v>1</v>
      </c>
      <c r="G351" s="3" t="b">
        <v>0</v>
      </c>
      <c r="H351" s="3" t="str">
        <f t="shared" si="21"/>
        <v>Sunday</v>
      </c>
      <c r="I351" s="3">
        <v>0</v>
      </c>
      <c r="J351" s="3" t="str">
        <f t="shared" si="20"/>
        <v>Clear</v>
      </c>
      <c r="K351" s="3">
        <v>0.26</v>
      </c>
      <c r="L351" s="6">
        <v>0.56000000000000005</v>
      </c>
      <c r="M351" s="6">
        <v>0.2727</v>
      </c>
      <c r="N351" s="6">
        <v>0.1343</v>
      </c>
      <c r="O351" s="6">
        <v>4</v>
      </c>
      <c r="P351" s="6">
        <v>19</v>
      </c>
      <c r="Q351" s="6">
        <v>23</v>
      </c>
      <c r="R351" s="8"/>
      <c r="S351" s="8"/>
      <c r="T351" s="8"/>
      <c r="V351">
        <v>5</v>
      </c>
      <c r="W351">
        <v>57</v>
      </c>
    </row>
    <row r="352" spans="1:23">
      <c r="A352" s="3">
        <v>351</v>
      </c>
      <c r="B352" s="4">
        <v>40559</v>
      </c>
      <c r="C352" s="3">
        <v>1</v>
      </c>
      <c r="D352" s="3">
        <v>0</v>
      </c>
      <c r="E352" s="3" t="str">
        <f t="shared" si="19"/>
        <v>January</v>
      </c>
      <c r="F352" s="3">
        <v>2</v>
      </c>
      <c r="G352" s="3" t="b">
        <v>0</v>
      </c>
      <c r="H352" s="3" t="str">
        <f t="shared" si="21"/>
        <v>Sunday</v>
      </c>
      <c r="I352" s="3">
        <v>0</v>
      </c>
      <c r="J352" s="3" t="str">
        <f t="shared" si="20"/>
        <v>Clear</v>
      </c>
      <c r="K352" s="3">
        <v>0.26</v>
      </c>
      <c r="L352" s="6">
        <v>0.56000000000000005</v>
      </c>
      <c r="M352" s="6">
        <v>0.28789999999999999</v>
      </c>
      <c r="N352" s="6">
        <v>8.9599999999999999E-2</v>
      </c>
      <c r="O352" s="6">
        <v>3</v>
      </c>
      <c r="P352" s="6">
        <v>13</v>
      </c>
      <c r="Q352" s="6">
        <v>16</v>
      </c>
      <c r="R352" s="8"/>
      <c r="S352" s="8"/>
      <c r="T352" s="8"/>
      <c r="V352">
        <v>6</v>
      </c>
      <c r="W352">
        <v>56</v>
      </c>
    </row>
    <row r="353" spans="1:23">
      <c r="A353" s="3">
        <v>352</v>
      </c>
      <c r="B353" s="4">
        <v>40559</v>
      </c>
      <c r="C353" s="3">
        <v>1</v>
      </c>
      <c r="D353" s="3">
        <v>0</v>
      </c>
      <c r="E353" s="3" t="str">
        <f t="shared" si="19"/>
        <v>January</v>
      </c>
      <c r="F353" s="3">
        <v>3</v>
      </c>
      <c r="G353" s="3" t="b">
        <v>0</v>
      </c>
      <c r="H353" s="3" t="str">
        <f t="shared" si="21"/>
        <v>Sunday</v>
      </c>
      <c r="I353" s="3">
        <v>0</v>
      </c>
      <c r="J353" s="3" t="str">
        <f t="shared" si="20"/>
        <v>Foggy</v>
      </c>
      <c r="K353" s="3">
        <v>0.22</v>
      </c>
      <c r="L353" s="6">
        <v>0.69</v>
      </c>
      <c r="M353" s="6">
        <v>0.2727</v>
      </c>
      <c r="N353" s="6">
        <v>0</v>
      </c>
      <c r="O353" s="6">
        <v>9</v>
      </c>
      <c r="P353" s="6">
        <v>6</v>
      </c>
      <c r="Q353" s="6">
        <v>15</v>
      </c>
      <c r="R353" s="8"/>
      <c r="S353" s="8"/>
      <c r="T353" s="8"/>
      <c r="V353">
        <v>7</v>
      </c>
      <c r="W353">
        <v>55</v>
      </c>
    </row>
    <row r="354" spans="1:23">
      <c r="A354" s="3">
        <v>353</v>
      </c>
      <c r="B354" s="4">
        <v>40559</v>
      </c>
      <c r="C354" s="3">
        <v>1</v>
      </c>
      <c r="D354" s="3">
        <v>0</v>
      </c>
      <c r="E354" s="3" t="str">
        <f t="shared" si="19"/>
        <v>January</v>
      </c>
      <c r="F354" s="3">
        <v>4</v>
      </c>
      <c r="G354" s="3" t="b">
        <v>0</v>
      </c>
      <c r="H354" s="3" t="str">
        <f t="shared" si="21"/>
        <v>Sunday</v>
      </c>
      <c r="I354" s="3">
        <v>0</v>
      </c>
      <c r="J354" s="3" t="str">
        <f t="shared" si="20"/>
        <v>Clear</v>
      </c>
      <c r="K354" s="3">
        <v>0.26</v>
      </c>
      <c r="L354" s="6">
        <v>0.56000000000000005</v>
      </c>
      <c r="M354" s="6">
        <v>0.2576</v>
      </c>
      <c r="N354" s="6">
        <v>0.16420000000000001</v>
      </c>
      <c r="O354" s="6">
        <v>0</v>
      </c>
      <c r="P354" s="6">
        <v>1</v>
      </c>
      <c r="Q354" s="6">
        <v>1</v>
      </c>
      <c r="R354" s="8"/>
      <c r="S354" s="8"/>
      <c r="T354" s="8"/>
      <c r="V354">
        <v>8</v>
      </c>
      <c r="W354">
        <v>54</v>
      </c>
    </row>
    <row r="355" spans="1:23">
      <c r="A355" s="3">
        <v>354</v>
      </c>
      <c r="B355" s="4">
        <v>40559</v>
      </c>
      <c r="C355" s="3">
        <v>1</v>
      </c>
      <c r="D355" s="3">
        <v>0</v>
      </c>
      <c r="E355" s="3" t="str">
        <f t="shared" si="19"/>
        <v>January</v>
      </c>
      <c r="F355" s="3">
        <v>5</v>
      </c>
      <c r="G355" s="3" t="b">
        <v>0</v>
      </c>
      <c r="H355" s="3" t="str">
        <f t="shared" si="21"/>
        <v>Sunday</v>
      </c>
      <c r="I355" s="3">
        <v>0</v>
      </c>
      <c r="J355" s="3" t="str">
        <f t="shared" si="20"/>
        <v>Clear</v>
      </c>
      <c r="K355" s="3">
        <v>0.26</v>
      </c>
      <c r="L355" s="6">
        <v>0.56000000000000005</v>
      </c>
      <c r="M355" s="6">
        <v>0.2576</v>
      </c>
      <c r="N355" s="6">
        <v>0.16420000000000001</v>
      </c>
      <c r="O355" s="6">
        <v>1</v>
      </c>
      <c r="P355" s="6">
        <v>1</v>
      </c>
      <c r="Q355" s="6">
        <v>2</v>
      </c>
      <c r="R355" s="8"/>
      <c r="S355" s="8"/>
      <c r="T355" s="8"/>
      <c r="V355">
        <v>10</v>
      </c>
      <c r="W355">
        <v>52</v>
      </c>
    </row>
    <row r="356" spans="1:23">
      <c r="A356" s="3">
        <v>355</v>
      </c>
      <c r="B356" s="4">
        <v>40559</v>
      </c>
      <c r="C356" s="3">
        <v>1</v>
      </c>
      <c r="D356" s="3">
        <v>0</v>
      </c>
      <c r="E356" s="3" t="str">
        <f t="shared" si="19"/>
        <v>January</v>
      </c>
      <c r="F356" s="3">
        <v>6</v>
      </c>
      <c r="G356" s="3" t="b">
        <v>0</v>
      </c>
      <c r="H356" s="3" t="str">
        <f t="shared" si="21"/>
        <v>Sunday</v>
      </c>
      <c r="I356" s="3">
        <v>0</v>
      </c>
      <c r="J356" s="3" t="str">
        <f t="shared" si="20"/>
        <v>Clear</v>
      </c>
      <c r="K356" s="3">
        <v>0.26</v>
      </c>
      <c r="L356" s="6">
        <v>0.56000000000000005</v>
      </c>
      <c r="M356" s="6">
        <v>0.2576</v>
      </c>
      <c r="N356" s="6">
        <v>0.16420000000000001</v>
      </c>
      <c r="O356" s="6">
        <v>0</v>
      </c>
      <c r="P356" s="6">
        <v>1</v>
      </c>
      <c r="Q356" s="6">
        <v>1</v>
      </c>
      <c r="R356" s="8"/>
      <c r="S356" s="8"/>
      <c r="T356" s="8"/>
      <c r="U356">
        <v>63</v>
      </c>
      <c r="W356">
        <v>513</v>
      </c>
    </row>
    <row r="357" spans="1:23">
      <c r="A357" s="3">
        <v>356</v>
      </c>
      <c r="B357" s="4">
        <v>40559</v>
      </c>
      <c r="C357" s="3">
        <v>1</v>
      </c>
      <c r="D357" s="3">
        <v>0</v>
      </c>
      <c r="E357" s="3" t="str">
        <f t="shared" si="19"/>
        <v>January</v>
      </c>
      <c r="F357" s="3">
        <v>7</v>
      </c>
      <c r="G357" s="3" t="b">
        <v>0</v>
      </c>
      <c r="H357" s="3" t="str">
        <f t="shared" si="21"/>
        <v>Sunday</v>
      </c>
      <c r="I357" s="3">
        <v>0</v>
      </c>
      <c r="J357" s="3" t="str">
        <f t="shared" si="20"/>
        <v>Foggy</v>
      </c>
      <c r="K357" s="3">
        <v>0.24</v>
      </c>
      <c r="L357" s="6">
        <v>0.56000000000000005</v>
      </c>
      <c r="M357" s="6">
        <v>0.21210000000000001</v>
      </c>
      <c r="N357" s="6">
        <v>0.29849999999999999</v>
      </c>
      <c r="O357" s="6">
        <v>0</v>
      </c>
      <c r="P357" s="6">
        <v>3</v>
      </c>
      <c r="Q357" s="6">
        <v>3</v>
      </c>
      <c r="R357" s="8"/>
      <c r="S357" s="8"/>
      <c r="T357" s="8"/>
      <c r="V357">
        <v>1</v>
      </c>
      <c r="W357">
        <v>62</v>
      </c>
    </row>
    <row r="358" spans="1:23">
      <c r="A358" s="3">
        <v>357</v>
      </c>
      <c r="B358" s="4">
        <v>40559</v>
      </c>
      <c r="C358" s="3">
        <v>1</v>
      </c>
      <c r="D358" s="3">
        <v>0</v>
      </c>
      <c r="E358" s="3" t="str">
        <f t="shared" si="19"/>
        <v>January</v>
      </c>
      <c r="F358" s="3">
        <v>8</v>
      </c>
      <c r="G358" s="3" t="b">
        <v>0</v>
      </c>
      <c r="H358" s="3" t="str">
        <f t="shared" si="21"/>
        <v>Sunday</v>
      </c>
      <c r="I358" s="3">
        <v>0</v>
      </c>
      <c r="J358" s="3" t="str">
        <f t="shared" si="20"/>
        <v>Foggy</v>
      </c>
      <c r="K358" s="3">
        <v>0.22</v>
      </c>
      <c r="L358" s="6">
        <v>0.55000000000000004</v>
      </c>
      <c r="M358" s="6">
        <v>0.21210000000000001</v>
      </c>
      <c r="N358" s="6">
        <v>0.28360000000000002</v>
      </c>
      <c r="O358" s="6">
        <v>0</v>
      </c>
      <c r="P358" s="6">
        <v>18</v>
      </c>
      <c r="Q358" s="6">
        <v>18</v>
      </c>
      <c r="R358" s="8"/>
      <c r="S358" s="8"/>
      <c r="T358" s="8"/>
      <c r="V358">
        <v>2</v>
      </c>
      <c r="W358">
        <v>122</v>
      </c>
    </row>
    <row r="359" spans="1:23">
      <c r="A359" s="3">
        <v>358</v>
      </c>
      <c r="B359" s="4">
        <v>40559</v>
      </c>
      <c r="C359" s="3">
        <v>1</v>
      </c>
      <c r="D359" s="3">
        <v>0</v>
      </c>
      <c r="E359" s="3" t="str">
        <f t="shared" si="19"/>
        <v>January</v>
      </c>
      <c r="F359" s="3">
        <v>9</v>
      </c>
      <c r="G359" s="3" t="b">
        <v>0</v>
      </c>
      <c r="H359" s="3" t="str">
        <f t="shared" si="21"/>
        <v>Sunday</v>
      </c>
      <c r="I359" s="3">
        <v>0</v>
      </c>
      <c r="J359" s="3" t="str">
        <f t="shared" si="20"/>
        <v>Foggy</v>
      </c>
      <c r="K359" s="3">
        <v>0.22</v>
      </c>
      <c r="L359" s="6">
        <v>0.51</v>
      </c>
      <c r="M359" s="6">
        <v>0.21210000000000001</v>
      </c>
      <c r="N359" s="6">
        <v>0.25369999999999998</v>
      </c>
      <c r="O359" s="6">
        <v>3</v>
      </c>
      <c r="P359" s="6">
        <v>29</v>
      </c>
      <c r="Q359" s="6">
        <v>32</v>
      </c>
      <c r="R359" s="8"/>
      <c r="S359" s="8"/>
      <c r="T359" s="8"/>
      <c r="V359">
        <v>3</v>
      </c>
      <c r="W359">
        <v>60</v>
      </c>
    </row>
    <row r="360" spans="1:23">
      <c r="A360" s="3">
        <v>359</v>
      </c>
      <c r="B360" s="4">
        <v>40559</v>
      </c>
      <c r="C360" s="3">
        <v>1</v>
      </c>
      <c r="D360" s="3">
        <v>0</v>
      </c>
      <c r="E360" s="3" t="str">
        <f t="shared" si="19"/>
        <v>January</v>
      </c>
      <c r="F360" s="3">
        <v>10</v>
      </c>
      <c r="G360" s="3" t="b">
        <v>0</v>
      </c>
      <c r="H360" s="3" t="str">
        <f t="shared" si="21"/>
        <v>Sunday</v>
      </c>
      <c r="I360" s="3">
        <v>0</v>
      </c>
      <c r="J360" s="3" t="str">
        <f t="shared" si="20"/>
        <v>Foggy</v>
      </c>
      <c r="K360" s="3">
        <v>0.22</v>
      </c>
      <c r="L360" s="6">
        <v>0.51</v>
      </c>
      <c r="M360" s="6">
        <v>0.21210000000000001</v>
      </c>
      <c r="N360" s="6">
        <v>0.28360000000000002</v>
      </c>
      <c r="O360" s="6">
        <v>8</v>
      </c>
      <c r="P360" s="6">
        <v>71</v>
      </c>
      <c r="Q360" s="6">
        <v>79</v>
      </c>
      <c r="R360" s="8"/>
      <c r="S360" s="8"/>
      <c r="T360" s="8"/>
      <c r="V360">
        <v>4</v>
      </c>
      <c r="W360">
        <v>59</v>
      </c>
    </row>
    <row r="361" spans="1:23">
      <c r="A361" s="3">
        <v>360</v>
      </c>
      <c r="B361" s="4">
        <v>40559</v>
      </c>
      <c r="C361" s="3">
        <v>1</v>
      </c>
      <c r="D361" s="3">
        <v>0</v>
      </c>
      <c r="E361" s="3" t="str">
        <f t="shared" si="19"/>
        <v>January</v>
      </c>
      <c r="F361" s="3">
        <v>11</v>
      </c>
      <c r="G361" s="3" t="b">
        <v>0</v>
      </c>
      <c r="H361" s="3" t="str">
        <f t="shared" si="21"/>
        <v>Sunday</v>
      </c>
      <c r="I361" s="3">
        <v>0</v>
      </c>
      <c r="J361" s="3" t="str">
        <f t="shared" si="20"/>
        <v>Foggy</v>
      </c>
      <c r="K361" s="3">
        <v>0.24</v>
      </c>
      <c r="L361" s="6">
        <v>0.44</v>
      </c>
      <c r="M361" s="6">
        <v>0.2273</v>
      </c>
      <c r="N361" s="6">
        <v>0.25369999999999998</v>
      </c>
      <c r="O361" s="6">
        <v>23</v>
      </c>
      <c r="P361" s="6">
        <v>70</v>
      </c>
      <c r="Q361" s="6">
        <v>93</v>
      </c>
      <c r="R361" s="8"/>
      <c r="S361" s="8"/>
      <c r="T361" s="8"/>
      <c r="V361">
        <v>6</v>
      </c>
      <c r="W361">
        <v>57</v>
      </c>
    </row>
    <row r="362" spans="1:23">
      <c r="A362" s="3">
        <v>361</v>
      </c>
      <c r="B362" s="4">
        <v>40559</v>
      </c>
      <c r="C362" s="3">
        <v>1</v>
      </c>
      <c r="D362" s="3">
        <v>0</v>
      </c>
      <c r="E362" s="3" t="str">
        <f t="shared" si="19"/>
        <v>January</v>
      </c>
      <c r="F362" s="3">
        <v>12</v>
      </c>
      <c r="G362" s="3" t="b">
        <v>0</v>
      </c>
      <c r="H362" s="3" t="str">
        <f t="shared" si="21"/>
        <v>Sunday</v>
      </c>
      <c r="I362" s="3">
        <v>0</v>
      </c>
      <c r="J362" s="3" t="str">
        <f t="shared" si="20"/>
        <v>Foggy</v>
      </c>
      <c r="K362" s="3">
        <v>0.24</v>
      </c>
      <c r="L362" s="6">
        <v>0.41</v>
      </c>
      <c r="M362" s="6">
        <v>0.21210000000000001</v>
      </c>
      <c r="N362" s="6">
        <v>0.28360000000000002</v>
      </c>
      <c r="O362" s="6">
        <v>29</v>
      </c>
      <c r="P362" s="6">
        <v>75</v>
      </c>
      <c r="Q362" s="6">
        <v>104</v>
      </c>
      <c r="R362" s="8"/>
      <c r="S362" s="8"/>
      <c r="T362" s="8"/>
      <c r="V362">
        <v>9</v>
      </c>
      <c r="W362">
        <v>54</v>
      </c>
    </row>
    <row r="363" spans="1:23">
      <c r="A363" s="3">
        <v>362</v>
      </c>
      <c r="B363" s="4">
        <v>40559</v>
      </c>
      <c r="C363" s="3">
        <v>1</v>
      </c>
      <c r="D363" s="3">
        <v>0</v>
      </c>
      <c r="E363" s="3" t="str">
        <f t="shared" si="19"/>
        <v>January</v>
      </c>
      <c r="F363" s="3">
        <v>13</v>
      </c>
      <c r="G363" s="3" t="b">
        <v>0</v>
      </c>
      <c r="H363" s="3" t="str">
        <f t="shared" si="21"/>
        <v>Sunday</v>
      </c>
      <c r="I363" s="3">
        <v>0</v>
      </c>
      <c r="J363" s="3" t="str">
        <f t="shared" si="20"/>
        <v>Clear</v>
      </c>
      <c r="K363" s="3">
        <v>0.26</v>
      </c>
      <c r="L363" s="6">
        <v>0.35</v>
      </c>
      <c r="M363" s="6">
        <v>0.2273</v>
      </c>
      <c r="N363" s="6">
        <v>0.29849999999999999</v>
      </c>
      <c r="O363" s="6">
        <v>23</v>
      </c>
      <c r="P363" s="6">
        <v>95</v>
      </c>
      <c r="Q363" s="6">
        <v>118</v>
      </c>
      <c r="R363" s="8"/>
      <c r="S363" s="8"/>
      <c r="T363" s="8"/>
      <c r="V363">
        <v>11</v>
      </c>
      <c r="W363">
        <v>52</v>
      </c>
    </row>
    <row r="364" spans="1:23">
      <c r="A364" s="3">
        <v>363</v>
      </c>
      <c r="B364" s="4">
        <v>40559</v>
      </c>
      <c r="C364" s="3">
        <v>1</v>
      </c>
      <c r="D364" s="3">
        <v>0</v>
      </c>
      <c r="E364" s="3" t="str">
        <f t="shared" si="19"/>
        <v>January</v>
      </c>
      <c r="F364" s="3">
        <v>14</v>
      </c>
      <c r="G364" s="3" t="b">
        <v>0</v>
      </c>
      <c r="H364" s="3" t="str">
        <f t="shared" si="21"/>
        <v>Sunday</v>
      </c>
      <c r="I364" s="3">
        <v>0</v>
      </c>
      <c r="J364" s="3" t="str">
        <f t="shared" si="20"/>
        <v>Clear</v>
      </c>
      <c r="K364" s="3">
        <v>0.28000000000000003</v>
      </c>
      <c r="L364" s="6">
        <v>0.36</v>
      </c>
      <c r="M364" s="6">
        <v>0.2727</v>
      </c>
      <c r="N364" s="6">
        <v>0.25369999999999998</v>
      </c>
      <c r="O364" s="6">
        <v>22</v>
      </c>
      <c r="P364" s="6">
        <v>69</v>
      </c>
      <c r="Q364" s="6">
        <v>91</v>
      </c>
      <c r="R364" s="8"/>
      <c r="S364" s="8"/>
      <c r="T364" s="8"/>
      <c r="V364">
        <v>16</v>
      </c>
      <c r="W364">
        <v>47</v>
      </c>
    </row>
    <row r="365" spans="1:23">
      <c r="A365" s="3">
        <v>364</v>
      </c>
      <c r="B365" s="4">
        <v>40559</v>
      </c>
      <c r="C365" s="3">
        <v>1</v>
      </c>
      <c r="D365" s="3">
        <v>0</v>
      </c>
      <c r="E365" s="3" t="str">
        <f t="shared" si="19"/>
        <v>January</v>
      </c>
      <c r="F365" s="3">
        <v>15</v>
      </c>
      <c r="G365" s="3" t="b">
        <v>0</v>
      </c>
      <c r="H365" s="3" t="str">
        <f t="shared" si="21"/>
        <v>Sunday</v>
      </c>
      <c r="I365" s="3">
        <v>0</v>
      </c>
      <c r="J365" s="3" t="str">
        <f t="shared" si="20"/>
        <v>Clear</v>
      </c>
      <c r="K365" s="3">
        <v>0.26</v>
      </c>
      <c r="L365" s="6">
        <v>0.38</v>
      </c>
      <c r="M365" s="6">
        <v>0.2424</v>
      </c>
      <c r="N365" s="6">
        <v>0.25369999999999998</v>
      </c>
      <c r="O365" s="6">
        <v>35</v>
      </c>
      <c r="P365" s="6">
        <v>78</v>
      </c>
      <c r="Q365" s="6">
        <v>113</v>
      </c>
      <c r="R365" s="8"/>
      <c r="S365" s="8"/>
      <c r="T365" s="8"/>
      <c r="U365">
        <v>64</v>
      </c>
      <c r="W365">
        <v>948</v>
      </c>
    </row>
    <row r="366" spans="1:23">
      <c r="A366" s="3">
        <v>365</v>
      </c>
      <c r="B366" s="4">
        <v>40559</v>
      </c>
      <c r="C366" s="3">
        <v>1</v>
      </c>
      <c r="D366" s="3">
        <v>0</v>
      </c>
      <c r="E366" s="3" t="str">
        <f t="shared" si="19"/>
        <v>January</v>
      </c>
      <c r="F366" s="3">
        <v>16</v>
      </c>
      <c r="G366" s="3" t="b">
        <v>0</v>
      </c>
      <c r="H366" s="3" t="str">
        <f t="shared" si="21"/>
        <v>Sunday</v>
      </c>
      <c r="I366" s="3">
        <v>0</v>
      </c>
      <c r="J366" s="3" t="str">
        <f t="shared" si="20"/>
        <v>Foggy</v>
      </c>
      <c r="K366" s="3">
        <v>0.24</v>
      </c>
      <c r="L366" s="6">
        <v>0.38</v>
      </c>
      <c r="M366" s="6">
        <v>0.2273</v>
      </c>
      <c r="N366" s="6">
        <v>0.22389999999999999</v>
      </c>
      <c r="O366" s="6">
        <v>22</v>
      </c>
      <c r="P366" s="6">
        <v>77</v>
      </c>
      <c r="Q366" s="6">
        <v>99</v>
      </c>
      <c r="R366" s="8"/>
      <c r="S366" s="8"/>
      <c r="T366" s="8"/>
      <c r="V366">
        <v>0</v>
      </c>
      <c r="W366">
        <v>128</v>
      </c>
    </row>
    <row r="367" spans="1:23">
      <c r="A367" s="3">
        <v>366</v>
      </c>
      <c r="B367" s="4">
        <v>40559</v>
      </c>
      <c r="C367" s="3">
        <v>1</v>
      </c>
      <c r="D367" s="3">
        <v>0</v>
      </c>
      <c r="E367" s="3" t="str">
        <f t="shared" si="19"/>
        <v>January</v>
      </c>
      <c r="F367" s="3">
        <v>17</v>
      </c>
      <c r="G367" s="3" t="b">
        <v>0</v>
      </c>
      <c r="H367" s="3" t="str">
        <f t="shared" si="21"/>
        <v>Sunday</v>
      </c>
      <c r="I367" s="3">
        <v>0</v>
      </c>
      <c r="J367" s="3" t="str">
        <f t="shared" si="20"/>
        <v>Foggy</v>
      </c>
      <c r="K367" s="3">
        <v>0.22</v>
      </c>
      <c r="L367" s="6">
        <v>0.37</v>
      </c>
      <c r="M367" s="6">
        <v>0.21210000000000001</v>
      </c>
      <c r="N367" s="6">
        <v>0.25369999999999998</v>
      </c>
      <c r="O367" s="6">
        <v>23</v>
      </c>
      <c r="P367" s="6">
        <v>82</v>
      </c>
      <c r="Q367" s="6">
        <v>105</v>
      </c>
      <c r="R367" s="8"/>
      <c r="S367" s="8"/>
      <c r="T367" s="8"/>
      <c r="V367">
        <v>1</v>
      </c>
      <c r="W367">
        <v>63</v>
      </c>
    </row>
    <row r="368" spans="1:23">
      <c r="A368" s="3">
        <v>367</v>
      </c>
      <c r="B368" s="4">
        <v>40559</v>
      </c>
      <c r="C368" s="3">
        <v>1</v>
      </c>
      <c r="D368" s="3">
        <v>0</v>
      </c>
      <c r="E368" s="3" t="str">
        <f t="shared" si="19"/>
        <v>January</v>
      </c>
      <c r="F368" s="3">
        <v>18</v>
      </c>
      <c r="G368" s="3" t="b">
        <v>0</v>
      </c>
      <c r="H368" s="3" t="str">
        <f t="shared" si="21"/>
        <v>Sunday</v>
      </c>
      <c r="I368" s="3">
        <v>0</v>
      </c>
      <c r="J368" s="3" t="str">
        <f t="shared" si="20"/>
        <v>Foggy</v>
      </c>
      <c r="K368" s="3">
        <v>0.2</v>
      </c>
      <c r="L368" s="6">
        <v>0.4</v>
      </c>
      <c r="M368" s="6">
        <v>0.21210000000000001</v>
      </c>
      <c r="N368" s="6">
        <v>0.16420000000000001</v>
      </c>
      <c r="O368" s="6">
        <v>11</v>
      </c>
      <c r="P368" s="6">
        <v>56</v>
      </c>
      <c r="Q368" s="6">
        <v>67</v>
      </c>
      <c r="R368" s="8"/>
      <c r="S368" s="8"/>
      <c r="T368" s="8"/>
      <c r="V368">
        <v>3</v>
      </c>
      <c r="W368">
        <v>305</v>
      </c>
    </row>
    <row r="369" spans="1:23">
      <c r="A369" s="3">
        <v>368</v>
      </c>
      <c r="B369" s="4">
        <v>40559</v>
      </c>
      <c r="C369" s="3">
        <v>1</v>
      </c>
      <c r="D369" s="3">
        <v>0</v>
      </c>
      <c r="E369" s="3" t="str">
        <f t="shared" si="19"/>
        <v>January</v>
      </c>
      <c r="F369" s="3">
        <v>19</v>
      </c>
      <c r="G369" s="3" t="b">
        <v>0</v>
      </c>
      <c r="H369" s="3" t="str">
        <f t="shared" si="21"/>
        <v>Sunday</v>
      </c>
      <c r="I369" s="3">
        <v>0</v>
      </c>
      <c r="J369" s="3" t="str">
        <f t="shared" si="20"/>
        <v>Foggy</v>
      </c>
      <c r="K369" s="3">
        <v>0.18</v>
      </c>
      <c r="L369" s="6">
        <v>0.47</v>
      </c>
      <c r="M369" s="6">
        <v>0.19700000000000001</v>
      </c>
      <c r="N369" s="6">
        <v>0.1343</v>
      </c>
      <c r="O369" s="6">
        <v>14</v>
      </c>
      <c r="P369" s="6">
        <v>47</v>
      </c>
      <c r="Q369" s="6">
        <v>61</v>
      </c>
      <c r="R369" s="8"/>
      <c r="S369" s="8"/>
      <c r="T369" s="8"/>
      <c r="V369">
        <v>4</v>
      </c>
      <c r="W369">
        <v>120</v>
      </c>
    </row>
    <row r="370" spans="1:23">
      <c r="A370" s="3">
        <v>369</v>
      </c>
      <c r="B370" s="4">
        <v>40559</v>
      </c>
      <c r="C370" s="3">
        <v>1</v>
      </c>
      <c r="D370" s="3">
        <v>0</v>
      </c>
      <c r="E370" s="3" t="str">
        <f t="shared" si="19"/>
        <v>January</v>
      </c>
      <c r="F370" s="3">
        <v>20</v>
      </c>
      <c r="G370" s="3" t="b">
        <v>0</v>
      </c>
      <c r="H370" s="3" t="str">
        <f t="shared" si="21"/>
        <v>Sunday</v>
      </c>
      <c r="I370" s="3">
        <v>0</v>
      </c>
      <c r="J370" s="3" t="str">
        <f t="shared" si="20"/>
        <v>Foggy</v>
      </c>
      <c r="K370" s="3">
        <v>0.18</v>
      </c>
      <c r="L370" s="6">
        <v>0.47</v>
      </c>
      <c r="M370" s="6">
        <v>0.19700000000000001</v>
      </c>
      <c r="N370" s="6">
        <v>0.16420000000000001</v>
      </c>
      <c r="O370" s="6">
        <v>7</v>
      </c>
      <c r="P370" s="6">
        <v>50</v>
      </c>
      <c r="Q370" s="6">
        <v>57</v>
      </c>
      <c r="R370" s="8"/>
      <c r="S370" s="8"/>
      <c r="T370" s="8"/>
      <c r="V370">
        <v>5</v>
      </c>
      <c r="W370">
        <v>59</v>
      </c>
    </row>
    <row r="371" spans="1:23">
      <c r="A371" s="3">
        <v>370</v>
      </c>
      <c r="B371" s="4">
        <v>40559</v>
      </c>
      <c r="C371" s="3">
        <v>1</v>
      </c>
      <c r="D371" s="3">
        <v>0</v>
      </c>
      <c r="E371" s="3" t="str">
        <f t="shared" si="19"/>
        <v>January</v>
      </c>
      <c r="F371" s="3">
        <v>21</v>
      </c>
      <c r="G371" s="3" t="b">
        <v>0</v>
      </c>
      <c r="H371" s="3" t="str">
        <f t="shared" si="21"/>
        <v>Sunday</v>
      </c>
      <c r="I371" s="3">
        <v>0</v>
      </c>
      <c r="J371" s="3" t="str">
        <f t="shared" si="20"/>
        <v>Foggy</v>
      </c>
      <c r="K371" s="3">
        <v>0.18</v>
      </c>
      <c r="L371" s="6">
        <v>0.51</v>
      </c>
      <c r="M371" s="6">
        <v>0.19700000000000001</v>
      </c>
      <c r="N371" s="6">
        <v>0.16420000000000001</v>
      </c>
      <c r="O371" s="6">
        <v>6</v>
      </c>
      <c r="P371" s="6">
        <v>22</v>
      </c>
      <c r="Q371" s="6">
        <v>28</v>
      </c>
      <c r="R371" s="8"/>
      <c r="S371" s="8"/>
      <c r="T371" s="8"/>
      <c r="V371">
        <v>7</v>
      </c>
      <c r="W371">
        <v>57</v>
      </c>
    </row>
    <row r="372" spans="1:23">
      <c r="A372" s="3">
        <v>371</v>
      </c>
      <c r="B372" s="4">
        <v>40559</v>
      </c>
      <c r="C372" s="3">
        <v>1</v>
      </c>
      <c r="D372" s="3">
        <v>0</v>
      </c>
      <c r="E372" s="3" t="str">
        <f t="shared" si="19"/>
        <v>January</v>
      </c>
      <c r="F372" s="3">
        <v>22</v>
      </c>
      <c r="G372" s="3" t="b">
        <v>0</v>
      </c>
      <c r="H372" s="3" t="str">
        <f t="shared" si="21"/>
        <v>Sunday</v>
      </c>
      <c r="I372" s="3">
        <v>0</v>
      </c>
      <c r="J372" s="3" t="str">
        <f t="shared" si="20"/>
        <v>Foggy</v>
      </c>
      <c r="K372" s="3">
        <v>0.2</v>
      </c>
      <c r="L372" s="6">
        <v>0.49</v>
      </c>
      <c r="M372" s="6">
        <v>0.21210000000000001</v>
      </c>
      <c r="N372" s="6">
        <v>0.1343</v>
      </c>
      <c r="O372" s="6">
        <v>2</v>
      </c>
      <c r="P372" s="6">
        <v>19</v>
      </c>
      <c r="Q372" s="6">
        <v>21</v>
      </c>
      <c r="R372" s="8"/>
      <c r="S372" s="8"/>
      <c r="T372" s="8"/>
      <c r="V372">
        <v>9</v>
      </c>
      <c r="W372">
        <v>110</v>
      </c>
    </row>
    <row r="373" spans="1:23">
      <c r="A373" s="3">
        <v>372</v>
      </c>
      <c r="B373" s="4">
        <v>40559</v>
      </c>
      <c r="C373" s="3">
        <v>1</v>
      </c>
      <c r="D373" s="3">
        <v>0</v>
      </c>
      <c r="E373" s="3" t="str">
        <f t="shared" si="19"/>
        <v>January</v>
      </c>
      <c r="F373" s="3">
        <v>23</v>
      </c>
      <c r="G373" s="3" t="b">
        <v>0</v>
      </c>
      <c r="H373" s="3" t="str">
        <f t="shared" si="21"/>
        <v>Sunday</v>
      </c>
      <c r="I373" s="3">
        <v>0</v>
      </c>
      <c r="J373" s="3" t="str">
        <f t="shared" si="20"/>
        <v>Foggy</v>
      </c>
      <c r="K373" s="3">
        <v>0.2</v>
      </c>
      <c r="L373" s="6">
        <v>0.4</v>
      </c>
      <c r="M373" s="6">
        <v>0.2273</v>
      </c>
      <c r="N373" s="6">
        <v>0.1045</v>
      </c>
      <c r="O373" s="6">
        <v>0</v>
      </c>
      <c r="P373" s="6">
        <v>18</v>
      </c>
      <c r="Q373" s="6">
        <v>18</v>
      </c>
      <c r="R373" s="8"/>
      <c r="S373" s="8"/>
      <c r="T373" s="8"/>
      <c r="V373">
        <v>10</v>
      </c>
      <c r="W373">
        <v>54</v>
      </c>
    </row>
    <row r="374" spans="1:23">
      <c r="A374" s="3">
        <v>373</v>
      </c>
      <c r="B374" s="4">
        <v>40560</v>
      </c>
      <c r="C374" s="3">
        <v>1</v>
      </c>
      <c r="D374" s="3">
        <v>0</v>
      </c>
      <c r="E374" s="3" t="str">
        <f t="shared" si="19"/>
        <v>January</v>
      </c>
      <c r="F374" s="3">
        <v>0</v>
      </c>
      <c r="G374" s="3" t="b">
        <v>0</v>
      </c>
      <c r="H374" s="3" t="str">
        <f t="shared" si="21"/>
        <v>Monday</v>
      </c>
      <c r="I374" s="3">
        <v>1</v>
      </c>
      <c r="J374" s="3" t="str">
        <f t="shared" si="20"/>
        <v>Foggy</v>
      </c>
      <c r="K374" s="3">
        <v>0.2</v>
      </c>
      <c r="L374" s="6">
        <v>0.47</v>
      </c>
      <c r="M374" s="6">
        <v>0.19700000000000001</v>
      </c>
      <c r="N374" s="6">
        <v>0.22389999999999999</v>
      </c>
      <c r="O374" s="6">
        <v>1</v>
      </c>
      <c r="P374" s="6">
        <v>16</v>
      </c>
      <c r="Q374" s="6">
        <v>17</v>
      </c>
      <c r="R374" s="8"/>
      <c r="S374" s="8"/>
      <c r="T374" s="8"/>
      <c r="V374">
        <v>12</v>
      </c>
      <c r="W374">
        <v>52</v>
      </c>
    </row>
    <row r="375" spans="1:23">
      <c r="A375" s="3">
        <v>374</v>
      </c>
      <c r="B375" s="4">
        <v>40560</v>
      </c>
      <c r="C375" s="3">
        <v>1</v>
      </c>
      <c r="D375" s="3">
        <v>0</v>
      </c>
      <c r="E375" s="3" t="str">
        <f t="shared" si="19"/>
        <v>January</v>
      </c>
      <c r="F375" s="3">
        <v>1</v>
      </c>
      <c r="G375" s="3" t="b">
        <v>0</v>
      </c>
      <c r="H375" s="3" t="str">
        <f t="shared" si="21"/>
        <v>Monday</v>
      </c>
      <c r="I375" s="3">
        <v>1</v>
      </c>
      <c r="J375" s="3" t="str">
        <f t="shared" si="20"/>
        <v>Foggy</v>
      </c>
      <c r="K375" s="3">
        <v>0.2</v>
      </c>
      <c r="L375" s="6">
        <v>0.44</v>
      </c>
      <c r="M375" s="6">
        <v>0.19700000000000001</v>
      </c>
      <c r="N375" s="6">
        <v>0.19400000000000001</v>
      </c>
      <c r="O375" s="6">
        <v>1</v>
      </c>
      <c r="P375" s="6">
        <v>15</v>
      </c>
      <c r="Q375" s="6">
        <v>16</v>
      </c>
      <c r="R375" s="8"/>
      <c r="S375" s="8"/>
      <c r="T375" s="8"/>
      <c r="U375">
        <v>65</v>
      </c>
      <c r="W375">
        <v>399</v>
      </c>
    </row>
    <row r="376" spans="1:23">
      <c r="A376" s="3">
        <v>375</v>
      </c>
      <c r="B376" s="4">
        <v>40560</v>
      </c>
      <c r="C376" s="3">
        <v>1</v>
      </c>
      <c r="D376" s="3">
        <v>0</v>
      </c>
      <c r="E376" s="3" t="str">
        <f t="shared" si="19"/>
        <v>January</v>
      </c>
      <c r="F376" s="3">
        <v>2</v>
      </c>
      <c r="G376" s="3" t="b">
        <v>0</v>
      </c>
      <c r="H376" s="3" t="str">
        <f t="shared" si="21"/>
        <v>Monday</v>
      </c>
      <c r="I376" s="3">
        <v>1</v>
      </c>
      <c r="J376" s="3" t="str">
        <f t="shared" si="20"/>
        <v>Foggy</v>
      </c>
      <c r="K376" s="3">
        <v>0.18</v>
      </c>
      <c r="L376" s="6">
        <v>0.43</v>
      </c>
      <c r="M376" s="6">
        <v>0.16669999999999999</v>
      </c>
      <c r="N376" s="6">
        <v>0.25369999999999998</v>
      </c>
      <c r="O376" s="6">
        <v>0</v>
      </c>
      <c r="P376" s="6">
        <v>8</v>
      </c>
      <c r="Q376" s="6">
        <v>8</v>
      </c>
      <c r="R376" s="8"/>
      <c r="S376" s="8"/>
      <c r="T376" s="8"/>
      <c r="V376">
        <v>2</v>
      </c>
      <c r="W376">
        <v>63</v>
      </c>
    </row>
    <row r="377" spans="1:23">
      <c r="A377" s="3">
        <v>376</v>
      </c>
      <c r="B377" s="4">
        <v>40560</v>
      </c>
      <c r="C377" s="3">
        <v>1</v>
      </c>
      <c r="D377" s="3">
        <v>0</v>
      </c>
      <c r="E377" s="3" t="str">
        <f t="shared" si="19"/>
        <v>January</v>
      </c>
      <c r="F377" s="3">
        <v>3</v>
      </c>
      <c r="G377" s="3" t="b">
        <v>0</v>
      </c>
      <c r="H377" s="3" t="str">
        <f t="shared" si="21"/>
        <v>Monday</v>
      </c>
      <c r="I377" s="3">
        <v>1</v>
      </c>
      <c r="J377" s="3" t="str">
        <f t="shared" si="20"/>
        <v>Foggy</v>
      </c>
      <c r="K377" s="3">
        <v>0.18</v>
      </c>
      <c r="L377" s="6">
        <v>0.43</v>
      </c>
      <c r="M377" s="6">
        <v>0.18179999999999999</v>
      </c>
      <c r="N377" s="6">
        <v>0.19400000000000001</v>
      </c>
      <c r="O377" s="6">
        <v>0</v>
      </c>
      <c r="P377" s="6">
        <v>2</v>
      </c>
      <c r="Q377" s="6">
        <v>2</v>
      </c>
      <c r="R377" s="8"/>
      <c r="S377" s="8"/>
      <c r="T377" s="8"/>
      <c r="V377">
        <v>4</v>
      </c>
      <c r="W377">
        <v>61</v>
      </c>
    </row>
    <row r="378" spans="1:23">
      <c r="A378" s="3">
        <v>377</v>
      </c>
      <c r="B378" s="4">
        <v>40560</v>
      </c>
      <c r="C378" s="3">
        <v>1</v>
      </c>
      <c r="D378" s="3">
        <v>0</v>
      </c>
      <c r="E378" s="3" t="str">
        <f t="shared" si="19"/>
        <v>January</v>
      </c>
      <c r="F378" s="3">
        <v>4</v>
      </c>
      <c r="G378" s="3" t="b">
        <v>0</v>
      </c>
      <c r="H378" s="3" t="str">
        <f t="shared" si="21"/>
        <v>Monday</v>
      </c>
      <c r="I378" s="3">
        <v>1</v>
      </c>
      <c r="J378" s="3" t="str">
        <f t="shared" si="20"/>
        <v>Foggy</v>
      </c>
      <c r="K378" s="3">
        <v>0.18</v>
      </c>
      <c r="L378" s="6">
        <v>0.43</v>
      </c>
      <c r="M378" s="6">
        <v>0.19700000000000001</v>
      </c>
      <c r="N378" s="6">
        <v>0.1343</v>
      </c>
      <c r="O378" s="6">
        <v>1</v>
      </c>
      <c r="P378" s="6">
        <v>2</v>
      </c>
      <c r="Q378" s="6">
        <v>3</v>
      </c>
      <c r="R378" s="8"/>
      <c r="S378" s="8"/>
      <c r="T378" s="8"/>
      <c r="V378">
        <v>7</v>
      </c>
      <c r="W378">
        <v>58</v>
      </c>
    </row>
    <row r="379" spans="1:23">
      <c r="A379" s="3">
        <v>378</v>
      </c>
      <c r="B379" s="4">
        <v>40560</v>
      </c>
      <c r="C379" s="3">
        <v>1</v>
      </c>
      <c r="D379" s="3">
        <v>0</v>
      </c>
      <c r="E379" s="3" t="str">
        <f t="shared" si="19"/>
        <v>January</v>
      </c>
      <c r="F379" s="3">
        <v>5</v>
      </c>
      <c r="G379" s="3" t="b">
        <v>0</v>
      </c>
      <c r="H379" s="3" t="str">
        <f t="shared" si="21"/>
        <v>Monday</v>
      </c>
      <c r="I379" s="3">
        <v>1</v>
      </c>
      <c r="J379" s="3" t="str">
        <f t="shared" si="20"/>
        <v>Foggy</v>
      </c>
      <c r="K379" s="3">
        <v>0.18</v>
      </c>
      <c r="L379" s="6">
        <v>0.43</v>
      </c>
      <c r="M379" s="6">
        <v>0.19700000000000001</v>
      </c>
      <c r="N379" s="6">
        <v>0.16420000000000001</v>
      </c>
      <c r="O379" s="6">
        <v>0</v>
      </c>
      <c r="P379" s="6">
        <v>1</v>
      </c>
      <c r="Q379" s="6">
        <v>1</v>
      </c>
      <c r="R379" s="8"/>
      <c r="S379" s="8"/>
      <c r="T379" s="8"/>
      <c r="V379">
        <v>8</v>
      </c>
      <c r="W379">
        <v>57</v>
      </c>
    </row>
    <row r="380" spans="1:23">
      <c r="A380" s="3">
        <v>379</v>
      </c>
      <c r="B380" s="4">
        <v>40560</v>
      </c>
      <c r="C380" s="3">
        <v>1</v>
      </c>
      <c r="D380" s="3">
        <v>0</v>
      </c>
      <c r="E380" s="3" t="str">
        <f t="shared" si="19"/>
        <v>January</v>
      </c>
      <c r="F380" s="3">
        <v>6</v>
      </c>
      <c r="G380" s="3" t="b">
        <v>0</v>
      </c>
      <c r="H380" s="3" t="str">
        <f t="shared" si="21"/>
        <v>Monday</v>
      </c>
      <c r="I380" s="3">
        <v>1</v>
      </c>
      <c r="J380" s="3" t="str">
        <f t="shared" si="20"/>
        <v>Foggy</v>
      </c>
      <c r="K380" s="3">
        <v>0.18</v>
      </c>
      <c r="L380" s="6">
        <v>0.43</v>
      </c>
      <c r="M380" s="6">
        <v>0.18179999999999999</v>
      </c>
      <c r="N380" s="6">
        <v>0.19400000000000001</v>
      </c>
      <c r="O380" s="6">
        <v>0</v>
      </c>
      <c r="P380" s="6">
        <v>5</v>
      </c>
      <c r="Q380" s="6">
        <v>5</v>
      </c>
      <c r="R380" s="8"/>
      <c r="S380" s="8"/>
      <c r="T380" s="8"/>
      <c r="V380">
        <v>9</v>
      </c>
      <c r="W380">
        <v>112</v>
      </c>
    </row>
    <row r="381" spans="1:23">
      <c r="A381" s="3">
        <v>380</v>
      </c>
      <c r="B381" s="4">
        <v>40560</v>
      </c>
      <c r="C381" s="3">
        <v>1</v>
      </c>
      <c r="D381" s="3">
        <v>0</v>
      </c>
      <c r="E381" s="3" t="str">
        <f t="shared" si="19"/>
        <v>January</v>
      </c>
      <c r="F381" s="3">
        <v>7</v>
      </c>
      <c r="G381" s="3" t="b">
        <v>0</v>
      </c>
      <c r="H381" s="3" t="str">
        <f t="shared" si="21"/>
        <v>Monday</v>
      </c>
      <c r="I381" s="3">
        <v>1</v>
      </c>
      <c r="J381" s="3" t="str">
        <f t="shared" si="20"/>
        <v>Foggy</v>
      </c>
      <c r="K381" s="3">
        <v>0.16</v>
      </c>
      <c r="L381" s="6">
        <v>0.5</v>
      </c>
      <c r="M381" s="6">
        <v>0.18179999999999999</v>
      </c>
      <c r="N381" s="6">
        <v>0.1343</v>
      </c>
      <c r="O381" s="6">
        <v>4</v>
      </c>
      <c r="P381" s="6">
        <v>9</v>
      </c>
      <c r="Q381" s="6">
        <v>13</v>
      </c>
      <c r="R381" s="8"/>
      <c r="S381" s="8"/>
      <c r="T381" s="8"/>
      <c r="V381">
        <v>17</v>
      </c>
      <c r="W381">
        <v>48</v>
      </c>
    </row>
    <row r="382" spans="1:23">
      <c r="A382" s="3">
        <v>381</v>
      </c>
      <c r="B382" s="4">
        <v>40560</v>
      </c>
      <c r="C382" s="3">
        <v>1</v>
      </c>
      <c r="D382" s="3">
        <v>0</v>
      </c>
      <c r="E382" s="3" t="str">
        <f t="shared" si="19"/>
        <v>January</v>
      </c>
      <c r="F382" s="3">
        <v>8</v>
      </c>
      <c r="G382" s="3" t="b">
        <v>0</v>
      </c>
      <c r="H382" s="3" t="str">
        <f t="shared" si="21"/>
        <v>Monday</v>
      </c>
      <c r="I382" s="3">
        <v>1</v>
      </c>
      <c r="J382" s="3" t="str">
        <f t="shared" si="20"/>
        <v>Foggy</v>
      </c>
      <c r="K382" s="3">
        <v>0.16</v>
      </c>
      <c r="L382" s="6">
        <v>0.47</v>
      </c>
      <c r="M382" s="6">
        <v>0.1515</v>
      </c>
      <c r="N382" s="6">
        <v>0.22389999999999999</v>
      </c>
      <c r="O382" s="6">
        <v>3</v>
      </c>
      <c r="P382" s="6">
        <v>30</v>
      </c>
      <c r="Q382" s="6">
        <v>33</v>
      </c>
      <c r="R382" s="8"/>
      <c r="S382" s="8"/>
      <c r="T382" s="8"/>
      <c r="U382">
        <v>66</v>
      </c>
      <c r="W382">
        <v>59</v>
      </c>
    </row>
    <row r="383" spans="1:23">
      <c r="A383" s="3">
        <v>382</v>
      </c>
      <c r="B383" s="4">
        <v>40560</v>
      </c>
      <c r="C383" s="3">
        <v>1</v>
      </c>
      <c r="D383" s="3">
        <v>0</v>
      </c>
      <c r="E383" s="3" t="str">
        <f t="shared" si="19"/>
        <v>January</v>
      </c>
      <c r="F383" s="3">
        <v>9</v>
      </c>
      <c r="G383" s="3" t="b">
        <v>0</v>
      </c>
      <c r="H383" s="3" t="str">
        <f t="shared" si="21"/>
        <v>Monday</v>
      </c>
      <c r="I383" s="3">
        <v>1</v>
      </c>
      <c r="J383" s="3" t="str">
        <f t="shared" si="20"/>
        <v>Foggy</v>
      </c>
      <c r="K383" s="3">
        <v>0.16</v>
      </c>
      <c r="L383" s="6">
        <v>0.47</v>
      </c>
      <c r="M383" s="6">
        <v>0.1515</v>
      </c>
      <c r="N383" s="6">
        <v>0.22389999999999999</v>
      </c>
      <c r="O383" s="6">
        <v>8</v>
      </c>
      <c r="P383" s="6">
        <v>39</v>
      </c>
      <c r="Q383" s="6">
        <v>47</v>
      </c>
      <c r="R383" s="8"/>
      <c r="S383" s="8"/>
      <c r="T383" s="8"/>
      <c r="V383">
        <v>7</v>
      </c>
      <c r="W383">
        <v>59</v>
      </c>
    </row>
    <row r="384" spans="1:23">
      <c r="A384" s="3">
        <v>383</v>
      </c>
      <c r="B384" s="4">
        <v>40560</v>
      </c>
      <c r="C384" s="3">
        <v>1</v>
      </c>
      <c r="D384" s="3">
        <v>0</v>
      </c>
      <c r="E384" s="3" t="str">
        <f t="shared" si="19"/>
        <v>January</v>
      </c>
      <c r="F384" s="3">
        <v>10</v>
      </c>
      <c r="G384" s="3" t="b">
        <v>0</v>
      </c>
      <c r="H384" s="3" t="str">
        <f t="shared" si="21"/>
        <v>Monday</v>
      </c>
      <c r="I384" s="3">
        <v>1</v>
      </c>
      <c r="J384" s="3" t="str">
        <f t="shared" si="20"/>
        <v>Foggy</v>
      </c>
      <c r="K384" s="3">
        <v>0.16</v>
      </c>
      <c r="L384" s="6">
        <v>0.5</v>
      </c>
      <c r="M384" s="6">
        <v>0.1515</v>
      </c>
      <c r="N384" s="6">
        <v>0.25369999999999998</v>
      </c>
      <c r="O384" s="6">
        <v>7</v>
      </c>
      <c r="P384" s="6">
        <v>50</v>
      </c>
      <c r="Q384" s="6">
        <v>57</v>
      </c>
      <c r="R384" s="8"/>
      <c r="S384" s="8"/>
      <c r="T384" s="8"/>
      <c r="U384">
        <v>67</v>
      </c>
      <c r="W384">
        <v>270</v>
      </c>
    </row>
    <row r="385" spans="1:23">
      <c r="A385" s="3">
        <v>384</v>
      </c>
      <c r="B385" s="4">
        <v>40560</v>
      </c>
      <c r="C385" s="3">
        <v>1</v>
      </c>
      <c r="D385" s="3">
        <v>0</v>
      </c>
      <c r="E385" s="3" t="str">
        <f t="shared" si="19"/>
        <v>January</v>
      </c>
      <c r="F385" s="3">
        <v>11</v>
      </c>
      <c r="G385" s="3" t="b">
        <v>0</v>
      </c>
      <c r="H385" s="3" t="str">
        <f t="shared" si="21"/>
        <v>Monday</v>
      </c>
      <c r="I385" s="3">
        <v>1</v>
      </c>
      <c r="J385" s="3" t="str">
        <f t="shared" si="20"/>
        <v>Foggy</v>
      </c>
      <c r="K385" s="3">
        <v>0.16</v>
      </c>
      <c r="L385" s="6">
        <v>0.55000000000000004</v>
      </c>
      <c r="M385" s="6">
        <v>0.1515</v>
      </c>
      <c r="N385" s="6">
        <v>0.19400000000000001</v>
      </c>
      <c r="O385" s="6">
        <v>9</v>
      </c>
      <c r="P385" s="6">
        <v>55</v>
      </c>
      <c r="Q385" s="6">
        <v>64</v>
      </c>
      <c r="R385" s="8"/>
      <c r="S385" s="8"/>
      <c r="T385" s="8"/>
      <c r="V385">
        <v>8</v>
      </c>
      <c r="W385">
        <v>59</v>
      </c>
    </row>
    <row r="386" spans="1:23">
      <c r="A386" s="3">
        <v>385</v>
      </c>
      <c r="B386" s="4">
        <v>40560</v>
      </c>
      <c r="C386" s="3">
        <v>1</v>
      </c>
      <c r="D386" s="3">
        <v>0</v>
      </c>
      <c r="E386" s="3" t="str">
        <f t="shared" si="19"/>
        <v>January</v>
      </c>
      <c r="F386" s="3">
        <v>12</v>
      </c>
      <c r="G386" s="3" t="b">
        <v>0</v>
      </c>
      <c r="H386" s="3" t="str">
        <f t="shared" si="21"/>
        <v>Monday</v>
      </c>
      <c r="I386" s="3">
        <v>1</v>
      </c>
      <c r="J386" s="3" t="str">
        <f t="shared" si="20"/>
        <v>Foggy</v>
      </c>
      <c r="K386" s="3">
        <v>0.18</v>
      </c>
      <c r="L386" s="6">
        <v>0.47</v>
      </c>
      <c r="M386" s="6">
        <v>0.19700000000000001</v>
      </c>
      <c r="N386" s="6">
        <v>0.1343</v>
      </c>
      <c r="O386" s="6">
        <v>10</v>
      </c>
      <c r="P386" s="6">
        <v>70</v>
      </c>
      <c r="Q386" s="6">
        <v>80</v>
      </c>
      <c r="R386" s="8"/>
      <c r="S386" s="8"/>
      <c r="T386" s="8"/>
      <c r="V386">
        <v>11</v>
      </c>
      <c r="W386">
        <v>56</v>
      </c>
    </row>
    <row r="387" spans="1:23">
      <c r="A387" s="3">
        <v>386</v>
      </c>
      <c r="B387" s="4">
        <v>40560</v>
      </c>
      <c r="C387" s="3">
        <v>1</v>
      </c>
      <c r="D387" s="3">
        <v>0</v>
      </c>
      <c r="E387" s="3" t="str">
        <f t="shared" ref="E387:E450" si="22">TEXT(B387,"MMMM")</f>
        <v>January</v>
      </c>
      <c r="F387" s="3">
        <v>13</v>
      </c>
      <c r="G387" s="3" t="b">
        <v>0</v>
      </c>
      <c r="H387" s="3" t="str">
        <f t="shared" si="21"/>
        <v>Monday</v>
      </c>
      <c r="I387" s="3">
        <v>1</v>
      </c>
      <c r="J387" s="3" t="str">
        <f t="shared" si="20"/>
        <v>Foggy</v>
      </c>
      <c r="K387" s="3">
        <v>0.18</v>
      </c>
      <c r="L387" s="6">
        <v>0.47</v>
      </c>
      <c r="M387" s="6">
        <v>0.19700000000000001</v>
      </c>
      <c r="N387" s="6">
        <v>0.1343</v>
      </c>
      <c r="O387" s="6">
        <v>13</v>
      </c>
      <c r="P387" s="6">
        <v>80</v>
      </c>
      <c r="Q387" s="6">
        <v>93</v>
      </c>
      <c r="R387" s="8"/>
      <c r="S387" s="8"/>
      <c r="T387" s="8"/>
      <c r="V387">
        <v>12</v>
      </c>
      <c r="W387">
        <v>55</v>
      </c>
    </row>
    <row r="388" spans="1:23">
      <c r="A388" s="3">
        <v>387</v>
      </c>
      <c r="B388" s="4">
        <v>40560</v>
      </c>
      <c r="C388" s="3">
        <v>1</v>
      </c>
      <c r="D388" s="3">
        <v>0</v>
      </c>
      <c r="E388" s="3" t="str">
        <f t="shared" si="22"/>
        <v>January</v>
      </c>
      <c r="F388" s="3">
        <v>14</v>
      </c>
      <c r="G388" s="3" t="b">
        <v>0</v>
      </c>
      <c r="H388" s="3" t="str">
        <f t="shared" si="21"/>
        <v>Monday</v>
      </c>
      <c r="I388" s="3">
        <v>1</v>
      </c>
      <c r="J388" s="3" t="str">
        <f t="shared" si="20"/>
        <v>Foggy</v>
      </c>
      <c r="K388" s="3">
        <v>0.18</v>
      </c>
      <c r="L388" s="6">
        <v>0.43</v>
      </c>
      <c r="M388" s="6">
        <v>0.21210000000000001</v>
      </c>
      <c r="N388" s="6">
        <v>0.1045</v>
      </c>
      <c r="O388" s="6">
        <v>12</v>
      </c>
      <c r="P388" s="6">
        <v>74</v>
      </c>
      <c r="Q388" s="6">
        <v>86</v>
      </c>
      <c r="R388" s="8"/>
      <c r="S388" s="8"/>
      <c r="T388" s="8"/>
      <c r="V388">
        <v>15</v>
      </c>
      <c r="W388">
        <v>52</v>
      </c>
    </row>
    <row r="389" spans="1:23">
      <c r="A389" s="3">
        <v>388</v>
      </c>
      <c r="B389" s="4">
        <v>40560</v>
      </c>
      <c r="C389" s="3">
        <v>1</v>
      </c>
      <c r="D389" s="3">
        <v>0</v>
      </c>
      <c r="E389" s="3" t="str">
        <f t="shared" si="22"/>
        <v>January</v>
      </c>
      <c r="F389" s="3">
        <v>15</v>
      </c>
      <c r="G389" s="3" t="b">
        <v>0</v>
      </c>
      <c r="H389" s="3" t="str">
        <f t="shared" si="21"/>
        <v>Monday</v>
      </c>
      <c r="I389" s="3">
        <v>1</v>
      </c>
      <c r="J389" s="3" t="str">
        <f t="shared" si="20"/>
        <v>Foggy</v>
      </c>
      <c r="K389" s="3">
        <v>0.2</v>
      </c>
      <c r="L389" s="6">
        <v>0.47</v>
      </c>
      <c r="M389" s="6">
        <v>0.21210000000000001</v>
      </c>
      <c r="N389" s="6">
        <v>0.16420000000000001</v>
      </c>
      <c r="O389" s="6">
        <v>21</v>
      </c>
      <c r="P389" s="6">
        <v>72</v>
      </c>
      <c r="Q389" s="6">
        <v>93</v>
      </c>
      <c r="R389" s="8"/>
      <c r="S389" s="8"/>
      <c r="T389" s="8"/>
      <c r="V389">
        <v>19</v>
      </c>
      <c r="W389">
        <v>48</v>
      </c>
    </row>
    <row r="390" spans="1:23">
      <c r="A390" s="3">
        <v>389</v>
      </c>
      <c r="B390" s="4">
        <v>40560</v>
      </c>
      <c r="C390" s="3">
        <v>1</v>
      </c>
      <c r="D390" s="3">
        <v>0</v>
      </c>
      <c r="E390" s="3" t="str">
        <f t="shared" si="22"/>
        <v>January</v>
      </c>
      <c r="F390" s="3">
        <v>16</v>
      </c>
      <c r="G390" s="3" t="b">
        <v>0</v>
      </c>
      <c r="H390" s="3" t="str">
        <f t="shared" si="21"/>
        <v>Monday</v>
      </c>
      <c r="I390" s="3">
        <v>1</v>
      </c>
      <c r="J390" s="3" t="str">
        <f t="shared" si="20"/>
        <v>Foggy</v>
      </c>
      <c r="K390" s="3">
        <v>0.2</v>
      </c>
      <c r="L390" s="6">
        <v>0.47</v>
      </c>
      <c r="M390" s="6">
        <v>0.21210000000000001</v>
      </c>
      <c r="N390" s="6">
        <v>0.16420000000000001</v>
      </c>
      <c r="O390" s="6">
        <v>6</v>
      </c>
      <c r="P390" s="6">
        <v>76</v>
      </c>
      <c r="Q390" s="6">
        <v>82</v>
      </c>
      <c r="R390" s="8"/>
      <c r="S390" s="8"/>
      <c r="T390" s="8"/>
      <c r="U390">
        <v>68</v>
      </c>
      <c r="W390">
        <v>497</v>
      </c>
    </row>
    <row r="391" spans="1:23">
      <c r="A391" s="3">
        <v>390</v>
      </c>
      <c r="B391" s="4">
        <v>40560</v>
      </c>
      <c r="C391" s="3">
        <v>1</v>
      </c>
      <c r="D391" s="3">
        <v>0</v>
      </c>
      <c r="E391" s="3" t="str">
        <f t="shared" si="22"/>
        <v>January</v>
      </c>
      <c r="F391" s="3">
        <v>17</v>
      </c>
      <c r="G391" s="3" t="b">
        <v>0</v>
      </c>
      <c r="H391" s="3" t="str">
        <f t="shared" si="21"/>
        <v>Monday</v>
      </c>
      <c r="I391" s="3">
        <v>1</v>
      </c>
      <c r="J391" s="3" t="str">
        <f t="shared" ref="J391:J454" si="23">IF($K391&lt;=0.24,"Foggy",IF($K391&gt;0.24,"Clear"))</f>
        <v>Foggy</v>
      </c>
      <c r="K391" s="3">
        <v>0.2</v>
      </c>
      <c r="L391" s="6">
        <v>0.51</v>
      </c>
      <c r="M391" s="6">
        <v>0.19700000000000001</v>
      </c>
      <c r="N391" s="6">
        <v>0.19400000000000001</v>
      </c>
      <c r="O391" s="6">
        <v>4</v>
      </c>
      <c r="P391" s="6">
        <v>67</v>
      </c>
      <c r="Q391" s="6">
        <v>71</v>
      </c>
      <c r="R391" s="8"/>
      <c r="S391" s="8"/>
      <c r="T391" s="8"/>
      <c r="V391">
        <v>0</v>
      </c>
      <c r="W391">
        <v>68</v>
      </c>
    </row>
    <row r="392" spans="1:23">
      <c r="A392" s="3">
        <v>391</v>
      </c>
      <c r="B392" s="4">
        <v>40560</v>
      </c>
      <c r="C392" s="3">
        <v>1</v>
      </c>
      <c r="D392" s="3">
        <v>0</v>
      </c>
      <c r="E392" s="3" t="str">
        <f t="shared" si="22"/>
        <v>January</v>
      </c>
      <c r="F392" s="3">
        <v>18</v>
      </c>
      <c r="G392" s="3" t="b">
        <v>0</v>
      </c>
      <c r="H392" s="3" t="str">
        <f t="shared" si="21"/>
        <v>Monday</v>
      </c>
      <c r="I392" s="3">
        <v>1</v>
      </c>
      <c r="J392" s="3" t="str">
        <f t="shared" si="23"/>
        <v>Foggy</v>
      </c>
      <c r="K392" s="3">
        <v>0.18</v>
      </c>
      <c r="L392" s="6">
        <v>0.55000000000000004</v>
      </c>
      <c r="M392" s="6">
        <v>0.16669999999999999</v>
      </c>
      <c r="N392" s="6">
        <v>0.25369999999999998</v>
      </c>
      <c r="O392" s="6">
        <v>7</v>
      </c>
      <c r="P392" s="6">
        <v>85</v>
      </c>
      <c r="Q392" s="6">
        <v>92</v>
      </c>
      <c r="R392" s="8"/>
      <c r="S392" s="8"/>
      <c r="T392" s="8"/>
      <c r="V392">
        <v>2</v>
      </c>
      <c r="W392">
        <v>66</v>
      </c>
    </row>
    <row r="393" spans="1:23">
      <c r="A393" s="3">
        <v>392</v>
      </c>
      <c r="B393" s="4">
        <v>40560</v>
      </c>
      <c r="C393" s="3">
        <v>1</v>
      </c>
      <c r="D393" s="3">
        <v>0</v>
      </c>
      <c r="E393" s="3" t="str">
        <f t="shared" si="22"/>
        <v>January</v>
      </c>
      <c r="F393" s="3">
        <v>19</v>
      </c>
      <c r="G393" s="3" t="b">
        <v>0</v>
      </c>
      <c r="H393" s="3" t="str">
        <f t="shared" ref="H393:H456" si="24">TEXT(B393,"dddd")</f>
        <v>Monday</v>
      </c>
      <c r="I393" s="3">
        <v>1</v>
      </c>
      <c r="J393" s="3" t="str">
        <f t="shared" si="23"/>
        <v>Foggy</v>
      </c>
      <c r="K393" s="3">
        <v>0.18</v>
      </c>
      <c r="L393" s="6">
        <v>0.59</v>
      </c>
      <c r="M393" s="6">
        <v>0.18179999999999999</v>
      </c>
      <c r="N393" s="6">
        <v>0.19400000000000001</v>
      </c>
      <c r="O393" s="6">
        <v>2</v>
      </c>
      <c r="P393" s="6">
        <v>58</v>
      </c>
      <c r="Q393" s="6">
        <v>60</v>
      </c>
      <c r="R393" s="8"/>
      <c r="S393" s="8"/>
      <c r="T393" s="8"/>
      <c r="V393">
        <v>5</v>
      </c>
      <c r="W393">
        <v>126</v>
      </c>
    </row>
    <row r="394" spans="1:23">
      <c r="A394" s="3">
        <v>393</v>
      </c>
      <c r="B394" s="4">
        <v>40560</v>
      </c>
      <c r="C394" s="3">
        <v>1</v>
      </c>
      <c r="D394" s="3">
        <v>0</v>
      </c>
      <c r="E394" s="3" t="str">
        <f t="shared" si="22"/>
        <v>January</v>
      </c>
      <c r="F394" s="3">
        <v>20</v>
      </c>
      <c r="G394" s="3" t="b">
        <v>0</v>
      </c>
      <c r="H394" s="3" t="str">
        <f t="shared" si="24"/>
        <v>Monday</v>
      </c>
      <c r="I394" s="3">
        <v>1</v>
      </c>
      <c r="J394" s="3" t="str">
        <f t="shared" si="23"/>
        <v>Foggy</v>
      </c>
      <c r="K394" s="3">
        <v>0.16</v>
      </c>
      <c r="L394" s="6">
        <v>0.8</v>
      </c>
      <c r="M394" s="6">
        <v>0.1515</v>
      </c>
      <c r="N394" s="6">
        <v>0.19400000000000001</v>
      </c>
      <c r="O394" s="6">
        <v>4</v>
      </c>
      <c r="P394" s="6">
        <v>29</v>
      </c>
      <c r="Q394" s="6">
        <v>33</v>
      </c>
      <c r="R394" s="8"/>
      <c r="S394" s="8"/>
      <c r="T394" s="8"/>
      <c r="V394">
        <v>6</v>
      </c>
      <c r="W394">
        <v>62</v>
      </c>
    </row>
    <row r="395" spans="1:23">
      <c r="A395" s="3">
        <v>394</v>
      </c>
      <c r="B395" s="4">
        <v>40560</v>
      </c>
      <c r="C395" s="3">
        <v>1</v>
      </c>
      <c r="D395" s="3">
        <v>0</v>
      </c>
      <c r="E395" s="3" t="str">
        <f t="shared" si="22"/>
        <v>January</v>
      </c>
      <c r="F395" s="3">
        <v>21</v>
      </c>
      <c r="G395" s="3" t="b">
        <v>0</v>
      </c>
      <c r="H395" s="3" t="str">
        <f t="shared" si="24"/>
        <v>Monday</v>
      </c>
      <c r="I395" s="3">
        <v>1</v>
      </c>
      <c r="J395" s="3" t="str">
        <f t="shared" si="23"/>
        <v>Foggy</v>
      </c>
      <c r="K395" s="3">
        <v>0.16</v>
      </c>
      <c r="L395" s="6">
        <v>0.8</v>
      </c>
      <c r="M395" s="6">
        <v>0.1515</v>
      </c>
      <c r="N395" s="6">
        <v>0.19400000000000001</v>
      </c>
      <c r="O395" s="6">
        <v>3</v>
      </c>
      <c r="P395" s="6">
        <v>24</v>
      </c>
      <c r="Q395" s="6">
        <v>27</v>
      </c>
      <c r="R395" s="8"/>
      <c r="S395" s="8"/>
      <c r="T395" s="8"/>
      <c r="V395">
        <v>9</v>
      </c>
      <c r="W395">
        <v>118</v>
      </c>
    </row>
    <row r="396" spans="1:23">
      <c r="A396" s="3">
        <v>395</v>
      </c>
      <c r="B396" s="4">
        <v>40560</v>
      </c>
      <c r="C396" s="3">
        <v>1</v>
      </c>
      <c r="D396" s="3">
        <v>0</v>
      </c>
      <c r="E396" s="3" t="str">
        <f t="shared" si="22"/>
        <v>January</v>
      </c>
      <c r="F396" s="3">
        <v>22</v>
      </c>
      <c r="G396" s="3" t="b">
        <v>0</v>
      </c>
      <c r="H396" s="3" t="str">
        <f t="shared" si="24"/>
        <v>Monday</v>
      </c>
      <c r="I396" s="3">
        <v>1</v>
      </c>
      <c r="J396" s="3" t="str">
        <f t="shared" si="23"/>
        <v>Foggy</v>
      </c>
      <c r="K396" s="3">
        <v>0.14000000000000001</v>
      </c>
      <c r="L396" s="6">
        <v>0.93</v>
      </c>
      <c r="M396" s="6">
        <v>0.1212</v>
      </c>
      <c r="N396" s="6">
        <v>0.25369999999999998</v>
      </c>
      <c r="O396" s="6">
        <v>0</v>
      </c>
      <c r="P396" s="6">
        <v>13</v>
      </c>
      <c r="Q396" s="6">
        <v>13</v>
      </c>
      <c r="R396" s="8"/>
      <c r="S396" s="8"/>
      <c r="T396" s="8"/>
      <c r="V396">
        <v>11</v>
      </c>
      <c r="W396">
        <v>57</v>
      </c>
    </row>
    <row r="397" spans="1:23">
      <c r="A397" s="3">
        <v>396</v>
      </c>
      <c r="B397" s="4">
        <v>40560</v>
      </c>
      <c r="C397" s="3">
        <v>1</v>
      </c>
      <c r="D397" s="3">
        <v>0</v>
      </c>
      <c r="E397" s="3" t="str">
        <f t="shared" si="22"/>
        <v>January</v>
      </c>
      <c r="F397" s="3">
        <v>23</v>
      </c>
      <c r="G397" s="3" t="b">
        <v>0</v>
      </c>
      <c r="H397" s="3" t="str">
        <f t="shared" si="24"/>
        <v>Monday</v>
      </c>
      <c r="I397" s="3">
        <v>1</v>
      </c>
      <c r="J397" s="3" t="str">
        <f t="shared" si="23"/>
        <v>Foggy</v>
      </c>
      <c r="K397" s="3">
        <v>0.16</v>
      </c>
      <c r="L397" s="6">
        <v>0.86</v>
      </c>
      <c r="M397" s="6">
        <v>0.13639999999999999</v>
      </c>
      <c r="N397" s="6">
        <v>0.28360000000000002</v>
      </c>
      <c r="O397" s="6">
        <v>1</v>
      </c>
      <c r="P397" s="6">
        <v>3</v>
      </c>
      <c r="Q397" s="6">
        <v>4</v>
      </c>
      <c r="R397" s="8"/>
      <c r="S397" s="8"/>
      <c r="T397" s="8"/>
      <c r="U397">
        <v>69</v>
      </c>
      <c r="W397">
        <v>461</v>
      </c>
    </row>
    <row r="398" spans="1:23">
      <c r="A398" s="3">
        <v>397</v>
      </c>
      <c r="B398" s="4">
        <v>40561</v>
      </c>
      <c r="C398" s="3">
        <v>1</v>
      </c>
      <c r="D398" s="3">
        <v>0</v>
      </c>
      <c r="E398" s="3" t="str">
        <f t="shared" si="22"/>
        <v>January</v>
      </c>
      <c r="F398" s="3">
        <v>12</v>
      </c>
      <c r="G398" s="3" t="b">
        <v>0</v>
      </c>
      <c r="H398" s="3" t="str">
        <f t="shared" si="24"/>
        <v>Tuesday</v>
      </c>
      <c r="I398" s="3">
        <v>2</v>
      </c>
      <c r="J398" s="3" t="str">
        <f t="shared" si="23"/>
        <v>Foggy</v>
      </c>
      <c r="K398" s="3">
        <v>0.2</v>
      </c>
      <c r="L398" s="6">
        <v>0.86</v>
      </c>
      <c r="M398" s="6">
        <v>0.18179999999999999</v>
      </c>
      <c r="N398" s="6">
        <v>0.32840000000000003</v>
      </c>
      <c r="O398" s="6">
        <v>0</v>
      </c>
      <c r="P398" s="6">
        <v>3</v>
      </c>
      <c r="Q398" s="6">
        <v>3</v>
      </c>
      <c r="R398" s="8"/>
      <c r="S398" s="8"/>
      <c r="T398" s="8"/>
      <c r="V398">
        <v>1</v>
      </c>
      <c r="W398">
        <v>68</v>
      </c>
    </row>
    <row r="399" spans="1:23">
      <c r="A399" s="3">
        <v>398</v>
      </c>
      <c r="B399" s="4">
        <v>40561</v>
      </c>
      <c r="C399" s="3">
        <v>1</v>
      </c>
      <c r="D399" s="3">
        <v>0</v>
      </c>
      <c r="E399" s="3" t="str">
        <f t="shared" si="22"/>
        <v>January</v>
      </c>
      <c r="F399" s="3">
        <v>13</v>
      </c>
      <c r="G399" s="3" t="b">
        <v>0</v>
      </c>
      <c r="H399" s="3" t="str">
        <f t="shared" si="24"/>
        <v>Tuesday</v>
      </c>
      <c r="I399" s="3">
        <v>2</v>
      </c>
      <c r="J399" s="3" t="str">
        <f t="shared" si="23"/>
        <v>Foggy</v>
      </c>
      <c r="K399" s="3">
        <v>0.2</v>
      </c>
      <c r="L399" s="6">
        <v>0.86</v>
      </c>
      <c r="M399" s="6">
        <v>0.19700000000000001</v>
      </c>
      <c r="N399" s="6">
        <v>0.22389999999999999</v>
      </c>
      <c r="O399" s="6">
        <v>0</v>
      </c>
      <c r="P399" s="6">
        <v>22</v>
      </c>
      <c r="Q399" s="6">
        <v>22</v>
      </c>
      <c r="R399" s="8"/>
      <c r="S399" s="8"/>
      <c r="T399" s="8"/>
      <c r="V399">
        <v>2</v>
      </c>
      <c r="W399">
        <v>134</v>
      </c>
    </row>
    <row r="400" spans="1:23">
      <c r="A400" s="3">
        <v>399</v>
      </c>
      <c r="B400" s="4">
        <v>40561</v>
      </c>
      <c r="C400" s="3">
        <v>1</v>
      </c>
      <c r="D400" s="3">
        <v>0</v>
      </c>
      <c r="E400" s="3" t="str">
        <f t="shared" si="22"/>
        <v>January</v>
      </c>
      <c r="F400" s="3">
        <v>14</v>
      </c>
      <c r="G400" s="3" t="b">
        <v>0</v>
      </c>
      <c r="H400" s="3" t="str">
        <f t="shared" si="24"/>
        <v>Tuesday</v>
      </c>
      <c r="I400" s="3">
        <v>2</v>
      </c>
      <c r="J400" s="3" t="str">
        <f t="shared" si="23"/>
        <v>Foggy</v>
      </c>
      <c r="K400" s="3">
        <v>0.22</v>
      </c>
      <c r="L400" s="6">
        <v>0.8</v>
      </c>
      <c r="M400" s="6">
        <v>0.2273</v>
      </c>
      <c r="N400" s="6">
        <v>0.16420000000000001</v>
      </c>
      <c r="O400" s="6">
        <v>2</v>
      </c>
      <c r="P400" s="6">
        <v>26</v>
      </c>
      <c r="Q400" s="6">
        <v>28</v>
      </c>
      <c r="R400" s="8"/>
      <c r="S400" s="8"/>
      <c r="T400" s="8"/>
      <c r="V400">
        <v>3</v>
      </c>
      <c r="W400">
        <v>66</v>
      </c>
    </row>
    <row r="401" spans="1:23">
      <c r="A401" s="3">
        <v>400</v>
      </c>
      <c r="B401" s="4">
        <v>40561</v>
      </c>
      <c r="C401" s="3">
        <v>1</v>
      </c>
      <c r="D401" s="3">
        <v>0</v>
      </c>
      <c r="E401" s="3" t="str">
        <f t="shared" si="22"/>
        <v>January</v>
      </c>
      <c r="F401" s="3">
        <v>15</v>
      </c>
      <c r="G401" s="3" t="b">
        <v>0</v>
      </c>
      <c r="H401" s="3" t="str">
        <f t="shared" si="24"/>
        <v>Tuesday</v>
      </c>
      <c r="I401" s="3">
        <v>2</v>
      </c>
      <c r="J401" s="3" t="str">
        <f t="shared" si="23"/>
        <v>Foggy</v>
      </c>
      <c r="K401" s="3">
        <v>0.22</v>
      </c>
      <c r="L401" s="6">
        <v>0.87</v>
      </c>
      <c r="M401" s="6">
        <v>0.2273</v>
      </c>
      <c r="N401" s="6">
        <v>0.16420000000000001</v>
      </c>
      <c r="O401" s="6">
        <v>3</v>
      </c>
      <c r="P401" s="6">
        <v>32</v>
      </c>
      <c r="Q401" s="6">
        <v>35</v>
      </c>
      <c r="R401" s="8"/>
      <c r="S401" s="8"/>
      <c r="T401" s="8"/>
      <c r="V401">
        <v>4</v>
      </c>
      <c r="W401">
        <v>65</v>
      </c>
    </row>
    <row r="402" spans="1:23">
      <c r="A402" s="3">
        <v>401</v>
      </c>
      <c r="B402" s="4">
        <v>40561</v>
      </c>
      <c r="C402" s="3">
        <v>1</v>
      </c>
      <c r="D402" s="3">
        <v>0</v>
      </c>
      <c r="E402" s="3" t="str">
        <f t="shared" si="22"/>
        <v>January</v>
      </c>
      <c r="F402" s="3">
        <v>16</v>
      </c>
      <c r="G402" s="3" t="b">
        <v>0</v>
      </c>
      <c r="H402" s="3" t="str">
        <f t="shared" si="24"/>
        <v>Tuesday</v>
      </c>
      <c r="I402" s="3">
        <v>2</v>
      </c>
      <c r="J402" s="3" t="str">
        <f t="shared" si="23"/>
        <v>Foggy</v>
      </c>
      <c r="K402" s="3">
        <v>0.22</v>
      </c>
      <c r="L402" s="6">
        <v>0.87</v>
      </c>
      <c r="M402" s="6">
        <v>0.2273</v>
      </c>
      <c r="N402" s="6">
        <v>0.19400000000000001</v>
      </c>
      <c r="O402" s="6">
        <v>0</v>
      </c>
      <c r="P402" s="6">
        <v>61</v>
      </c>
      <c r="Q402" s="6">
        <v>61</v>
      </c>
      <c r="R402" s="8"/>
      <c r="S402" s="8"/>
      <c r="T402" s="8"/>
      <c r="V402">
        <v>5</v>
      </c>
      <c r="W402">
        <v>128</v>
      </c>
    </row>
    <row r="403" spans="1:23">
      <c r="A403" s="3">
        <v>402</v>
      </c>
      <c r="B403" s="4">
        <v>40561</v>
      </c>
      <c r="C403" s="3">
        <v>1</v>
      </c>
      <c r="D403" s="3">
        <v>0</v>
      </c>
      <c r="E403" s="3" t="str">
        <f t="shared" si="22"/>
        <v>January</v>
      </c>
      <c r="F403" s="3">
        <v>17</v>
      </c>
      <c r="G403" s="3" t="b">
        <v>0</v>
      </c>
      <c r="H403" s="3" t="str">
        <f t="shared" si="24"/>
        <v>Tuesday</v>
      </c>
      <c r="I403" s="3">
        <v>2</v>
      </c>
      <c r="J403" s="3" t="str">
        <f t="shared" si="23"/>
        <v>Foggy</v>
      </c>
      <c r="K403" s="3">
        <v>0.22</v>
      </c>
      <c r="L403" s="6">
        <v>0.82</v>
      </c>
      <c r="M403" s="6">
        <v>0.2273</v>
      </c>
      <c r="N403" s="6">
        <v>0.19400000000000001</v>
      </c>
      <c r="O403" s="6">
        <v>1</v>
      </c>
      <c r="P403" s="6">
        <v>124</v>
      </c>
      <c r="Q403" s="6">
        <v>125</v>
      </c>
      <c r="R403" s="8"/>
      <c r="S403" s="8"/>
      <c r="T403" s="8"/>
      <c r="U403">
        <v>70</v>
      </c>
      <c r="W403">
        <v>436</v>
      </c>
    </row>
    <row r="404" spans="1:23">
      <c r="A404" s="3">
        <v>403</v>
      </c>
      <c r="B404" s="4">
        <v>40561</v>
      </c>
      <c r="C404" s="3">
        <v>1</v>
      </c>
      <c r="D404" s="3">
        <v>0</v>
      </c>
      <c r="E404" s="3" t="str">
        <f t="shared" si="22"/>
        <v>January</v>
      </c>
      <c r="F404" s="3">
        <v>18</v>
      </c>
      <c r="G404" s="3" t="b">
        <v>0</v>
      </c>
      <c r="H404" s="3" t="str">
        <f t="shared" si="24"/>
        <v>Tuesday</v>
      </c>
      <c r="I404" s="3">
        <v>2</v>
      </c>
      <c r="J404" s="3" t="str">
        <f t="shared" si="23"/>
        <v>Foggy</v>
      </c>
      <c r="K404" s="3">
        <v>0.22</v>
      </c>
      <c r="L404" s="6">
        <v>0.8</v>
      </c>
      <c r="M404" s="6">
        <v>0.2273</v>
      </c>
      <c r="N404" s="6">
        <v>0.16420000000000001</v>
      </c>
      <c r="O404" s="6">
        <v>1</v>
      </c>
      <c r="P404" s="6">
        <v>132</v>
      </c>
      <c r="Q404" s="6">
        <v>133</v>
      </c>
      <c r="R404" s="8"/>
      <c r="S404" s="8"/>
      <c r="T404" s="8"/>
      <c r="V404">
        <v>0</v>
      </c>
      <c r="W404">
        <v>70</v>
      </c>
    </row>
    <row r="405" spans="1:23">
      <c r="A405" s="3">
        <v>404</v>
      </c>
      <c r="B405" s="4">
        <v>40561</v>
      </c>
      <c r="C405" s="3">
        <v>1</v>
      </c>
      <c r="D405" s="3">
        <v>0</v>
      </c>
      <c r="E405" s="3" t="str">
        <f t="shared" si="22"/>
        <v>January</v>
      </c>
      <c r="F405" s="3">
        <v>19</v>
      </c>
      <c r="G405" s="3" t="b">
        <v>0</v>
      </c>
      <c r="H405" s="3" t="str">
        <f t="shared" si="24"/>
        <v>Tuesday</v>
      </c>
      <c r="I405" s="3">
        <v>2</v>
      </c>
      <c r="J405" s="3" t="str">
        <f t="shared" si="23"/>
        <v>Foggy</v>
      </c>
      <c r="K405" s="3">
        <v>0.22</v>
      </c>
      <c r="L405" s="6">
        <v>0.8</v>
      </c>
      <c r="M405" s="6">
        <v>0.2273</v>
      </c>
      <c r="N405" s="6">
        <v>0.1343</v>
      </c>
      <c r="O405" s="6">
        <v>1</v>
      </c>
      <c r="P405" s="6">
        <v>98</v>
      </c>
      <c r="Q405" s="6">
        <v>99</v>
      </c>
      <c r="R405" s="8"/>
      <c r="S405" s="8"/>
      <c r="T405" s="8"/>
      <c r="V405">
        <v>4</v>
      </c>
      <c r="W405">
        <v>66</v>
      </c>
    </row>
    <row r="406" spans="1:23">
      <c r="A406" s="3">
        <v>405</v>
      </c>
      <c r="B406" s="4">
        <v>40561</v>
      </c>
      <c r="C406" s="3">
        <v>1</v>
      </c>
      <c r="D406" s="3">
        <v>0</v>
      </c>
      <c r="E406" s="3" t="str">
        <f t="shared" si="22"/>
        <v>January</v>
      </c>
      <c r="F406" s="3">
        <v>20</v>
      </c>
      <c r="G406" s="3" t="b">
        <v>0</v>
      </c>
      <c r="H406" s="3" t="str">
        <f t="shared" si="24"/>
        <v>Tuesday</v>
      </c>
      <c r="I406" s="3">
        <v>2</v>
      </c>
      <c r="J406" s="3" t="str">
        <f t="shared" si="23"/>
        <v>Foggy</v>
      </c>
      <c r="K406" s="3">
        <v>0.22</v>
      </c>
      <c r="L406" s="6">
        <v>0.87</v>
      </c>
      <c r="M406" s="6">
        <v>0.2727</v>
      </c>
      <c r="N406" s="6">
        <v>0</v>
      </c>
      <c r="O406" s="6">
        <v>0</v>
      </c>
      <c r="P406" s="6">
        <v>83</v>
      </c>
      <c r="Q406" s="6">
        <v>83</v>
      </c>
      <c r="R406" s="8"/>
      <c r="S406" s="8"/>
      <c r="T406" s="8"/>
      <c r="V406">
        <v>5</v>
      </c>
      <c r="W406">
        <v>65</v>
      </c>
    </row>
    <row r="407" spans="1:23">
      <c r="A407" s="3">
        <v>406</v>
      </c>
      <c r="B407" s="4">
        <v>40561</v>
      </c>
      <c r="C407" s="3">
        <v>1</v>
      </c>
      <c r="D407" s="3">
        <v>0</v>
      </c>
      <c r="E407" s="3" t="str">
        <f t="shared" si="22"/>
        <v>January</v>
      </c>
      <c r="F407" s="3">
        <v>21</v>
      </c>
      <c r="G407" s="3" t="b">
        <v>0</v>
      </c>
      <c r="H407" s="3" t="str">
        <f t="shared" si="24"/>
        <v>Tuesday</v>
      </c>
      <c r="I407" s="3">
        <v>2</v>
      </c>
      <c r="J407" s="3" t="str">
        <f t="shared" si="23"/>
        <v>Foggy</v>
      </c>
      <c r="K407" s="3">
        <v>0.22</v>
      </c>
      <c r="L407" s="6">
        <v>0.93</v>
      </c>
      <c r="M407" s="6">
        <v>0.2424</v>
      </c>
      <c r="N407" s="6">
        <v>0.1045</v>
      </c>
      <c r="O407" s="6">
        <v>0</v>
      </c>
      <c r="P407" s="6">
        <v>41</v>
      </c>
      <c r="Q407" s="6">
        <v>41</v>
      </c>
      <c r="R407" s="8"/>
      <c r="S407" s="8"/>
      <c r="T407" s="8"/>
      <c r="V407">
        <v>8</v>
      </c>
      <c r="W407">
        <v>62</v>
      </c>
    </row>
    <row r="408" spans="1:23">
      <c r="A408" s="3">
        <v>407</v>
      </c>
      <c r="B408" s="4">
        <v>40561</v>
      </c>
      <c r="C408" s="3">
        <v>1</v>
      </c>
      <c r="D408" s="3">
        <v>0</v>
      </c>
      <c r="E408" s="3" t="str">
        <f t="shared" si="22"/>
        <v>January</v>
      </c>
      <c r="F408" s="3">
        <v>22</v>
      </c>
      <c r="G408" s="3" t="b">
        <v>0</v>
      </c>
      <c r="H408" s="3" t="str">
        <f t="shared" si="24"/>
        <v>Tuesday</v>
      </c>
      <c r="I408" s="3">
        <v>2</v>
      </c>
      <c r="J408" s="3" t="str">
        <f t="shared" si="23"/>
        <v>Foggy</v>
      </c>
      <c r="K408" s="3">
        <v>0.22</v>
      </c>
      <c r="L408" s="6">
        <v>0.93</v>
      </c>
      <c r="M408" s="6">
        <v>0.2576</v>
      </c>
      <c r="N408" s="6">
        <v>8.9599999999999999E-2</v>
      </c>
      <c r="O408" s="6">
        <v>0</v>
      </c>
      <c r="P408" s="6">
        <v>33</v>
      </c>
      <c r="Q408" s="6">
        <v>33</v>
      </c>
      <c r="R408" s="8"/>
      <c r="S408" s="8"/>
      <c r="T408" s="8"/>
      <c r="V408">
        <v>10</v>
      </c>
      <c r="W408">
        <v>60</v>
      </c>
    </row>
    <row r="409" spans="1:23">
      <c r="A409" s="3">
        <v>408</v>
      </c>
      <c r="B409" s="4">
        <v>40561</v>
      </c>
      <c r="C409" s="3">
        <v>1</v>
      </c>
      <c r="D409" s="3">
        <v>0</v>
      </c>
      <c r="E409" s="3" t="str">
        <f t="shared" si="22"/>
        <v>January</v>
      </c>
      <c r="F409" s="3">
        <v>23</v>
      </c>
      <c r="G409" s="3" t="b">
        <v>0</v>
      </c>
      <c r="H409" s="3" t="str">
        <f t="shared" si="24"/>
        <v>Tuesday</v>
      </c>
      <c r="I409" s="3">
        <v>2</v>
      </c>
      <c r="J409" s="3" t="str">
        <f t="shared" si="23"/>
        <v>Foggy</v>
      </c>
      <c r="K409" s="3">
        <v>0.22</v>
      </c>
      <c r="L409" s="6">
        <v>0.93</v>
      </c>
      <c r="M409" s="6">
        <v>0.2727</v>
      </c>
      <c r="N409" s="6">
        <v>0</v>
      </c>
      <c r="O409" s="6">
        <v>1</v>
      </c>
      <c r="P409" s="6">
        <v>19</v>
      </c>
      <c r="Q409" s="6">
        <v>20</v>
      </c>
      <c r="R409" s="8"/>
      <c r="S409" s="8"/>
      <c r="T409" s="8"/>
      <c r="V409">
        <v>11</v>
      </c>
      <c r="W409">
        <v>59</v>
      </c>
    </row>
    <row r="410" spans="1:23">
      <c r="A410" s="3">
        <v>409</v>
      </c>
      <c r="B410" s="4">
        <v>40562</v>
      </c>
      <c r="C410" s="3">
        <v>1</v>
      </c>
      <c r="D410" s="3">
        <v>0</v>
      </c>
      <c r="E410" s="3" t="str">
        <f t="shared" si="22"/>
        <v>January</v>
      </c>
      <c r="F410" s="3">
        <v>0</v>
      </c>
      <c r="G410" s="3" t="b">
        <v>0</v>
      </c>
      <c r="H410" s="3" t="str">
        <f t="shared" si="24"/>
        <v>Wednesday</v>
      </c>
      <c r="I410" s="3">
        <v>3</v>
      </c>
      <c r="J410" s="3" t="str">
        <f t="shared" si="23"/>
        <v>Foggy</v>
      </c>
      <c r="K410" s="3">
        <v>0.22</v>
      </c>
      <c r="L410" s="6">
        <v>0.93</v>
      </c>
      <c r="M410" s="6">
        <v>0.2727</v>
      </c>
      <c r="N410" s="6">
        <v>0</v>
      </c>
      <c r="O410" s="6">
        <v>0</v>
      </c>
      <c r="P410" s="6">
        <v>3</v>
      </c>
      <c r="Q410" s="6">
        <v>3</v>
      </c>
      <c r="R410" s="8"/>
      <c r="S410" s="8"/>
      <c r="T410" s="8"/>
      <c r="V410">
        <v>16</v>
      </c>
      <c r="W410">
        <v>54</v>
      </c>
    </row>
    <row r="411" spans="1:23">
      <c r="A411" s="3">
        <v>410</v>
      </c>
      <c r="B411" s="4">
        <v>40562</v>
      </c>
      <c r="C411" s="3">
        <v>1</v>
      </c>
      <c r="D411" s="3">
        <v>0</v>
      </c>
      <c r="E411" s="3" t="str">
        <f t="shared" si="22"/>
        <v>January</v>
      </c>
      <c r="F411" s="3">
        <v>1</v>
      </c>
      <c r="G411" s="3" t="b">
        <v>0</v>
      </c>
      <c r="H411" s="3" t="str">
        <f t="shared" si="24"/>
        <v>Wednesday</v>
      </c>
      <c r="I411" s="3">
        <v>3</v>
      </c>
      <c r="J411" s="3" t="str">
        <f t="shared" si="23"/>
        <v>Foggy</v>
      </c>
      <c r="K411" s="3">
        <v>0.22</v>
      </c>
      <c r="L411" s="6">
        <v>0.93</v>
      </c>
      <c r="M411" s="6">
        <v>0.2273</v>
      </c>
      <c r="N411" s="6">
        <v>0.1343</v>
      </c>
      <c r="O411" s="6">
        <v>1</v>
      </c>
      <c r="P411" s="6">
        <v>6</v>
      </c>
      <c r="Q411" s="6">
        <v>7</v>
      </c>
      <c r="R411" s="8"/>
      <c r="S411" s="8"/>
      <c r="T411" s="8"/>
      <c r="U411">
        <v>71</v>
      </c>
      <c r="W411">
        <v>328</v>
      </c>
    </row>
    <row r="412" spans="1:23">
      <c r="A412" s="3">
        <v>411</v>
      </c>
      <c r="B412" s="4">
        <v>40562</v>
      </c>
      <c r="C412" s="3">
        <v>1</v>
      </c>
      <c r="D412" s="3">
        <v>0</v>
      </c>
      <c r="E412" s="3" t="str">
        <f t="shared" si="22"/>
        <v>January</v>
      </c>
      <c r="F412" s="3">
        <v>2</v>
      </c>
      <c r="G412" s="3" t="b">
        <v>0</v>
      </c>
      <c r="H412" s="3" t="str">
        <f t="shared" si="24"/>
        <v>Wednesday</v>
      </c>
      <c r="I412" s="3">
        <v>3</v>
      </c>
      <c r="J412" s="3" t="str">
        <f t="shared" si="23"/>
        <v>Foggy</v>
      </c>
      <c r="K412" s="3">
        <v>0.22</v>
      </c>
      <c r="L412" s="6">
        <v>0.93</v>
      </c>
      <c r="M412" s="6">
        <v>0.2273</v>
      </c>
      <c r="N412" s="6">
        <v>0.1343</v>
      </c>
      <c r="O412" s="6">
        <v>0</v>
      </c>
      <c r="P412" s="6">
        <v>3</v>
      </c>
      <c r="Q412" s="6">
        <v>3</v>
      </c>
      <c r="R412" s="8"/>
      <c r="S412" s="8"/>
      <c r="T412" s="8"/>
      <c r="V412">
        <v>2</v>
      </c>
      <c r="W412">
        <v>69</v>
      </c>
    </row>
    <row r="413" spans="1:23">
      <c r="A413" s="3">
        <v>412</v>
      </c>
      <c r="B413" s="4">
        <v>40562</v>
      </c>
      <c r="C413" s="3">
        <v>1</v>
      </c>
      <c r="D413" s="3">
        <v>0</v>
      </c>
      <c r="E413" s="3" t="str">
        <f t="shared" si="22"/>
        <v>January</v>
      </c>
      <c r="F413" s="3">
        <v>4</v>
      </c>
      <c r="G413" s="3" t="b">
        <v>0</v>
      </c>
      <c r="H413" s="3" t="str">
        <f t="shared" si="24"/>
        <v>Wednesday</v>
      </c>
      <c r="I413" s="3">
        <v>3</v>
      </c>
      <c r="J413" s="3" t="str">
        <f t="shared" si="23"/>
        <v>Foggy</v>
      </c>
      <c r="K413" s="3">
        <v>0.22</v>
      </c>
      <c r="L413" s="6">
        <v>0.93</v>
      </c>
      <c r="M413" s="6">
        <v>0.2273</v>
      </c>
      <c r="N413" s="6">
        <v>0.1343</v>
      </c>
      <c r="O413" s="6">
        <v>1</v>
      </c>
      <c r="P413" s="6">
        <v>1</v>
      </c>
      <c r="Q413" s="6">
        <v>2</v>
      </c>
      <c r="R413" s="8"/>
      <c r="S413" s="8"/>
      <c r="T413" s="8"/>
      <c r="V413">
        <v>4</v>
      </c>
      <c r="W413">
        <v>67</v>
      </c>
    </row>
    <row r="414" spans="1:23">
      <c r="A414" s="3">
        <v>413</v>
      </c>
      <c r="B414" s="4">
        <v>40562</v>
      </c>
      <c r="C414" s="3">
        <v>1</v>
      </c>
      <c r="D414" s="3">
        <v>0</v>
      </c>
      <c r="E414" s="3" t="str">
        <f t="shared" si="22"/>
        <v>January</v>
      </c>
      <c r="F414" s="3">
        <v>5</v>
      </c>
      <c r="G414" s="3" t="b">
        <v>0</v>
      </c>
      <c r="H414" s="3" t="str">
        <f t="shared" si="24"/>
        <v>Wednesday</v>
      </c>
      <c r="I414" s="3">
        <v>3</v>
      </c>
      <c r="J414" s="3" t="str">
        <f t="shared" si="23"/>
        <v>Foggy</v>
      </c>
      <c r="K414" s="3">
        <v>0.22</v>
      </c>
      <c r="L414" s="6">
        <v>0.93</v>
      </c>
      <c r="M414" s="6">
        <v>0.2576</v>
      </c>
      <c r="N414" s="6">
        <v>8.9599999999999999E-2</v>
      </c>
      <c r="O414" s="6">
        <v>0</v>
      </c>
      <c r="P414" s="6">
        <v>7</v>
      </c>
      <c r="Q414" s="6">
        <v>7</v>
      </c>
      <c r="R414" s="8"/>
      <c r="S414" s="8"/>
      <c r="T414" s="8"/>
      <c r="V414">
        <v>6</v>
      </c>
      <c r="W414">
        <v>65</v>
      </c>
    </row>
    <row r="415" spans="1:23">
      <c r="A415" s="3">
        <v>414</v>
      </c>
      <c r="B415" s="4">
        <v>40562</v>
      </c>
      <c r="C415" s="3">
        <v>1</v>
      </c>
      <c r="D415" s="3">
        <v>0</v>
      </c>
      <c r="E415" s="3" t="str">
        <f t="shared" si="22"/>
        <v>January</v>
      </c>
      <c r="F415" s="3">
        <v>6</v>
      </c>
      <c r="G415" s="3" t="b">
        <v>0</v>
      </c>
      <c r="H415" s="3" t="str">
        <f t="shared" si="24"/>
        <v>Wednesday</v>
      </c>
      <c r="I415" s="3">
        <v>3</v>
      </c>
      <c r="J415" s="3" t="str">
        <f t="shared" si="23"/>
        <v>Foggy</v>
      </c>
      <c r="K415" s="3">
        <v>0.22</v>
      </c>
      <c r="L415" s="6">
        <v>0.93</v>
      </c>
      <c r="M415" s="6">
        <v>0.2576</v>
      </c>
      <c r="N415" s="6">
        <v>8.9599999999999999E-2</v>
      </c>
      <c r="O415" s="6">
        <v>0</v>
      </c>
      <c r="P415" s="6">
        <v>32</v>
      </c>
      <c r="Q415" s="6">
        <v>32</v>
      </c>
      <c r="R415" s="8"/>
      <c r="S415" s="8"/>
      <c r="T415" s="8"/>
      <c r="V415">
        <v>7</v>
      </c>
      <c r="W415">
        <v>64</v>
      </c>
    </row>
    <row r="416" spans="1:23">
      <c r="A416" s="3">
        <v>415</v>
      </c>
      <c r="B416" s="4">
        <v>40562</v>
      </c>
      <c r="C416" s="3">
        <v>1</v>
      </c>
      <c r="D416" s="3">
        <v>0</v>
      </c>
      <c r="E416" s="3" t="str">
        <f t="shared" si="22"/>
        <v>January</v>
      </c>
      <c r="F416" s="3">
        <v>7</v>
      </c>
      <c r="G416" s="3" t="b">
        <v>0</v>
      </c>
      <c r="H416" s="3" t="str">
        <f t="shared" si="24"/>
        <v>Wednesday</v>
      </c>
      <c r="I416" s="3">
        <v>3</v>
      </c>
      <c r="J416" s="3" t="str">
        <f t="shared" si="23"/>
        <v>Foggy</v>
      </c>
      <c r="K416" s="3">
        <v>0.24</v>
      </c>
      <c r="L416" s="6">
        <v>0.92</v>
      </c>
      <c r="M416" s="6">
        <v>0.2576</v>
      </c>
      <c r="N416" s="6">
        <v>0.1045</v>
      </c>
      <c r="O416" s="6">
        <v>1</v>
      </c>
      <c r="P416" s="6">
        <v>89</v>
      </c>
      <c r="Q416" s="6">
        <v>90</v>
      </c>
      <c r="R416" s="8"/>
      <c r="S416" s="8"/>
      <c r="T416" s="8"/>
      <c r="V416">
        <v>8</v>
      </c>
      <c r="W416">
        <v>63</v>
      </c>
    </row>
    <row r="417" spans="1:23">
      <c r="A417" s="3">
        <v>416</v>
      </c>
      <c r="B417" s="4">
        <v>40562</v>
      </c>
      <c r="C417" s="3">
        <v>1</v>
      </c>
      <c r="D417" s="3">
        <v>0</v>
      </c>
      <c r="E417" s="3" t="str">
        <f t="shared" si="22"/>
        <v>January</v>
      </c>
      <c r="F417" s="3">
        <v>8</v>
      </c>
      <c r="G417" s="3" t="b">
        <v>0</v>
      </c>
      <c r="H417" s="3" t="str">
        <f t="shared" si="24"/>
        <v>Wednesday</v>
      </c>
      <c r="I417" s="3">
        <v>3</v>
      </c>
      <c r="J417" s="3" t="str">
        <f t="shared" si="23"/>
        <v>Foggy</v>
      </c>
      <c r="K417" s="3">
        <v>0.24</v>
      </c>
      <c r="L417" s="6">
        <v>0.93</v>
      </c>
      <c r="M417" s="6">
        <v>0.2576</v>
      </c>
      <c r="N417" s="6">
        <v>0.1045</v>
      </c>
      <c r="O417" s="6">
        <v>1</v>
      </c>
      <c r="P417" s="6">
        <v>196</v>
      </c>
      <c r="Q417" s="6">
        <v>197</v>
      </c>
      <c r="R417" s="8"/>
      <c r="S417" s="8"/>
      <c r="T417" s="8"/>
      <c r="U417">
        <v>72</v>
      </c>
      <c r="W417">
        <v>583</v>
      </c>
    </row>
    <row r="418" spans="1:23">
      <c r="A418" s="3">
        <v>417</v>
      </c>
      <c r="B418" s="4">
        <v>40562</v>
      </c>
      <c r="C418" s="3">
        <v>1</v>
      </c>
      <c r="D418" s="3">
        <v>0</v>
      </c>
      <c r="E418" s="3" t="str">
        <f t="shared" si="22"/>
        <v>January</v>
      </c>
      <c r="F418" s="3">
        <v>9</v>
      </c>
      <c r="G418" s="3" t="b">
        <v>0</v>
      </c>
      <c r="H418" s="3" t="str">
        <f t="shared" si="24"/>
        <v>Wednesday</v>
      </c>
      <c r="I418" s="3">
        <v>3</v>
      </c>
      <c r="J418" s="3" t="str">
        <f t="shared" si="23"/>
        <v>Foggy</v>
      </c>
      <c r="K418" s="3">
        <v>0.24</v>
      </c>
      <c r="L418" s="6">
        <v>0.93</v>
      </c>
      <c r="M418" s="6">
        <v>0.2576</v>
      </c>
      <c r="N418" s="6">
        <v>0.1045</v>
      </c>
      <c r="O418" s="6">
        <v>2</v>
      </c>
      <c r="P418" s="6">
        <v>107</v>
      </c>
      <c r="Q418" s="6">
        <v>109</v>
      </c>
      <c r="R418" s="8"/>
      <c r="S418" s="8"/>
      <c r="T418" s="8"/>
      <c r="V418">
        <v>0</v>
      </c>
      <c r="W418">
        <v>72</v>
      </c>
    </row>
    <row r="419" spans="1:23">
      <c r="A419" s="3">
        <v>418</v>
      </c>
      <c r="B419" s="4">
        <v>40562</v>
      </c>
      <c r="C419" s="3">
        <v>1</v>
      </c>
      <c r="D419" s="3">
        <v>0</v>
      </c>
      <c r="E419" s="3" t="str">
        <f t="shared" si="22"/>
        <v>January</v>
      </c>
      <c r="F419" s="3">
        <v>10</v>
      </c>
      <c r="G419" s="3" t="b">
        <v>0</v>
      </c>
      <c r="H419" s="3" t="str">
        <f t="shared" si="24"/>
        <v>Wednesday</v>
      </c>
      <c r="I419" s="3">
        <v>3</v>
      </c>
      <c r="J419" s="3" t="str">
        <f t="shared" si="23"/>
        <v>Clear</v>
      </c>
      <c r="K419" s="3">
        <v>0.26</v>
      </c>
      <c r="L419" s="6">
        <v>0.93</v>
      </c>
      <c r="M419" s="6">
        <v>0.2727</v>
      </c>
      <c r="N419" s="6">
        <v>0.1343</v>
      </c>
      <c r="O419" s="6">
        <v>1</v>
      </c>
      <c r="P419" s="6">
        <v>46</v>
      </c>
      <c r="Q419" s="6">
        <v>47</v>
      </c>
      <c r="R419" s="8"/>
      <c r="S419" s="8"/>
      <c r="T419" s="8"/>
      <c r="V419">
        <v>1</v>
      </c>
      <c r="W419">
        <v>71</v>
      </c>
    </row>
    <row r="420" spans="1:23">
      <c r="A420" s="3">
        <v>419</v>
      </c>
      <c r="B420" s="4">
        <v>40562</v>
      </c>
      <c r="C420" s="3">
        <v>1</v>
      </c>
      <c r="D420" s="3">
        <v>0</v>
      </c>
      <c r="E420" s="3" t="str">
        <f t="shared" si="22"/>
        <v>January</v>
      </c>
      <c r="F420" s="3">
        <v>11</v>
      </c>
      <c r="G420" s="3" t="b">
        <v>0</v>
      </c>
      <c r="H420" s="3" t="str">
        <f t="shared" si="24"/>
        <v>Wednesday</v>
      </c>
      <c r="I420" s="3">
        <v>3</v>
      </c>
      <c r="J420" s="3" t="str">
        <f t="shared" si="23"/>
        <v>Clear</v>
      </c>
      <c r="K420" s="3">
        <v>0.28000000000000003</v>
      </c>
      <c r="L420" s="6">
        <v>0.87</v>
      </c>
      <c r="M420" s="6">
        <v>0.30299999999999999</v>
      </c>
      <c r="N420" s="6">
        <v>8.9599999999999999E-2</v>
      </c>
      <c r="O420" s="6">
        <v>5</v>
      </c>
      <c r="P420" s="6">
        <v>47</v>
      </c>
      <c r="Q420" s="6">
        <v>52</v>
      </c>
      <c r="R420" s="8"/>
      <c r="S420" s="8"/>
      <c r="T420" s="8"/>
      <c r="V420">
        <v>2</v>
      </c>
      <c r="W420">
        <v>70</v>
      </c>
    </row>
    <row r="421" spans="1:23">
      <c r="A421" s="3">
        <v>420</v>
      </c>
      <c r="B421" s="4">
        <v>40562</v>
      </c>
      <c r="C421" s="3">
        <v>1</v>
      </c>
      <c r="D421" s="3">
        <v>0</v>
      </c>
      <c r="E421" s="3" t="str">
        <f t="shared" si="22"/>
        <v>January</v>
      </c>
      <c r="F421" s="3">
        <v>12</v>
      </c>
      <c r="G421" s="3" t="b">
        <v>0</v>
      </c>
      <c r="H421" s="3" t="str">
        <f t="shared" si="24"/>
        <v>Wednesday</v>
      </c>
      <c r="I421" s="3">
        <v>3</v>
      </c>
      <c r="J421" s="3" t="str">
        <f t="shared" si="23"/>
        <v>Clear</v>
      </c>
      <c r="K421" s="3">
        <v>0.3</v>
      </c>
      <c r="L421" s="6">
        <v>0.81</v>
      </c>
      <c r="M421" s="6">
        <v>0.31819999999999998</v>
      </c>
      <c r="N421" s="6">
        <v>8.9599999999999999E-2</v>
      </c>
      <c r="O421" s="6">
        <v>5</v>
      </c>
      <c r="P421" s="6">
        <v>65</v>
      </c>
      <c r="Q421" s="6">
        <v>70</v>
      </c>
      <c r="R421" s="8"/>
      <c r="S421" s="8"/>
      <c r="T421" s="8"/>
      <c r="V421">
        <v>3</v>
      </c>
      <c r="W421">
        <v>69</v>
      </c>
    </row>
    <row r="422" spans="1:23">
      <c r="A422" s="3">
        <v>421</v>
      </c>
      <c r="B422" s="4">
        <v>40562</v>
      </c>
      <c r="C422" s="3">
        <v>1</v>
      </c>
      <c r="D422" s="3">
        <v>0</v>
      </c>
      <c r="E422" s="3" t="str">
        <f t="shared" si="22"/>
        <v>January</v>
      </c>
      <c r="F422" s="3">
        <v>13</v>
      </c>
      <c r="G422" s="3" t="b">
        <v>0</v>
      </c>
      <c r="H422" s="3" t="str">
        <f t="shared" si="24"/>
        <v>Wednesday</v>
      </c>
      <c r="I422" s="3">
        <v>3</v>
      </c>
      <c r="J422" s="3" t="str">
        <f t="shared" si="23"/>
        <v>Clear</v>
      </c>
      <c r="K422" s="3">
        <v>0.4</v>
      </c>
      <c r="L422" s="6">
        <v>0.62</v>
      </c>
      <c r="M422" s="6">
        <v>0.40910000000000002</v>
      </c>
      <c r="N422" s="6">
        <v>0.28360000000000002</v>
      </c>
      <c r="O422" s="6">
        <v>11</v>
      </c>
      <c r="P422" s="6">
        <v>67</v>
      </c>
      <c r="Q422" s="6">
        <v>78</v>
      </c>
      <c r="R422" s="8"/>
      <c r="S422" s="8"/>
      <c r="T422" s="8"/>
      <c r="V422">
        <v>8</v>
      </c>
      <c r="W422">
        <v>64</v>
      </c>
    </row>
    <row r="423" spans="1:23">
      <c r="A423" s="3">
        <v>422</v>
      </c>
      <c r="B423" s="4">
        <v>40562</v>
      </c>
      <c r="C423" s="3">
        <v>1</v>
      </c>
      <c r="D423" s="3">
        <v>0</v>
      </c>
      <c r="E423" s="3" t="str">
        <f t="shared" si="22"/>
        <v>January</v>
      </c>
      <c r="F423" s="3">
        <v>14</v>
      </c>
      <c r="G423" s="3" t="b">
        <v>0</v>
      </c>
      <c r="H423" s="3" t="str">
        <f t="shared" si="24"/>
        <v>Wednesday</v>
      </c>
      <c r="I423" s="3">
        <v>3</v>
      </c>
      <c r="J423" s="3" t="str">
        <f t="shared" si="23"/>
        <v>Clear</v>
      </c>
      <c r="K423" s="3">
        <v>0.4</v>
      </c>
      <c r="L423" s="6">
        <v>0.57999999999999996</v>
      </c>
      <c r="M423" s="6">
        <v>0.40910000000000002</v>
      </c>
      <c r="N423" s="6">
        <v>0.25369999999999998</v>
      </c>
      <c r="O423" s="6">
        <v>7</v>
      </c>
      <c r="P423" s="6">
        <v>68</v>
      </c>
      <c r="Q423" s="6">
        <v>75</v>
      </c>
      <c r="R423" s="8"/>
      <c r="S423" s="8"/>
      <c r="T423" s="8"/>
      <c r="V423">
        <v>9</v>
      </c>
      <c r="W423">
        <v>63</v>
      </c>
    </row>
    <row r="424" spans="1:23">
      <c r="A424" s="3">
        <v>423</v>
      </c>
      <c r="B424" s="4">
        <v>40562</v>
      </c>
      <c r="C424" s="3">
        <v>1</v>
      </c>
      <c r="D424" s="3">
        <v>0</v>
      </c>
      <c r="E424" s="3" t="str">
        <f t="shared" si="22"/>
        <v>January</v>
      </c>
      <c r="F424" s="3">
        <v>15</v>
      </c>
      <c r="G424" s="3" t="b">
        <v>0</v>
      </c>
      <c r="H424" s="3" t="str">
        <f t="shared" si="24"/>
        <v>Wednesday</v>
      </c>
      <c r="I424" s="3">
        <v>3</v>
      </c>
      <c r="J424" s="3" t="str">
        <f t="shared" si="23"/>
        <v>Clear</v>
      </c>
      <c r="K424" s="3">
        <v>0.4</v>
      </c>
      <c r="L424" s="6">
        <v>0.54</v>
      </c>
      <c r="M424" s="6">
        <v>0.40910000000000002</v>
      </c>
      <c r="N424" s="6">
        <v>0.28360000000000002</v>
      </c>
      <c r="O424" s="6">
        <v>4</v>
      </c>
      <c r="P424" s="6">
        <v>78</v>
      </c>
      <c r="Q424" s="6">
        <v>82</v>
      </c>
      <c r="R424" s="8"/>
      <c r="S424" s="8"/>
      <c r="T424" s="8"/>
      <c r="V424">
        <v>10</v>
      </c>
      <c r="W424">
        <v>62</v>
      </c>
    </row>
    <row r="425" spans="1:23">
      <c r="A425" s="3">
        <v>424</v>
      </c>
      <c r="B425" s="4">
        <v>40562</v>
      </c>
      <c r="C425" s="3">
        <v>1</v>
      </c>
      <c r="D425" s="3">
        <v>0</v>
      </c>
      <c r="E425" s="3" t="str">
        <f t="shared" si="22"/>
        <v>January</v>
      </c>
      <c r="F425" s="3">
        <v>16</v>
      </c>
      <c r="G425" s="3" t="b">
        <v>0</v>
      </c>
      <c r="H425" s="3" t="str">
        <f t="shared" si="24"/>
        <v>Wednesday</v>
      </c>
      <c r="I425" s="3">
        <v>3</v>
      </c>
      <c r="J425" s="3" t="str">
        <f t="shared" si="23"/>
        <v>Clear</v>
      </c>
      <c r="K425" s="3">
        <v>0.38</v>
      </c>
      <c r="L425" s="6">
        <v>0.57999999999999996</v>
      </c>
      <c r="M425" s="6">
        <v>0.39389999999999997</v>
      </c>
      <c r="N425" s="6">
        <v>0.3881</v>
      </c>
      <c r="O425" s="6">
        <v>10</v>
      </c>
      <c r="P425" s="6">
        <v>94</v>
      </c>
      <c r="Q425" s="6">
        <v>104</v>
      </c>
      <c r="R425" s="8"/>
      <c r="S425" s="8"/>
      <c r="T425" s="8"/>
      <c r="V425">
        <v>14</v>
      </c>
      <c r="W425">
        <v>58</v>
      </c>
    </row>
    <row r="426" spans="1:23">
      <c r="A426" s="3">
        <v>425</v>
      </c>
      <c r="B426" s="4">
        <v>40562</v>
      </c>
      <c r="C426" s="3">
        <v>1</v>
      </c>
      <c r="D426" s="3">
        <v>0</v>
      </c>
      <c r="E426" s="3" t="str">
        <f t="shared" si="22"/>
        <v>January</v>
      </c>
      <c r="F426" s="3">
        <v>17</v>
      </c>
      <c r="G426" s="3" t="b">
        <v>0</v>
      </c>
      <c r="H426" s="3" t="str">
        <f t="shared" si="24"/>
        <v>Wednesday</v>
      </c>
      <c r="I426" s="3">
        <v>3</v>
      </c>
      <c r="J426" s="3" t="str">
        <f t="shared" si="23"/>
        <v>Clear</v>
      </c>
      <c r="K426" s="3">
        <v>0.36</v>
      </c>
      <c r="L426" s="6">
        <v>0.56999999999999995</v>
      </c>
      <c r="M426" s="6">
        <v>0.33329999999999999</v>
      </c>
      <c r="N426" s="6">
        <v>0.32840000000000003</v>
      </c>
      <c r="O426" s="6">
        <v>7</v>
      </c>
      <c r="P426" s="6">
        <v>190</v>
      </c>
      <c r="Q426" s="6">
        <v>197</v>
      </c>
      <c r="R426" s="8"/>
      <c r="S426" s="8"/>
      <c r="T426" s="8"/>
      <c r="V426">
        <v>18</v>
      </c>
      <c r="W426">
        <v>54</v>
      </c>
    </row>
    <row r="427" spans="1:23">
      <c r="A427" s="3">
        <v>426</v>
      </c>
      <c r="B427" s="4">
        <v>40562</v>
      </c>
      <c r="C427" s="3">
        <v>1</v>
      </c>
      <c r="D427" s="3">
        <v>0</v>
      </c>
      <c r="E427" s="3" t="str">
        <f t="shared" si="22"/>
        <v>January</v>
      </c>
      <c r="F427" s="3">
        <v>18</v>
      </c>
      <c r="G427" s="3" t="b">
        <v>0</v>
      </c>
      <c r="H427" s="3" t="str">
        <f t="shared" si="24"/>
        <v>Wednesday</v>
      </c>
      <c r="I427" s="3">
        <v>3</v>
      </c>
      <c r="J427" s="3" t="str">
        <f t="shared" si="23"/>
        <v>Clear</v>
      </c>
      <c r="K427" s="3">
        <v>0.34</v>
      </c>
      <c r="L427" s="6">
        <v>0.61</v>
      </c>
      <c r="M427" s="6">
        <v>0.31819999999999998</v>
      </c>
      <c r="N427" s="6">
        <v>0.28360000000000002</v>
      </c>
      <c r="O427" s="6">
        <v>5</v>
      </c>
      <c r="P427" s="6">
        <v>156</v>
      </c>
      <c r="Q427" s="6">
        <v>161</v>
      </c>
      <c r="R427" s="8"/>
      <c r="S427" s="8"/>
      <c r="T427" s="8"/>
      <c r="U427">
        <v>73</v>
      </c>
      <c r="W427">
        <v>129</v>
      </c>
    </row>
    <row r="428" spans="1:23">
      <c r="A428" s="3">
        <v>427</v>
      </c>
      <c r="B428" s="4">
        <v>40562</v>
      </c>
      <c r="C428" s="3">
        <v>1</v>
      </c>
      <c r="D428" s="3">
        <v>0</v>
      </c>
      <c r="E428" s="3" t="str">
        <f t="shared" si="22"/>
        <v>January</v>
      </c>
      <c r="F428" s="3">
        <v>19</v>
      </c>
      <c r="G428" s="3" t="b">
        <v>0</v>
      </c>
      <c r="H428" s="3" t="str">
        <f t="shared" si="24"/>
        <v>Wednesday</v>
      </c>
      <c r="I428" s="3">
        <v>3</v>
      </c>
      <c r="J428" s="3" t="str">
        <f t="shared" si="23"/>
        <v>Clear</v>
      </c>
      <c r="K428" s="3">
        <v>0.32</v>
      </c>
      <c r="L428" s="6">
        <v>0.56999999999999995</v>
      </c>
      <c r="M428" s="6">
        <v>0.28789999999999999</v>
      </c>
      <c r="N428" s="6">
        <v>0.41789999999999999</v>
      </c>
      <c r="O428" s="6">
        <v>4</v>
      </c>
      <c r="P428" s="6">
        <v>108</v>
      </c>
      <c r="Q428" s="6">
        <v>112</v>
      </c>
      <c r="R428" s="8"/>
      <c r="S428" s="8"/>
      <c r="T428" s="8"/>
      <c r="V428">
        <v>8</v>
      </c>
      <c r="W428">
        <v>65</v>
      </c>
    </row>
    <row r="429" spans="1:23">
      <c r="A429" s="3">
        <v>428</v>
      </c>
      <c r="B429" s="4">
        <v>40562</v>
      </c>
      <c r="C429" s="3">
        <v>1</v>
      </c>
      <c r="D429" s="3">
        <v>0</v>
      </c>
      <c r="E429" s="3" t="str">
        <f t="shared" si="22"/>
        <v>January</v>
      </c>
      <c r="F429" s="3">
        <v>20</v>
      </c>
      <c r="G429" s="3" t="b">
        <v>0</v>
      </c>
      <c r="H429" s="3" t="str">
        <f t="shared" si="24"/>
        <v>Wednesday</v>
      </c>
      <c r="I429" s="3">
        <v>3</v>
      </c>
      <c r="J429" s="3" t="str">
        <f t="shared" si="23"/>
        <v>Clear</v>
      </c>
      <c r="K429" s="3">
        <v>0.32</v>
      </c>
      <c r="L429" s="6">
        <v>0.49</v>
      </c>
      <c r="M429" s="6">
        <v>0.30299999999999999</v>
      </c>
      <c r="N429" s="6">
        <v>0.29849999999999999</v>
      </c>
      <c r="O429" s="6">
        <v>2</v>
      </c>
      <c r="P429" s="6">
        <v>74</v>
      </c>
      <c r="Q429" s="6">
        <v>76</v>
      </c>
      <c r="R429" s="8"/>
      <c r="S429" s="8"/>
      <c r="T429" s="8"/>
      <c r="V429">
        <v>9</v>
      </c>
      <c r="W429">
        <v>64</v>
      </c>
    </row>
    <row r="430" spans="1:23">
      <c r="A430" s="3">
        <v>429</v>
      </c>
      <c r="B430" s="4">
        <v>40562</v>
      </c>
      <c r="C430" s="3">
        <v>1</v>
      </c>
      <c r="D430" s="3">
        <v>0</v>
      </c>
      <c r="E430" s="3" t="str">
        <f t="shared" si="22"/>
        <v>January</v>
      </c>
      <c r="F430" s="3">
        <v>21</v>
      </c>
      <c r="G430" s="3" t="b">
        <v>0</v>
      </c>
      <c r="H430" s="3" t="str">
        <f t="shared" si="24"/>
        <v>Wednesday</v>
      </c>
      <c r="I430" s="3">
        <v>3</v>
      </c>
      <c r="J430" s="3" t="str">
        <f t="shared" si="23"/>
        <v>Clear</v>
      </c>
      <c r="K430" s="3">
        <v>0.32</v>
      </c>
      <c r="L430" s="6">
        <v>0.49</v>
      </c>
      <c r="M430" s="6">
        <v>0.28789999999999999</v>
      </c>
      <c r="N430" s="6">
        <v>0.41789999999999999</v>
      </c>
      <c r="O430" s="6">
        <v>4</v>
      </c>
      <c r="P430" s="6">
        <v>55</v>
      </c>
      <c r="Q430" s="6">
        <v>59</v>
      </c>
      <c r="R430" s="8"/>
      <c r="S430" s="8"/>
      <c r="T430" s="8"/>
      <c r="U430">
        <v>74</v>
      </c>
      <c r="W430">
        <v>531</v>
      </c>
    </row>
    <row r="431" spans="1:23">
      <c r="A431" s="3">
        <v>430</v>
      </c>
      <c r="B431" s="4">
        <v>40562</v>
      </c>
      <c r="C431" s="3">
        <v>1</v>
      </c>
      <c r="D431" s="3">
        <v>0</v>
      </c>
      <c r="E431" s="3" t="str">
        <f t="shared" si="22"/>
        <v>January</v>
      </c>
      <c r="F431" s="3">
        <v>22</v>
      </c>
      <c r="G431" s="3" t="b">
        <v>0</v>
      </c>
      <c r="H431" s="3" t="str">
        <f t="shared" si="24"/>
        <v>Wednesday</v>
      </c>
      <c r="I431" s="3">
        <v>3</v>
      </c>
      <c r="J431" s="3" t="str">
        <f t="shared" si="23"/>
        <v>Clear</v>
      </c>
      <c r="K431" s="3">
        <v>0.3</v>
      </c>
      <c r="L431" s="6">
        <v>0.52</v>
      </c>
      <c r="M431" s="6">
        <v>0.30299999999999999</v>
      </c>
      <c r="N431" s="6">
        <v>0.16420000000000001</v>
      </c>
      <c r="O431" s="6">
        <v>6</v>
      </c>
      <c r="P431" s="6">
        <v>53</v>
      </c>
      <c r="Q431" s="6">
        <v>59</v>
      </c>
      <c r="R431" s="8"/>
      <c r="S431" s="8"/>
      <c r="T431" s="8"/>
      <c r="V431">
        <v>1</v>
      </c>
      <c r="W431">
        <v>146</v>
      </c>
    </row>
    <row r="432" spans="1:23">
      <c r="A432" s="3">
        <v>431</v>
      </c>
      <c r="B432" s="4">
        <v>40562</v>
      </c>
      <c r="C432" s="3">
        <v>1</v>
      </c>
      <c r="D432" s="3">
        <v>0</v>
      </c>
      <c r="E432" s="3" t="str">
        <f t="shared" si="22"/>
        <v>January</v>
      </c>
      <c r="F432" s="3">
        <v>23</v>
      </c>
      <c r="G432" s="3" t="b">
        <v>0</v>
      </c>
      <c r="H432" s="3" t="str">
        <f t="shared" si="24"/>
        <v>Wednesday</v>
      </c>
      <c r="I432" s="3">
        <v>3</v>
      </c>
      <c r="J432" s="3" t="str">
        <f t="shared" si="23"/>
        <v>Clear</v>
      </c>
      <c r="K432" s="3">
        <v>0.3</v>
      </c>
      <c r="L432" s="6">
        <v>0.52</v>
      </c>
      <c r="M432" s="6">
        <v>0.2727</v>
      </c>
      <c r="N432" s="6">
        <v>0.4627</v>
      </c>
      <c r="O432" s="6">
        <v>1</v>
      </c>
      <c r="P432" s="6">
        <v>27</v>
      </c>
      <c r="Q432" s="6">
        <v>28</v>
      </c>
      <c r="R432" s="8"/>
      <c r="S432" s="8"/>
      <c r="T432" s="8"/>
      <c r="V432">
        <v>4</v>
      </c>
      <c r="W432">
        <v>70</v>
      </c>
    </row>
    <row r="433" spans="1:23">
      <c r="A433" s="3">
        <v>432</v>
      </c>
      <c r="B433" s="4">
        <v>40563</v>
      </c>
      <c r="C433" s="3">
        <v>1</v>
      </c>
      <c r="D433" s="3">
        <v>0</v>
      </c>
      <c r="E433" s="3" t="str">
        <f t="shared" si="22"/>
        <v>January</v>
      </c>
      <c r="F433" s="3">
        <v>0</v>
      </c>
      <c r="G433" s="3" t="b">
        <v>0</v>
      </c>
      <c r="H433" s="3" t="str">
        <f t="shared" si="24"/>
        <v>Thursday</v>
      </c>
      <c r="I433" s="3">
        <v>4</v>
      </c>
      <c r="J433" s="3" t="str">
        <f t="shared" si="23"/>
        <v>Clear</v>
      </c>
      <c r="K433" s="3">
        <v>0.26</v>
      </c>
      <c r="L433" s="6">
        <v>0.56000000000000005</v>
      </c>
      <c r="M433" s="6">
        <v>0.2273</v>
      </c>
      <c r="N433" s="6">
        <v>0.3881</v>
      </c>
      <c r="O433" s="6">
        <v>5</v>
      </c>
      <c r="P433" s="6">
        <v>8</v>
      </c>
      <c r="Q433" s="6">
        <v>13</v>
      </c>
      <c r="R433" s="8"/>
      <c r="S433" s="8"/>
      <c r="T433" s="8"/>
      <c r="V433">
        <v>5</v>
      </c>
      <c r="W433">
        <v>138</v>
      </c>
    </row>
    <row r="434" spans="1:23">
      <c r="A434" s="3">
        <v>433</v>
      </c>
      <c r="B434" s="4">
        <v>40563</v>
      </c>
      <c r="C434" s="3">
        <v>1</v>
      </c>
      <c r="D434" s="3">
        <v>0</v>
      </c>
      <c r="E434" s="3" t="str">
        <f t="shared" si="22"/>
        <v>January</v>
      </c>
      <c r="F434" s="3">
        <v>1</v>
      </c>
      <c r="G434" s="3" t="b">
        <v>0</v>
      </c>
      <c r="H434" s="3" t="str">
        <f t="shared" si="24"/>
        <v>Thursday</v>
      </c>
      <c r="I434" s="3">
        <v>4</v>
      </c>
      <c r="J434" s="3" t="str">
        <f t="shared" si="23"/>
        <v>Clear</v>
      </c>
      <c r="K434" s="3">
        <v>0.26</v>
      </c>
      <c r="L434" s="6">
        <v>0.56000000000000005</v>
      </c>
      <c r="M434" s="6">
        <v>0.2727</v>
      </c>
      <c r="N434" s="6">
        <v>0</v>
      </c>
      <c r="O434" s="6">
        <v>2</v>
      </c>
      <c r="P434" s="6">
        <v>3</v>
      </c>
      <c r="Q434" s="6">
        <v>5</v>
      </c>
      <c r="R434" s="8"/>
      <c r="S434" s="8"/>
      <c r="T434" s="8"/>
      <c r="V434">
        <v>12</v>
      </c>
      <c r="W434">
        <v>62</v>
      </c>
    </row>
    <row r="435" spans="1:23">
      <c r="A435" s="3">
        <v>434</v>
      </c>
      <c r="B435" s="4">
        <v>40563</v>
      </c>
      <c r="C435" s="3">
        <v>1</v>
      </c>
      <c r="D435" s="3">
        <v>0</v>
      </c>
      <c r="E435" s="3" t="str">
        <f t="shared" si="22"/>
        <v>January</v>
      </c>
      <c r="F435" s="3">
        <v>2</v>
      </c>
      <c r="G435" s="3" t="b">
        <v>0</v>
      </c>
      <c r="H435" s="3" t="str">
        <f t="shared" si="24"/>
        <v>Thursday</v>
      </c>
      <c r="I435" s="3">
        <v>4</v>
      </c>
      <c r="J435" s="3" t="str">
        <f t="shared" si="23"/>
        <v>Clear</v>
      </c>
      <c r="K435" s="3">
        <v>0.26</v>
      </c>
      <c r="L435" s="6">
        <v>0.56000000000000005</v>
      </c>
      <c r="M435" s="6">
        <v>0.2727</v>
      </c>
      <c r="N435" s="6">
        <v>0</v>
      </c>
      <c r="O435" s="6">
        <v>0</v>
      </c>
      <c r="P435" s="6">
        <v>2</v>
      </c>
      <c r="Q435" s="6">
        <v>2</v>
      </c>
      <c r="R435" s="8"/>
      <c r="S435" s="8"/>
      <c r="T435" s="8"/>
      <c r="V435">
        <v>14</v>
      </c>
      <c r="W435">
        <v>60</v>
      </c>
    </row>
    <row r="436" spans="1:23">
      <c r="A436" s="3">
        <v>435</v>
      </c>
      <c r="B436" s="4">
        <v>40563</v>
      </c>
      <c r="C436" s="3">
        <v>1</v>
      </c>
      <c r="D436" s="3">
        <v>0</v>
      </c>
      <c r="E436" s="3" t="str">
        <f t="shared" si="22"/>
        <v>January</v>
      </c>
      <c r="F436" s="3">
        <v>3</v>
      </c>
      <c r="G436" s="3" t="b">
        <v>0</v>
      </c>
      <c r="H436" s="3" t="str">
        <f t="shared" si="24"/>
        <v>Thursday</v>
      </c>
      <c r="I436" s="3">
        <v>4</v>
      </c>
      <c r="J436" s="3" t="str">
        <f t="shared" si="23"/>
        <v>Clear</v>
      </c>
      <c r="K436" s="3">
        <v>0.26</v>
      </c>
      <c r="L436" s="6">
        <v>0.56000000000000005</v>
      </c>
      <c r="M436" s="6">
        <v>0.2576</v>
      </c>
      <c r="N436" s="6">
        <v>0.16420000000000001</v>
      </c>
      <c r="O436" s="6">
        <v>0</v>
      </c>
      <c r="P436" s="6">
        <v>1</v>
      </c>
      <c r="Q436" s="6">
        <v>1</v>
      </c>
      <c r="R436" s="8"/>
      <c r="S436" s="8"/>
      <c r="T436" s="8"/>
      <c r="V436">
        <v>19</v>
      </c>
      <c r="W436">
        <v>55</v>
      </c>
    </row>
    <row r="437" spans="1:23">
      <c r="A437" s="3">
        <v>436</v>
      </c>
      <c r="B437" s="4">
        <v>40563</v>
      </c>
      <c r="C437" s="3">
        <v>1</v>
      </c>
      <c r="D437" s="3">
        <v>0</v>
      </c>
      <c r="E437" s="3" t="str">
        <f t="shared" si="22"/>
        <v>January</v>
      </c>
      <c r="F437" s="3">
        <v>4</v>
      </c>
      <c r="G437" s="3" t="b">
        <v>0</v>
      </c>
      <c r="H437" s="3" t="str">
        <f t="shared" si="24"/>
        <v>Thursday</v>
      </c>
      <c r="I437" s="3">
        <v>4</v>
      </c>
      <c r="J437" s="3" t="str">
        <f t="shared" si="23"/>
        <v>Clear</v>
      </c>
      <c r="K437" s="3">
        <v>0.26</v>
      </c>
      <c r="L437" s="6">
        <v>0.56000000000000005</v>
      </c>
      <c r="M437" s="6">
        <v>0.2576</v>
      </c>
      <c r="N437" s="6">
        <v>0.16420000000000001</v>
      </c>
      <c r="O437" s="6">
        <v>0</v>
      </c>
      <c r="P437" s="6">
        <v>1</v>
      </c>
      <c r="Q437" s="6">
        <v>1</v>
      </c>
      <c r="R437" s="8"/>
      <c r="S437" s="8"/>
      <c r="T437" s="8"/>
      <c r="U437">
        <v>75</v>
      </c>
      <c r="W437">
        <v>410</v>
      </c>
    </row>
    <row r="438" spans="1:23">
      <c r="A438" s="3">
        <v>437</v>
      </c>
      <c r="B438" s="4">
        <v>40563</v>
      </c>
      <c r="C438" s="3">
        <v>1</v>
      </c>
      <c r="D438" s="3">
        <v>0</v>
      </c>
      <c r="E438" s="3" t="str">
        <f t="shared" si="22"/>
        <v>January</v>
      </c>
      <c r="F438" s="3">
        <v>5</v>
      </c>
      <c r="G438" s="3" t="b">
        <v>0</v>
      </c>
      <c r="H438" s="3" t="str">
        <f t="shared" si="24"/>
        <v>Thursday</v>
      </c>
      <c r="I438" s="3">
        <v>4</v>
      </c>
      <c r="J438" s="3" t="str">
        <f t="shared" si="23"/>
        <v>Foggy</v>
      </c>
      <c r="K438" s="3">
        <v>0.24</v>
      </c>
      <c r="L438" s="6">
        <v>0.6</v>
      </c>
      <c r="M438" s="6">
        <v>0.2273</v>
      </c>
      <c r="N438" s="6">
        <v>0.22389999999999999</v>
      </c>
      <c r="O438" s="6">
        <v>0</v>
      </c>
      <c r="P438" s="6">
        <v>6</v>
      </c>
      <c r="Q438" s="6">
        <v>6</v>
      </c>
      <c r="R438" s="8"/>
      <c r="S438" s="8"/>
      <c r="T438" s="8"/>
      <c r="V438">
        <v>1</v>
      </c>
      <c r="W438">
        <v>74</v>
      </c>
    </row>
    <row r="439" spans="1:23">
      <c r="A439" s="3">
        <v>438</v>
      </c>
      <c r="B439" s="4">
        <v>40563</v>
      </c>
      <c r="C439" s="3">
        <v>1</v>
      </c>
      <c r="D439" s="3">
        <v>0</v>
      </c>
      <c r="E439" s="3" t="str">
        <f t="shared" si="22"/>
        <v>January</v>
      </c>
      <c r="F439" s="3">
        <v>6</v>
      </c>
      <c r="G439" s="3" t="b">
        <v>0</v>
      </c>
      <c r="H439" s="3" t="str">
        <f t="shared" si="24"/>
        <v>Thursday</v>
      </c>
      <c r="I439" s="3">
        <v>4</v>
      </c>
      <c r="J439" s="3" t="str">
        <f t="shared" si="23"/>
        <v>Foggy</v>
      </c>
      <c r="K439" s="3">
        <v>0.22</v>
      </c>
      <c r="L439" s="6">
        <v>0.6</v>
      </c>
      <c r="M439" s="6">
        <v>0.21210000000000001</v>
      </c>
      <c r="N439" s="6">
        <v>0.22389999999999999</v>
      </c>
      <c r="O439" s="6">
        <v>0</v>
      </c>
      <c r="P439" s="6">
        <v>35</v>
      </c>
      <c r="Q439" s="6">
        <v>35</v>
      </c>
      <c r="R439" s="8"/>
      <c r="S439" s="8"/>
      <c r="T439" s="8"/>
      <c r="V439">
        <v>4</v>
      </c>
      <c r="W439">
        <v>71</v>
      </c>
    </row>
    <row r="440" spans="1:23">
      <c r="A440" s="3">
        <v>439</v>
      </c>
      <c r="B440" s="4">
        <v>40563</v>
      </c>
      <c r="C440" s="3">
        <v>1</v>
      </c>
      <c r="D440" s="3">
        <v>0</v>
      </c>
      <c r="E440" s="3" t="str">
        <f t="shared" si="22"/>
        <v>January</v>
      </c>
      <c r="F440" s="3">
        <v>7</v>
      </c>
      <c r="G440" s="3" t="b">
        <v>0</v>
      </c>
      <c r="H440" s="3" t="str">
        <f t="shared" si="24"/>
        <v>Thursday</v>
      </c>
      <c r="I440" s="3">
        <v>4</v>
      </c>
      <c r="J440" s="3" t="str">
        <f t="shared" si="23"/>
        <v>Foggy</v>
      </c>
      <c r="K440" s="3">
        <v>0.22</v>
      </c>
      <c r="L440" s="6">
        <v>0.55000000000000004</v>
      </c>
      <c r="M440" s="6">
        <v>0.21210000000000001</v>
      </c>
      <c r="N440" s="6">
        <v>0.22389999999999999</v>
      </c>
      <c r="O440" s="6">
        <v>1</v>
      </c>
      <c r="P440" s="6">
        <v>100</v>
      </c>
      <c r="Q440" s="6">
        <v>101</v>
      </c>
      <c r="R440" s="8"/>
      <c r="S440" s="8"/>
      <c r="T440" s="8"/>
      <c r="V440">
        <v>6</v>
      </c>
      <c r="W440">
        <v>69</v>
      </c>
    </row>
    <row r="441" spans="1:23">
      <c r="A441" s="3">
        <v>440</v>
      </c>
      <c r="B441" s="4">
        <v>40563</v>
      </c>
      <c r="C441" s="3">
        <v>1</v>
      </c>
      <c r="D441" s="3">
        <v>0</v>
      </c>
      <c r="E441" s="3" t="str">
        <f t="shared" si="22"/>
        <v>January</v>
      </c>
      <c r="F441" s="3">
        <v>8</v>
      </c>
      <c r="G441" s="3" t="b">
        <v>0</v>
      </c>
      <c r="H441" s="3" t="str">
        <f t="shared" si="24"/>
        <v>Thursday</v>
      </c>
      <c r="I441" s="3">
        <v>4</v>
      </c>
      <c r="J441" s="3" t="str">
        <f t="shared" si="23"/>
        <v>Foggy</v>
      </c>
      <c r="K441" s="3">
        <v>0.22</v>
      </c>
      <c r="L441" s="6">
        <v>0.55000000000000004</v>
      </c>
      <c r="M441" s="6">
        <v>0.21210000000000001</v>
      </c>
      <c r="N441" s="6">
        <v>0.28360000000000002</v>
      </c>
      <c r="O441" s="6">
        <v>2</v>
      </c>
      <c r="P441" s="6">
        <v>247</v>
      </c>
      <c r="Q441" s="6">
        <v>249</v>
      </c>
      <c r="R441" s="8"/>
      <c r="S441" s="8"/>
      <c r="T441" s="8"/>
      <c r="V441">
        <v>7</v>
      </c>
      <c r="W441">
        <v>68</v>
      </c>
    </row>
    <row r="442" spans="1:23">
      <c r="A442" s="3">
        <v>441</v>
      </c>
      <c r="B442" s="4">
        <v>40563</v>
      </c>
      <c r="C442" s="3">
        <v>1</v>
      </c>
      <c r="D442" s="3">
        <v>0</v>
      </c>
      <c r="E442" s="3" t="str">
        <f t="shared" si="22"/>
        <v>January</v>
      </c>
      <c r="F442" s="3">
        <v>9</v>
      </c>
      <c r="G442" s="3" t="b">
        <v>0</v>
      </c>
      <c r="H442" s="3" t="str">
        <f t="shared" si="24"/>
        <v>Thursday</v>
      </c>
      <c r="I442" s="3">
        <v>4</v>
      </c>
      <c r="J442" s="3" t="str">
        <f t="shared" si="23"/>
        <v>Foggy</v>
      </c>
      <c r="K442" s="3">
        <v>0.24</v>
      </c>
      <c r="L442" s="6">
        <v>0.52</v>
      </c>
      <c r="M442" s="6">
        <v>0.2273</v>
      </c>
      <c r="N442" s="6">
        <v>0.22389999999999999</v>
      </c>
      <c r="O442" s="6">
        <v>3</v>
      </c>
      <c r="P442" s="6">
        <v>140</v>
      </c>
      <c r="Q442" s="6">
        <v>143</v>
      </c>
      <c r="R442" s="8"/>
      <c r="S442" s="8"/>
      <c r="T442" s="8"/>
      <c r="V442">
        <v>11</v>
      </c>
      <c r="W442">
        <v>128</v>
      </c>
    </row>
    <row r="443" spans="1:23">
      <c r="A443" s="3">
        <v>442</v>
      </c>
      <c r="B443" s="4">
        <v>40563</v>
      </c>
      <c r="C443" s="3">
        <v>1</v>
      </c>
      <c r="D443" s="3">
        <v>0</v>
      </c>
      <c r="E443" s="3" t="str">
        <f t="shared" si="22"/>
        <v>January</v>
      </c>
      <c r="F443" s="3">
        <v>10</v>
      </c>
      <c r="G443" s="3" t="b">
        <v>0</v>
      </c>
      <c r="H443" s="3" t="str">
        <f t="shared" si="24"/>
        <v>Thursday</v>
      </c>
      <c r="I443" s="3">
        <v>4</v>
      </c>
      <c r="J443" s="3" t="str">
        <f t="shared" si="23"/>
        <v>Clear</v>
      </c>
      <c r="K443" s="3">
        <v>0.26</v>
      </c>
      <c r="L443" s="6">
        <v>0.48</v>
      </c>
      <c r="M443" s="6">
        <v>0.2273</v>
      </c>
      <c r="N443" s="6">
        <v>0.29849999999999999</v>
      </c>
      <c r="O443" s="6">
        <v>1</v>
      </c>
      <c r="P443" s="6">
        <v>56</v>
      </c>
      <c r="Q443" s="6">
        <v>57</v>
      </c>
      <c r="R443" s="8"/>
      <c r="S443" s="8"/>
      <c r="T443" s="8"/>
      <c r="U443">
        <v>76</v>
      </c>
      <c r="W443">
        <v>414</v>
      </c>
    </row>
    <row r="444" spans="1:23">
      <c r="A444" s="3">
        <v>443</v>
      </c>
      <c r="B444" s="4">
        <v>40563</v>
      </c>
      <c r="C444" s="3">
        <v>1</v>
      </c>
      <c r="D444" s="3">
        <v>0</v>
      </c>
      <c r="E444" s="3" t="str">
        <f t="shared" si="22"/>
        <v>January</v>
      </c>
      <c r="F444" s="3">
        <v>11</v>
      </c>
      <c r="G444" s="3" t="b">
        <v>0</v>
      </c>
      <c r="H444" s="3" t="str">
        <f t="shared" si="24"/>
        <v>Thursday</v>
      </c>
      <c r="I444" s="3">
        <v>4</v>
      </c>
      <c r="J444" s="3" t="str">
        <f t="shared" si="23"/>
        <v>Clear</v>
      </c>
      <c r="K444" s="3">
        <v>0.28000000000000003</v>
      </c>
      <c r="L444" s="6">
        <v>0.45</v>
      </c>
      <c r="M444" s="6">
        <v>0.2727</v>
      </c>
      <c r="N444" s="6">
        <v>0.16420000000000001</v>
      </c>
      <c r="O444" s="6">
        <v>5</v>
      </c>
      <c r="P444" s="6">
        <v>63</v>
      </c>
      <c r="Q444" s="6">
        <v>68</v>
      </c>
      <c r="R444" s="8"/>
      <c r="S444" s="8"/>
      <c r="T444" s="8"/>
      <c r="V444">
        <v>2</v>
      </c>
      <c r="W444">
        <v>74</v>
      </c>
    </row>
    <row r="445" spans="1:23">
      <c r="A445" s="3">
        <v>444</v>
      </c>
      <c r="B445" s="4">
        <v>40563</v>
      </c>
      <c r="C445" s="3">
        <v>1</v>
      </c>
      <c r="D445" s="3">
        <v>0</v>
      </c>
      <c r="E445" s="3" t="str">
        <f t="shared" si="22"/>
        <v>January</v>
      </c>
      <c r="F445" s="3">
        <v>12</v>
      </c>
      <c r="G445" s="3" t="b">
        <v>0</v>
      </c>
      <c r="H445" s="3" t="str">
        <f t="shared" si="24"/>
        <v>Thursday</v>
      </c>
      <c r="I445" s="3">
        <v>4</v>
      </c>
      <c r="J445" s="3" t="str">
        <f t="shared" si="23"/>
        <v>Clear</v>
      </c>
      <c r="K445" s="3">
        <v>0.3</v>
      </c>
      <c r="L445" s="6">
        <v>0.42</v>
      </c>
      <c r="M445" s="6">
        <v>0.33329999999999999</v>
      </c>
      <c r="N445" s="6">
        <v>0</v>
      </c>
      <c r="O445" s="6">
        <v>7</v>
      </c>
      <c r="P445" s="6">
        <v>77</v>
      </c>
      <c r="Q445" s="6">
        <v>84</v>
      </c>
      <c r="R445" s="8"/>
      <c r="S445" s="8"/>
      <c r="T445" s="8"/>
      <c r="V445">
        <v>4</v>
      </c>
      <c r="W445">
        <v>72</v>
      </c>
    </row>
    <row r="446" spans="1:23">
      <c r="A446" s="3">
        <v>445</v>
      </c>
      <c r="B446" s="4">
        <v>40563</v>
      </c>
      <c r="C446" s="3">
        <v>1</v>
      </c>
      <c r="D446" s="3">
        <v>0</v>
      </c>
      <c r="E446" s="3" t="str">
        <f t="shared" si="22"/>
        <v>January</v>
      </c>
      <c r="F446" s="3">
        <v>13</v>
      </c>
      <c r="G446" s="3" t="b">
        <v>0</v>
      </c>
      <c r="H446" s="3" t="str">
        <f t="shared" si="24"/>
        <v>Thursday</v>
      </c>
      <c r="I446" s="3">
        <v>4</v>
      </c>
      <c r="J446" s="3" t="str">
        <f t="shared" si="23"/>
        <v>Clear</v>
      </c>
      <c r="K446" s="3">
        <v>0.28000000000000003</v>
      </c>
      <c r="L446" s="6">
        <v>0.45</v>
      </c>
      <c r="M446" s="6">
        <v>0.28789999999999999</v>
      </c>
      <c r="N446" s="6">
        <v>0.1045</v>
      </c>
      <c r="O446" s="6">
        <v>12</v>
      </c>
      <c r="P446" s="6">
        <v>86</v>
      </c>
      <c r="Q446" s="6">
        <v>98</v>
      </c>
      <c r="R446" s="8"/>
      <c r="S446" s="8"/>
      <c r="T446" s="8"/>
      <c r="V446">
        <v>8</v>
      </c>
      <c r="W446">
        <v>68</v>
      </c>
    </row>
    <row r="447" spans="1:23">
      <c r="A447" s="3">
        <v>446</v>
      </c>
      <c r="B447" s="4">
        <v>40563</v>
      </c>
      <c r="C447" s="3">
        <v>1</v>
      </c>
      <c r="D447" s="3">
        <v>0</v>
      </c>
      <c r="E447" s="3" t="str">
        <f t="shared" si="22"/>
        <v>January</v>
      </c>
      <c r="F447" s="3">
        <v>14</v>
      </c>
      <c r="G447" s="3" t="b">
        <v>0</v>
      </c>
      <c r="H447" s="3" t="str">
        <f t="shared" si="24"/>
        <v>Thursday</v>
      </c>
      <c r="I447" s="3">
        <v>4</v>
      </c>
      <c r="J447" s="3" t="str">
        <f t="shared" si="23"/>
        <v>Clear</v>
      </c>
      <c r="K447" s="3">
        <v>0.3</v>
      </c>
      <c r="L447" s="6">
        <v>0.45</v>
      </c>
      <c r="M447" s="6">
        <v>0.30299999999999999</v>
      </c>
      <c r="N447" s="6">
        <v>0.1343</v>
      </c>
      <c r="O447" s="6">
        <v>6</v>
      </c>
      <c r="P447" s="6">
        <v>75</v>
      </c>
      <c r="Q447" s="6">
        <v>81</v>
      </c>
      <c r="R447" s="8"/>
      <c r="S447" s="8"/>
      <c r="T447" s="8"/>
      <c r="V447">
        <v>9</v>
      </c>
      <c r="W447">
        <v>134</v>
      </c>
    </row>
    <row r="448" spans="1:23">
      <c r="A448" s="3">
        <v>447</v>
      </c>
      <c r="B448" s="4">
        <v>40563</v>
      </c>
      <c r="C448" s="3">
        <v>1</v>
      </c>
      <c r="D448" s="3">
        <v>0</v>
      </c>
      <c r="E448" s="3" t="str">
        <f t="shared" si="22"/>
        <v>January</v>
      </c>
      <c r="F448" s="3">
        <v>15</v>
      </c>
      <c r="G448" s="3" t="b">
        <v>0</v>
      </c>
      <c r="H448" s="3" t="str">
        <f t="shared" si="24"/>
        <v>Thursday</v>
      </c>
      <c r="I448" s="3">
        <v>4</v>
      </c>
      <c r="J448" s="3" t="str">
        <f t="shared" si="23"/>
        <v>Clear</v>
      </c>
      <c r="K448" s="3">
        <v>0.32</v>
      </c>
      <c r="L448" s="6">
        <v>0.45</v>
      </c>
      <c r="M448" s="6">
        <v>0.31819999999999998</v>
      </c>
      <c r="N448" s="6">
        <v>0.19400000000000001</v>
      </c>
      <c r="O448" s="6">
        <v>8</v>
      </c>
      <c r="P448" s="6">
        <v>62</v>
      </c>
      <c r="Q448" s="6">
        <v>70</v>
      </c>
      <c r="R448" s="8"/>
      <c r="S448" s="8"/>
      <c r="T448" s="8"/>
      <c r="V448">
        <v>10</v>
      </c>
      <c r="W448">
        <v>66</v>
      </c>
    </row>
    <row r="449" spans="1:23">
      <c r="A449" s="3">
        <v>448</v>
      </c>
      <c r="B449" s="4">
        <v>40563</v>
      </c>
      <c r="C449" s="3">
        <v>1</v>
      </c>
      <c r="D449" s="3">
        <v>0</v>
      </c>
      <c r="E449" s="3" t="str">
        <f t="shared" si="22"/>
        <v>January</v>
      </c>
      <c r="F449" s="3">
        <v>16</v>
      </c>
      <c r="G449" s="3" t="b">
        <v>0</v>
      </c>
      <c r="H449" s="3" t="str">
        <f t="shared" si="24"/>
        <v>Thursday</v>
      </c>
      <c r="I449" s="3">
        <v>4</v>
      </c>
      <c r="J449" s="3" t="str">
        <f t="shared" si="23"/>
        <v>Clear</v>
      </c>
      <c r="K449" s="3">
        <v>0.3</v>
      </c>
      <c r="L449" s="6">
        <v>0.49</v>
      </c>
      <c r="M449" s="6">
        <v>0.30299999999999999</v>
      </c>
      <c r="N449" s="6">
        <v>0.1343</v>
      </c>
      <c r="O449" s="6">
        <v>8</v>
      </c>
      <c r="P449" s="6">
        <v>83</v>
      </c>
      <c r="Q449" s="6">
        <v>91</v>
      </c>
      <c r="R449" s="8"/>
      <c r="S449" s="8"/>
      <c r="T449" s="8"/>
      <c r="U449">
        <v>77</v>
      </c>
      <c r="W449">
        <v>349</v>
      </c>
    </row>
    <row r="450" spans="1:23">
      <c r="A450" s="3">
        <v>449</v>
      </c>
      <c r="B450" s="4">
        <v>40563</v>
      </c>
      <c r="C450" s="3">
        <v>1</v>
      </c>
      <c r="D450" s="3">
        <v>0</v>
      </c>
      <c r="E450" s="3" t="str">
        <f t="shared" si="22"/>
        <v>January</v>
      </c>
      <c r="F450" s="3">
        <v>17</v>
      </c>
      <c r="G450" s="3" t="b">
        <v>0</v>
      </c>
      <c r="H450" s="3" t="str">
        <f t="shared" si="24"/>
        <v>Thursday</v>
      </c>
      <c r="I450" s="3">
        <v>4</v>
      </c>
      <c r="J450" s="3" t="str">
        <f t="shared" si="23"/>
        <v>Clear</v>
      </c>
      <c r="K450" s="3">
        <v>0.3</v>
      </c>
      <c r="L450" s="6">
        <v>0.49</v>
      </c>
      <c r="M450" s="6">
        <v>0.31819999999999998</v>
      </c>
      <c r="N450" s="6">
        <v>0.1045</v>
      </c>
      <c r="O450" s="6">
        <v>8</v>
      </c>
      <c r="P450" s="6">
        <v>207</v>
      </c>
      <c r="Q450" s="6">
        <v>215</v>
      </c>
      <c r="R450" s="8"/>
      <c r="S450" s="8"/>
      <c r="T450" s="8"/>
      <c r="V450">
        <v>2</v>
      </c>
      <c r="W450">
        <v>75</v>
      </c>
    </row>
    <row r="451" spans="1:23">
      <c r="A451" s="3">
        <v>450</v>
      </c>
      <c r="B451" s="4">
        <v>40563</v>
      </c>
      <c r="C451" s="3">
        <v>1</v>
      </c>
      <c r="D451" s="3">
        <v>0</v>
      </c>
      <c r="E451" s="3" t="str">
        <f t="shared" ref="E451:E514" si="25">TEXT(B451,"MMMM")</f>
        <v>January</v>
      </c>
      <c r="F451" s="3">
        <v>18</v>
      </c>
      <c r="G451" s="3" t="b">
        <v>0</v>
      </c>
      <c r="H451" s="3" t="str">
        <f t="shared" si="24"/>
        <v>Thursday</v>
      </c>
      <c r="I451" s="3">
        <v>4</v>
      </c>
      <c r="J451" s="3" t="str">
        <f t="shared" si="23"/>
        <v>Clear</v>
      </c>
      <c r="K451" s="3">
        <v>0.26</v>
      </c>
      <c r="L451" s="6">
        <v>0.56000000000000005</v>
      </c>
      <c r="M451" s="6">
        <v>0.2576</v>
      </c>
      <c r="N451" s="6">
        <v>0.19400000000000001</v>
      </c>
      <c r="O451" s="6">
        <v>1</v>
      </c>
      <c r="P451" s="6">
        <v>184</v>
      </c>
      <c r="Q451" s="6">
        <v>185</v>
      </c>
      <c r="R451" s="8"/>
      <c r="S451" s="8"/>
      <c r="T451" s="8"/>
      <c r="V451">
        <v>4</v>
      </c>
      <c r="W451">
        <v>73</v>
      </c>
    </row>
    <row r="452" spans="1:23">
      <c r="A452" s="3">
        <v>451</v>
      </c>
      <c r="B452" s="4">
        <v>40563</v>
      </c>
      <c r="C452" s="3">
        <v>1</v>
      </c>
      <c r="D452" s="3">
        <v>0</v>
      </c>
      <c r="E452" s="3" t="str">
        <f t="shared" si="25"/>
        <v>January</v>
      </c>
      <c r="F452" s="3">
        <v>19</v>
      </c>
      <c r="G452" s="3" t="b">
        <v>0</v>
      </c>
      <c r="H452" s="3" t="str">
        <f t="shared" si="24"/>
        <v>Thursday</v>
      </c>
      <c r="I452" s="3">
        <v>4</v>
      </c>
      <c r="J452" s="3" t="str">
        <f t="shared" si="23"/>
        <v>Clear</v>
      </c>
      <c r="K452" s="3">
        <v>0.26</v>
      </c>
      <c r="L452" s="6">
        <v>0.56000000000000005</v>
      </c>
      <c r="M452" s="6">
        <v>0.2273</v>
      </c>
      <c r="N452" s="6">
        <v>0.32840000000000003</v>
      </c>
      <c r="O452" s="6">
        <v>6</v>
      </c>
      <c r="P452" s="6">
        <v>146</v>
      </c>
      <c r="Q452" s="6">
        <v>152</v>
      </c>
      <c r="R452" s="8"/>
      <c r="S452" s="8"/>
      <c r="T452" s="8"/>
      <c r="V452">
        <v>6</v>
      </c>
      <c r="W452">
        <v>71</v>
      </c>
    </row>
    <row r="453" spans="1:23">
      <c r="A453" s="3">
        <v>452</v>
      </c>
      <c r="B453" s="4">
        <v>40563</v>
      </c>
      <c r="C453" s="3">
        <v>1</v>
      </c>
      <c r="D453" s="3">
        <v>0</v>
      </c>
      <c r="E453" s="3" t="str">
        <f t="shared" si="25"/>
        <v>January</v>
      </c>
      <c r="F453" s="3">
        <v>20</v>
      </c>
      <c r="G453" s="3" t="b">
        <v>0</v>
      </c>
      <c r="H453" s="3" t="str">
        <f t="shared" si="24"/>
        <v>Thursday</v>
      </c>
      <c r="I453" s="3">
        <v>4</v>
      </c>
      <c r="J453" s="3" t="str">
        <f t="shared" si="23"/>
        <v>Clear</v>
      </c>
      <c r="K453" s="3">
        <v>0.26</v>
      </c>
      <c r="L453" s="6">
        <v>0.6</v>
      </c>
      <c r="M453" s="6">
        <v>0.2424</v>
      </c>
      <c r="N453" s="6">
        <v>0.28360000000000002</v>
      </c>
      <c r="O453" s="6">
        <v>2</v>
      </c>
      <c r="P453" s="6">
        <v>124</v>
      </c>
      <c r="Q453" s="6">
        <v>126</v>
      </c>
      <c r="R453" s="8"/>
      <c r="S453" s="8"/>
      <c r="T453" s="8"/>
      <c r="V453">
        <v>11</v>
      </c>
      <c r="W453">
        <v>66</v>
      </c>
    </row>
    <row r="454" spans="1:23">
      <c r="A454" s="3">
        <v>453</v>
      </c>
      <c r="B454" s="4">
        <v>40563</v>
      </c>
      <c r="C454" s="3">
        <v>1</v>
      </c>
      <c r="D454" s="3">
        <v>0</v>
      </c>
      <c r="E454" s="3" t="str">
        <f t="shared" si="25"/>
        <v>January</v>
      </c>
      <c r="F454" s="3">
        <v>21</v>
      </c>
      <c r="G454" s="3" t="b">
        <v>0</v>
      </c>
      <c r="H454" s="3" t="str">
        <f t="shared" si="24"/>
        <v>Thursday</v>
      </c>
      <c r="I454" s="3">
        <v>4</v>
      </c>
      <c r="J454" s="3" t="str">
        <f t="shared" si="23"/>
        <v>Foggy</v>
      </c>
      <c r="K454" s="3">
        <v>0.24</v>
      </c>
      <c r="L454" s="6">
        <v>0.6</v>
      </c>
      <c r="M454" s="6">
        <v>0.2273</v>
      </c>
      <c r="N454" s="6">
        <v>0.25369999999999998</v>
      </c>
      <c r="O454" s="6">
        <v>3</v>
      </c>
      <c r="P454" s="6">
        <v>54</v>
      </c>
      <c r="Q454" s="6">
        <v>57</v>
      </c>
      <c r="R454" s="8"/>
      <c r="S454" s="8"/>
      <c r="T454" s="8"/>
      <c r="V454">
        <v>13</v>
      </c>
      <c r="W454">
        <v>64</v>
      </c>
    </row>
    <row r="455" spans="1:23">
      <c r="A455" s="3">
        <v>454</v>
      </c>
      <c r="B455" s="4">
        <v>40563</v>
      </c>
      <c r="C455" s="3">
        <v>1</v>
      </c>
      <c r="D455" s="3">
        <v>0</v>
      </c>
      <c r="E455" s="3" t="str">
        <f t="shared" si="25"/>
        <v>January</v>
      </c>
      <c r="F455" s="3">
        <v>22</v>
      </c>
      <c r="G455" s="3" t="b">
        <v>0</v>
      </c>
      <c r="H455" s="3" t="str">
        <f t="shared" si="24"/>
        <v>Thursday</v>
      </c>
      <c r="I455" s="3">
        <v>4</v>
      </c>
      <c r="J455" s="3" t="str">
        <f t="shared" ref="J455:J518" si="26">IF($K455&lt;=0.24,"Foggy",IF($K455&gt;0.24,"Clear"))</f>
        <v>Foggy</v>
      </c>
      <c r="K455" s="3">
        <v>0.24</v>
      </c>
      <c r="L455" s="6">
        <v>0.65</v>
      </c>
      <c r="M455" s="6">
        <v>0.21210000000000001</v>
      </c>
      <c r="N455" s="6">
        <v>0.28360000000000002</v>
      </c>
      <c r="O455" s="6">
        <v>0</v>
      </c>
      <c r="P455" s="6">
        <v>56</v>
      </c>
      <c r="Q455" s="6">
        <v>56</v>
      </c>
      <c r="R455" s="8"/>
      <c r="S455" s="8"/>
      <c r="T455" s="8"/>
      <c r="U455">
        <v>78</v>
      </c>
      <c r="W455">
        <v>697</v>
      </c>
    </row>
    <row r="456" spans="1:23">
      <c r="A456" s="3">
        <v>455</v>
      </c>
      <c r="B456" s="4">
        <v>40563</v>
      </c>
      <c r="C456" s="3">
        <v>1</v>
      </c>
      <c r="D456" s="3">
        <v>0</v>
      </c>
      <c r="E456" s="3" t="str">
        <f t="shared" si="25"/>
        <v>January</v>
      </c>
      <c r="F456" s="3">
        <v>23</v>
      </c>
      <c r="G456" s="3" t="b">
        <v>0</v>
      </c>
      <c r="H456" s="3" t="str">
        <f t="shared" si="24"/>
        <v>Thursday</v>
      </c>
      <c r="I456" s="3">
        <v>4</v>
      </c>
      <c r="J456" s="3" t="str">
        <f t="shared" si="26"/>
        <v>Foggy</v>
      </c>
      <c r="K456" s="3">
        <v>0.24</v>
      </c>
      <c r="L456" s="6">
        <v>0.65</v>
      </c>
      <c r="M456" s="6">
        <v>0.21210000000000001</v>
      </c>
      <c r="N456" s="6">
        <v>0.32840000000000003</v>
      </c>
      <c r="O456" s="6">
        <v>3</v>
      </c>
      <c r="P456" s="6">
        <v>28</v>
      </c>
      <c r="Q456" s="6">
        <v>31</v>
      </c>
      <c r="R456" s="8"/>
      <c r="S456" s="8"/>
      <c r="T456" s="8"/>
      <c r="V456">
        <v>0</v>
      </c>
      <c r="W456">
        <v>78</v>
      </c>
    </row>
    <row r="457" spans="1:23">
      <c r="A457" s="3">
        <v>456</v>
      </c>
      <c r="B457" s="4">
        <v>40564</v>
      </c>
      <c r="C457" s="3">
        <v>1</v>
      </c>
      <c r="D457" s="3">
        <v>0</v>
      </c>
      <c r="E457" s="3" t="str">
        <f t="shared" si="25"/>
        <v>January</v>
      </c>
      <c r="F457" s="3">
        <v>0</v>
      </c>
      <c r="G457" s="3" t="b">
        <v>0</v>
      </c>
      <c r="H457" s="3" t="str">
        <f t="shared" ref="H457:H520" si="27">TEXT(B457,"dddd")</f>
        <v>Friday</v>
      </c>
      <c r="I457" s="3">
        <v>5</v>
      </c>
      <c r="J457" s="3" t="str">
        <f t="shared" si="26"/>
        <v>Foggy</v>
      </c>
      <c r="K457" s="3">
        <v>0.24</v>
      </c>
      <c r="L457" s="6">
        <v>0.7</v>
      </c>
      <c r="M457" s="6">
        <v>0.2273</v>
      </c>
      <c r="N457" s="6">
        <v>0.25369999999999998</v>
      </c>
      <c r="O457" s="6">
        <v>1</v>
      </c>
      <c r="P457" s="6">
        <v>20</v>
      </c>
      <c r="Q457" s="6">
        <v>21</v>
      </c>
      <c r="R457" s="8"/>
      <c r="S457" s="8"/>
      <c r="T457" s="8"/>
      <c r="V457">
        <v>2</v>
      </c>
      <c r="W457">
        <v>76</v>
      </c>
    </row>
    <row r="458" spans="1:23">
      <c r="A458" s="3">
        <v>457</v>
      </c>
      <c r="B458" s="4">
        <v>40564</v>
      </c>
      <c r="C458" s="3">
        <v>1</v>
      </c>
      <c r="D458" s="3">
        <v>0</v>
      </c>
      <c r="E458" s="3" t="str">
        <f t="shared" si="25"/>
        <v>January</v>
      </c>
      <c r="F458" s="3">
        <v>1</v>
      </c>
      <c r="G458" s="3" t="b">
        <v>0</v>
      </c>
      <c r="H458" s="3" t="str">
        <f t="shared" si="27"/>
        <v>Friday</v>
      </c>
      <c r="I458" s="3">
        <v>5</v>
      </c>
      <c r="J458" s="3" t="str">
        <f t="shared" si="26"/>
        <v>Foggy</v>
      </c>
      <c r="K458" s="3">
        <v>0.24</v>
      </c>
      <c r="L458" s="6">
        <v>0.7</v>
      </c>
      <c r="M458" s="6">
        <v>0.2273</v>
      </c>
      <c r="N458" s="6">
        <v>0.25369999999999998</v>
      </c>
      <c r="O458" s="6">
        <v>0</v>
      </c>
      <c r="P458" s="6">
        <v>6</v>
      </c>
      <c r="Q458" s="6">
        <v>6</v>
      </c>
      <c r="R458" s="8"/>
      <c r="S458" s="8"/>
      <c r="T458" s="8"/>
      <c r="V458">
        <v>3</v>
      </c>
      <c r="W458">
        <v>75</v>
      </c>
    </row>
    <row r="459" spans="1:23">
      <c r="A459" s="3">
        <v>458</v>
      </c>
      <c r="B459" s="4">
        <v>40564</v>
      </c>
      <c r="C459" s="3">
        <v>1</v>
      </c>
      <c r="D459" s="3">
        <v>0</v>
      </c>
      <c r="E459" s="3" t="str">
        <f t="shared" si="25"/>
        <v>January</v>
      </c>
      <c r="F459" s="3">
        <v>2</v>
      </c>
      <c r="G459" s="3" t="b">
        <v>0</v>
      </c>
      <c r="H459" s="3" t="str">
        <f t="shared" si="27"/>
        <v>Friday</v>
      </c>
      <c r="I459" s="3">
        <v>5</v>
      </c>
      <c r="J459" s="3" t="str">
        <f t="shared" si="26"/>
        <v>Foggy</v>
      </c>
      <c r="K459" s="3">
        <v>0.24</v>
      </c>
      <c r="L459" s="6">
        <v>0.75</v>
      </c>
      <c r="M459" s="6">
        <v>0.2424</v>
      </c>
      <c r="N459" s="6">
        <v>0.16420000000000001</v>
      </c>
      <c r="O459" s="6">
        <v>0</v>
      </c>
      <c r="P459" s="6">
        <v>2</v>
      </c>
      <c r="Q459" s="6">
        <v>2</v>
      </c>
      <c r="R459" s="8"/>
      <c r="S459" s="8"/>
      <c r="T459" s="8"/>
      <c r="V459">
        <v>5</v>
      </c>
      <c r="W459">
        <v>73</v>
      </c>
    </row>
    <row r="460" spans="1:23">
      <c r="A460" s="3">
        <v>459</v>
      </c>
      <c r="B460" s="4">
        <v>40564</v>
      </c>
      <c r="C460" s="3">
        <v>1</v>
      </c>
      <c r="D460" s="3">
        <v>0</v>
      </c>
      <c r="E460" s="3" t="str">
        <f t="shared" si="25"/>
        <v>January</v>
      </c>
      <c r="F460" s="3">
        <v>3</v>
      </c>
      <c r="G460" s="3" t="b">
        <v>0</v>
      </c>
      <c r="H460" s="3" t="str">
        <f t="shared" si="27"/>
        <v>Friday</v>
      </c>
      <c r="I460" s="3">
        <v>5</v>
      </c>
      <c r="J460" s="3" t="str">
        <f t="shared" si="26"/>
        <v>Foggy</v>
      </c>
      <c r="K460" s="3">
        <v>0.22</v>
      </c>
      <c r="L460" s="6">
        <v>0.8</v>
      </c>
      <c r="M460" s="6">
        <v>0.21210000000000001</v>
      </c>
      <c r="N460" s="6">
        <v>0.29849999999999999</v>
      </c>
      <c r="O460" s="6">
        <v>0</v>
      </c>
      <c r="P460" s="6">
        <v>1</v>
      </c>
      <c r="Q460" s="6">
        <v>1</v>
      </c>
      <c r="R460" s="8"/>
      <c r="S460" s="8"/>
      <c r="T460" s="8"/>
      <c r="V460">
        <v>11</v>
      </c>
      <c r="W460">
        <v>134</v>
      </c>
    </row>
    <row r="461" spans="1:23">
      <c r="A461" s="3">
        <v>460</v>
      </c>
      <c r="B461" s="4">
        <v>40564</v>
      </c>
      <c r="C461" s="3">
        <v>1</v>
      </c>
      <c r="D461" s="3">
        <v>0</v>
      </c>
      <c r="E461" s="3" t="str">
        <f t="shared" si="25"/>
        <v>January</v>
      </c>
      <c r="F461" s="3">
        <v>4</v>
      </c>
      <c r="G461" s="3" t="b">
        <v>0</v>
      </c>
      <c r="H461" s="3" t="str">
        <f t="shared" si="27"/>
        <v>Friday</v>
      </c>
      <c r="I461" s="3">
        <v>5</v>
      </c>
      <c r="J461" s="3" t="str">
        <f t="shared" si="26"/>
        <v>Foggy</v>
      </c>
      <c r="K461" s="3">
        <v>0.22</v>
      </c>
      <c r="L461" s="6">
        <v>0.87</v>
      </c>
      <c r="M461" s="6">
        <v>0.2576</v>
      </c>
      <c r="N461" s="6">
        <v>8.9599999999999999E-2</v>
      </c>
      <c r="O461" s="6">
        <v>0</v>
      </c>
      <c r="P461" s="6">
        <v>1</v>
      </c>
      <c r="Q461" s="6">
        <v>1</v>
      </c>
      <c r="R461" s="8"/>
      <c r="S461" s="8"/>
      <c r="T461" s="8"/>
      <c r="V461">
        <v>12</v>
      </c>
      <c r="W461">
        <v>132</v>
      </c>
    </row>
    <row r="462" spans="1:23">
      <c r="A462" s="3">
        <v>461</v>
      </c>
      <c r="B462" s="4">
        <v>40564</v>
      </c>
      <c r="C462" s="3">
        <v>1</v>
      </c>
      <c r="D462" s="3">
        <v>0</v>
      </c>
      <c r="E462" s="3" t="str">
        <f t="shared" si="25"/>
        <v>January</v>
      </c>
      <c r="F462" s="3">
        <v>5</v>
      </c>
      <c r="G462" s="3" t="b">
        <v>0</v>
      </c>
      <c r="H462" s="3" t="str">
        <f t="shared" si="27"/>
        <v>Friday</v>
      </c>
      <c r="I462" s="3">
        <v>5</v>
      </c>
      <c r="J462" s="3" t="str">
        <f t="shared" si="26"/>
        <v>Foggy</v>
      </c>
      <c r="K462" s="3">
        <v>0.24</v>
      </c>
      <c r="L462" s="6">
        <v>0.6</v>
      </c>
      <c r="M462" s="6">
        <v>0.19700000000000001</v>
      </c>
      <c r="N462" s="6">
        <v>0.41789999999999999</v>
      </c>
      <c r="O462" s="6">
        <v>1</v>
      </c>
      <c r="P462" s="6">
        <v>4</v>
      </c>
      <c r="Q462" s="6">
        <v>5</v>
      </c>
      <c r="R462" s="8"/>
      <c r="S462" s="8"/>
      <c r="T462" s="8"/>
      <c r="V462">
        <v>13</v>
      </c>
      <c r="W462">
        <v>65</v>
      </c>
    </row>
    <row r="463" spans="1:23">
      <c r="A463" s="3">
        <v>462</v>
      </c>
      <c r="B463" s="4">
        <v>40564</v>
      </c>
      <c r="C463" s="3">
        <v>1</v>
      </c>
      <c r="D463" s="3">
        <v>0</v>
      </c>
      <c r="E463" s="3" t="str">
        <f t="shared" si="25"/>
        <v>January</v>
      </c>
      <c r="F463" s="3">
        <v>6</v>
      </c>
      <c r="G463" s="3" t="b">
        <v>0</v>
      </c>
      <c r="H463" s="3" t="str">
        <f t="shared" si="27"/>
        <v>Friday</v>
      </c>
      <c r="I463" s="3">
        <v>5</v>
      </c>
      <c r="J463" s="3" t="str">
        <f t="shared" si="26"/>
        <v>Foggy</v>
      </c>
      <c r="K463" s="3">
        <v>0.22</v>
      </c>
      <c r="L463" s="6">
        <v>0.55000000000000004</v>
      </c>
      <c r="M463" s="6">
        <v>0.21210000000000001</v>
      </c>
      <c r="N463" s="6">
        <v>0.25369999999999998</v>
      </c>
      <c r="O463" s="6">
        <v>0</v>
      </c>
      <c r="P463" s="6">
        <v>27</v>
      </c>
      <c r="Q463" s="6">
        <v>27</v>
      </c>
      <c r="R463" s="8"/>
      <c r="S463" s="8"/>
      <c r="T463" s="8"/>
      <c r="V463">
        <v>14</v>
      </c>
      <c r="W463">
        <v>64</v>
      </c>
    </row>
    <row r="464" spans="1:23">
      <c r="A464" s="3">
        <v>463</v>
      </c>
      <c r="B464" s="4">
        <v>40564</v>
      </c>
      <c r="C464" s="3">
        <v>1</v>
      </c>
      <c r="D464" s="3">
        <v>0</v>
      </c>
      <c r="E464" s="3" t="str">
        <f t="shared" si="25"/>
        <v>January</v>
      </c>
      <c r="F464" s="3">
        <v>7</v>
      </c>
      <c r="G464" s="3" t="b">
        <v>0</v>
      </c>
      <c r="H464" s="3" t="str">
        <f t="shared" si="27"/>
        <v>Friday</v>
      </c>
      <c r="I464" s="3">
        <v>5</v>
      </c>
      <c r="J464" s="3" t="str">
        <f t="shared" si="26"/>
        <v>Foggy</v>
      </c>
      <c r="K464" s="3">
        <v>0.2</v>
      </c>
      <c r="L464" s="6">
        <v>0.51</v>
      </c>
      <c r="M464" s="6">
        <v>0.18179999999999999</v>
      </c>
      <c r="N464" s="6">
        <v>0.28360000000000002</v>
      </c>
      <c r="O464" s="6">
        <v>2</v>
      </c>
      <c r="P464" s="6">
        <v>66</v>
      </c>
      <c r="Q464" s="6">
        <v>68</v>
      </c>
      <c r="R464" s="8"/>
      <c r="S464" s="8"/>
      <c r="T464" s="8"/>
      <c r="U464">
        <v>79</v>
      </c>
      <c r="W464">
        <v>293</v>
      </c>
    </row>
    <row r="465" spans="1:23">
      <c r="A465" s="3">
        <v>464</v>
      </c>
      <c r="B465" s="4">
        <v>40564</v>
      </c>
      <c r="C465" s="3">
        <v>1</v>
      </c>
      <c r="D465" s="3">
        <v>0</v>
      </c>
      <c r="E465" s="3" t="str">
        <f t="shared" si="25"/>
        <v>January</v>
      </c>
      <c r="F465" s="3">
        <v>8</v>
      </c>
      <c r="G465" s="3" t="b">
        <v>0</v>
      </c>
      <c r="H465" s="3" t="str">
        <f t="shared" si="27"/>
        <v>Friday</v>
      </c>
      <c r="I465" s="3">
        <v>5</v>
      </c>
      <c r="J465" s="3" t="str">
        <f t="shared" si="26"/>
        <v>Foggy</v>
      </c>
      <c r="K465" s="3">
        <v>0.2</v>
      </c>
      <c r="L465" s="6">
        <v>0.47</v>
      </c>
      <c r="M465" s="6">
        <v>0.18179999999999999</v>
      </c>
      <c r="N465" s="6">
        <v>0.32840000000000003</v>
      </c>
      <c r="O465" s="6">
        <v>7</v>
      </c>
      <c r="P465" s="6">
        <v>210</v>
      </c>
      <c r="Q465" s="6">
        <v>217</v>
      </c>
      <c r="R465" s="8"/>
      <c r="S465" s="8"/>
      <c r="T465" s="8"/>
      <c r="V465">
        <v>3</v>
      </c>
      <c r="W465">
        <v>76</v>
      </c>
    </row>
    <row r="466" spans="1:23">
      <c r="A466" s="3">
        <v>465</v>
      </c>
      <c r="B466" s="4">
        <v>40564</v>
      </c>
      <c r="C466" s="3">
        <v>1</v>
      </c>
      <c r="D466" s="3">
        <v>0</v>
      </c>
      <c r="E466" s="3" t="str">
        <f t="shared" si="25"/>
        <v>January</v>
      </c>
      <c r="F466" s="3">
        <v>9</v>
      </c>
      <c r="G466" s="3" t="b">
        <v>0</v>
      </c>
      <c r="H466" s="3" t="str">
        <f t="shared" si="27"/>
        <v>Friday</v>
      </c>
      <c r="I466" s="3">
        <v>5</v>
      </c>
      <c r="J466" s="3" t="str">
        <f t="shared" si="26"/>
        <v>Foggy</v>
      </c>
      <c r="K466" s="3">
        <v>0.2</v>
      </c>
      <c r="L466" s="6">
        <v>0.51</v>
      </c>
      <c r="M466" s="6">
        <v>0.18179999999999999</v>
      </c>
      <c r="N466" s="6">
        <v>0.35820000000000002</v>
      </c>
      <c r="O466" s="6">
        <v>7</v>
      </c>
      <c r="P466" s="6">
        <v>159</v>
      </c>
      <c r="Q466" s="6">
        <v>166</v>
      </c>
      <c r="R466" s="8"/>
      <c r="S466" s="8"/>
      <c r="T466" s="8"/>
      <c r="V466">
        <v>5</v>
      </c>
      <c r="W466">
        <v>74</v>
      </c>
    </row>
    <row r="467" spans="1:23">
      <c r="A467" s="3">
        <v>466</v>
      </c>
      <c r="B467" s="4">
        <v>40564</v>
      </c>
      <c r="C467" s="3">
        <v>1</v>
      </c>
      <c r="D467" s="3">
        <v>0</v>
      </c>
      <c r="E467" s="3" t="str">
        <f t="shared" si="25"/>
        <v>January</v>
      </c>
      <c r="F467" s="3">
        <v>10</v>
      </c>
      <c r="G467" s="3" t="b">
        <v>0</v>
      </c>
      <c r="H467" s="3" t="str">
        <f t="shared" si="27"/>
        <v>Friday</v>
      </c>
      <c r="I467" s="3">
        <v>5</v>
      </c>
      <c r="J467" s="3" t="str">
        <f t="shared" si="26"/>
        <v>Foggy</v>
      </c>
      <c r="K467" s="3">
        <v>0.2</v>
      </c>
      <c r="L467" s="6">
        <v>0.47</v>
      </c>
      <c r="M467" s="6">
        <v>0.16669999999999999</v>
      </c>
      <c r="N467" s="6">
        <v>0.4627</v>
      </c>
      <c r="O467" s="6">
        <v>6</v>
      </c>
      <c r="P467" s="6">
        <v>57</v>
      </c>
      <c r="Q467" s="6">
        <v>63</v>
      </c>
      <c r="R467" s="8"/>
      <c r="S467" s="8"/>
      <c r="T467" s="8"/>
      <c r="V467">
        <v>7</v>
      </c>
      <c r="W467">
        <v>72</v>
      </c>
    </row>
    <row r="468" spans="1:23">
      <c r="A468" s="3">
        <v>467</v>
      </c>
      <c r="B468" s="4">
        <v>40564</v>
      </c>
      <c r="C468" s="3">
        <v>1</v>
      </c>
      <c r="D468" s="3">
        <v>0</v>
      </c>
      <c r="E468" s="3" t="str">
        <f t="shared" si="25"/>
        <v>January</v>
      </c>
      <c r="F468" s="3">
        <v>11</v>
      </c>
      <c r="G468" s="3" t="b">
        <v>0</v>
      </c>
      <c r="H468" s="3" t="str">
        <f t="shared" si="27"/>
        <v>Friday</v>
      </c>
      <c r="I468" s="3">
        <v>5</v>
      </c>
      <c r="J468" s="3" t="str">
        <f t="shared" si="26"/>
        <v>Foggy</v>
      </c>
      <c r="K468" s="3">
        <v>0.22</v>
      </c>
      <c r="L468" s="6">
        <v>0.41</v>
      </c>
      <c r="M468" s="6">
        <v>0.18179999999999999</v>
      </c>
      <c r="N468" s="6">
        <v>0.4627</v>
      </c>
      <c r="O468" s="6">
        <v>6</v>
      </c>
      <c r="P468" s="6">
        <v>53</v>
      </c>
      <c r="Q468" s="6">
        <v>59</v>
      </c>
      <c r="R468" s="8"/>
      <c r="S468" s="8"/>
      <c r="T468" s="8"/>
      <c r="V468">
        <v>8</v>
      </c>
      <c r="W468">
        <v>71</v>
      </c>
    </row>
    <row r="469" spans="1:23">
      <c r="A469" s="3">
        <v>468</v>
      </c>
      <c r="B469" s="4">
        <v>40564</v>
      </c>
      <c r="C469" s="3">
        <v>1</v>
      </c>
      <c r="D469" s="3">
        <v>0</v>
      </c>
      <c r="E469" s="3" t="str">
        <f t="shared" si="25"/>
        <v>January</v>
      </c>
      <c r="F469" s="3">
        <v>12</v>
      </c>
      <c r="G469" s="3" t="b">
        <v>0</v>
      </c>
      <c r="H469" s="3" t="str">
        <f t="shared" si="27"/>
        <v>Friday</v>
      </c>
      <c r="I469" s="3">
        <v>5</v>
      </c>
      <c r="J469" s="3" t="str">
        <f t="shared" si="26"/>
        <v>Foggy</v>
      </c>
      <c r="K469" s="3">
        <v>0.22</v>
      </c>
      <c r="L469" s="6">
        <v>0.27</v>
      </c>
      <c r="M469" s="6">
        <v>0.18179999999999999</v>
      </c>
      <c r="N469" s="6">
        <v>0.58209999999999995</v>
      </c>
      <c r="O469" s="6">
        <v>11</v>
      </c>
      <c r="P469" s="6">
        <v>67</v>
      </c>
      <c r="Q469" s="6">
        <v>78</v>
      </c>
      <c r="R469" s="8"/>
      <c r="S469" s="8"/>
      <c r="T469" s="8"/>
      <c r="U469">
        <v>80</v>
      </c>
      <c r="W469">
        <v>216</v>
      </c>
    </row>
    <row r="470" spans="1:23">
      <c r="A470" s="3">
        <v>469</v>
      </c>
      <c r="B470" s="4">
        <v>40564</v>
      </c>
      <c r="C470" s="3">
        <v>1</v>
      </c>
      <c r="D470" s="3">
        <v>0</v>
      </c>
      <c r="E470" s="3" t="str">
        <f t="shared" si="25"/>
        <v>January</v>
      </c>
      <c r="F470" s="3">
        <v>13</v>
      </c>
      <c r="G470" s="3" t="b">
        <v>0</v>
      </c>
      <c r="H470" s="3" t="str">
        <f t="shared" si="27"/>
        <v>Friday</v>
      </c>
      <c r="I470" s="3">
        <v>5</v>
      </c>
      <c r="J470" s="3" t="str">
        <f t="shared" si="26"/>
        <v>Foggy</v>
      </c>
      <c r="K470" s="3">
        <v>0.2</v>
      </c>
      <c r="L470" s="6">
        <v>0.21</v>
      </c>
      <c r="M470" s="6">
        <v>0.1515</v>
      </c>
      <c r="N470" s="6">
        <v>0.58209999999999995</v>
      </c>
      <c r="O470" s="6">
        <v>8</v>
      </c>
      <c r="P470" s="6">
        <v>65</v>
      </c>
      <c r="Q470" s="6">
        <v>73</v>
      </c>
      <c r="R470" s="8"/>
      <c r="S470" s="8"/>
      <c r="T470" s="8"/>
      <c r="V470">
        <v>4</v>
      </c>
      <c r="W470">
        <v>76</v>
      </c>
    </row>
    <row r="471" spans="1:23">
      <c r="A471" s="3">
        <v>470</v>
      </c>
      <c r="B471" s="4">
        <v>40564</v>
      </c>
      <c r="C471" s="3">
        <v>1</v>
      </c>
      <c r="D471" s="3">
        <v>0</v>
      </c>
      <c r="E471" s="3" t="str">
        <f t="shared" si="25"/>
        <v>January</v>
      </c>
      <c r="F471" s="3">
        <v>14</v>
      </c>
      <c r="G471" s="3" t="b">
        <v>0</v>
      </c>
      <c r="H471" s="3" t="str">
        <f t="shared" si="27"/>
        <v>Friday</v>
      </c>
      <c r="I471" s="3">
        <v>5</v>
      </c>
      <c r="J471" s="3" t="str">
        <f t="shared" si="26"/>
        <v>Foggy</v>
      </c>
      <c r="K471" s="3">
        <v>0.2</v>
      </c>
      <c r="L471" s="6">
        <v>0.25</v>
      </c>
      <c r="M471" s="6">
        <v>0.1515</v>
      </c>
      <c r="N471" s="6">
        <v>0.52239999999999998</v>
      </c>
      <c r="O471" s="6">
        <v>6</v>
      </c>
      <c r="P471" s="6">
        <v>56</v>
      </c>
      <c r="Q471" s="6">
        <v>62</v>
      </c>
      <c r="R471" s="8"/>
      <c r="S471" s="8"/>
      <c r="T471" s="8"/>
      <c r="V471">
        <v>10</v>
      </c>
      <c r="W471">
        <v>140</v>
      </c>
    </row>
    <row r="472" spans="1:23">
      <c r="A472" s="3">
        <v>471</v>
      </c>
      <c r="B472" s="4">
        <v>40564</v>
      </c>
      <c r="C472" s="3">
        <v>1</v>
      </c>
      <c r="D472" s="3">
        <v>0</v>
      </c>
      <c r="E472" s="3" t="str">
        <f t="shared" si="25"/>
        <v>January</v>
      </c>
      <c r="F472" s="3">
        <v>15</v>
      </c>
      <c r="G472" s="3" t="b">
        <v>0</v>
      </c>
      <c r="H472" s="3" t="str">
        <f t="shared" si="27"/>
        <v>Friday</v>
      </c>
      <c r="I472" s="3">
        <v>5</v>
      </c>
      <c r="J472" s="3" t="str">
        <f t="shared" si="26"/>
        <v>Foggy</v>
      </c>
      <c r="K472" s="3">
        <v>0.16</v>
      </c>
      <c r="L472" s="6">
        <v>0.26</v>
      </c>
      <c r="M472" s="6">
        <v>0.1212</v>
      </c>
      <c r="N472" s="6">
        <v>0.44779999999999998</v>
      </c>
      <c r="O472" s="6">
        <v>4</v>
      </c>
      <c r="P472" s="6">
        <v>61</v>
      </c>
      <c r="Q472" s="6">
        <v>65</v>
      </c>
      <c r="R472" s="8"/>
      <c r="S472" s="8"/>
      <c r="T472" s="8"/>
      <c r="U472">
        <v>81</v>
      </c>
      <c r="W472">
        <v>233</v>
      </c>
    </row>
    <row r="473" spans="1:23">
      <c r="A473" s="3">
        <v>472</v>
      </c>
      <c r="B473" s="4">
        <v>40564</v>
      </c>
      <c r="C473" s="3">
        <v>1</v>
      </c>
      <c r="D473" s="3">
        <v>0</v>
      </c>
      <c r="E473" s="3" t="str">
        <f t="shared" si="25"/>
        <v>January</v>
      </c>
      <c r="F473" s="3">
        <v>16</v>
      </c>
      <c r="G473" s="3" t="b">
        <v>0</v>
      </c>
      <c r="H473" s="3" t="str">
        <f t="shared" si="27"/>
        <v>Friday</v>
      </c>
      <c r="I473" s="3">
        <v>5</v>
      </c>
      <c r="J473" s="3" t="str">
        <f t="shared" si="26"/>
        <v>Foggy</v>
      </c>
      <c r="K473" s="3">
        <v>0.16</v>
      </c>
      <c r="L473" s="6">
        <v>0.26</v>
      </c>
      <c r="M473" s="6">
        <v>0.13639999999999999</v>
      </c>
      <c r="N473" s="6">
        <v>0.35820000000000002</v>
      </c>
      <c r="O473" s="6">
        <v>0</v>
      </c>
      <c r="P473" s="6">
        <v>97</v>
      </c>
      <c r="Q473" s="6">
        <v>97</v>
      </c>
      <c r="R473" s="8"/>
      <c r="S473" s="8"/>
      <c r="T473" s="8"/>
      <c r="V473">
        <v>1</v>
      </c>
      <c r="W473">
        <v>80</v>
      </c>
    </row>
    <row r="474" spans="1:23">
      <c r="A474" s="3">
        <v>473</v>
      </c>
      <c r="B474" s="4">
        <v>40564</v>
      </c>
      <c r="C474" s="3">
        <v>1</v>
      </c>
      <c r="D474" s="3">
        <v>0</v>
      </c>
      <c r="E474" s="3" t="str">
        <f t="shared" si="25"/>
        <v>January</v>
      </c>
      <c r="F474" s="3">
        <v>17</v>
      </c>
      <c r="G474" s="3" t="b">
        <v>0</v>
      </c>
      <c r="H474" s="3" t="str">
        <f t="shared" si="27"/>
        <v>Friday</v>
      </c>
      <c r="I474" s="3">
        <v>5</v>
      </c>
      <c r="J474" s="3" t="str">
        <f t="shared" si="26"/>
        <v>Foggy</v>
      </c>
      <c r="K474" s="3">
        <v>0.14000000000000001</v>
      </c>
      <c r="L474" s="6">
        <v>0.28000000000000003</v>
      </c>
      <c r="M474" s="6">
        <v>0.1212</v>
      </c>
      <c r="N474" s="6">
        <v>0.35820000000000002</v>
      </c>
      <c r="O474" s="6">
        <v>10</v>
      </c>
      <c r="P474" s="6">
        <v>151</v>
      </c>
      <c r="Q474" s="6">
        <v>161</v>
      </c>
      <c r="R474" s="8"/>
      <c r="S474" s="8"/>
      <c r="T474" s="8"/>
      <c r="V474">
        <v>3</v>
      </c>
      <c r="W474">
        <v>78</v>
      </c>
    </row>
    <row r="475" spans="1:23">
      <c r="A475" s="3">
        <v>474</v>
      </c>
      <c r="B475" s="4">
        <v>40564</v>
      </c>
      <c r="C475" s="3">
        <v>1</v>
      </c>
      <c r="D475" s="3">
        <v>0</v>
      </c>
      <c r="E475" s="3" t="str">
        <f t="shared" si="25"/>
        <v>January</v>
      </c>
      <c r="F475" s="3">
        <v>18</v>
      </c>
      <c r="G475" s="3" t="b">
        <v>0</v>
      </c>
      <c r="H475" s="3" t="str">
        <f t="shared" si="27"/>
        <v>Friday</v>
      </c>
      <c r="I475" s="3">
        <v>5</v>
      </c>
      <c r="J475" s="3" t="str">
        <f t="shared" si="26"/>
        <v>Foggy</v>
      </c>
      <c r="K475" s="3">
        <v>0.12</v>
      </c>
      <c r="L475" s="6">
        <v>0.3</v>
      </c>
      <c r="M475" s="6">
        <v>0.1212</v>
      </c>
      <c r="N475" s="6">
        <v>0.25369999999999998</v>
      </c>
      <c r="O475" s="6">
        <v>1</v>
      </c>
      <c r="P475" s="6">
        <v>119</v>
      </c>
      <c r="Q475" s="6">
        <v>120</v>
      </c>
      <c r="R475" s="8"/>
      <c r="S475" s="8"/>
      <c r="T475" s="8"/>
      <c r="V475">
        <v>6</v>
      </c>
      <c r="W475">
        <v>75</v>
      </c>
    </row>
    <row r="476" spans="1:23">
      <c r="A476" s="3">
        <v>475</v>
      </c>
      <c r="B476" s="4">
        <v>40564</v>
      </c>
      <c r="C476" s="3">
        <v>1</v>
      </c>
      <c r="D476" s="3">
        <v>0</v>
      </c>
      <c r="E476" s="3" t="str">
        <f t="shared" si="25"/>
        <v>January</v>
      </c>
      <c r="F476" s="3">
        <v>19</v>
      </c>
      <c r="G476" s="3" t="b">
        <v>0</v>
      </c>
      <c r="H476" s="3" t="str">
        <f t="shared" si="27"/>
        <v>Friday</v>
      </c>
      <c r="I476" s="3">
        <v>5</v>
      </c>
      <c r="J476" s="3" t="str">
        <f t="shared" si="26"/>
        <v>Foggy</v>
      </c>
      <c r="K476" s="3">
        <v>0.12</v>
      </c>
      <c r="L476" s="6">
        <v>0.3</v>
      </c>
      <c r="M476" s="6">
        <v>0.1061</v>
      </c>
      <c r="N476" s="6">
        <v>0.32840000000000003</v>
      </c>
      <c r="O476" s="6">
        <v>3</v>
      </c>
      <c r="P476" s="6">
        <v>93</v>
      </c>
      <c r="Q476" s="6">
        <v>96</v>
      </c>
      <c r="R476" s="8"/>
      <c r="S476" s="8"/>
      <c r="T476" s="8"/>
      <c r="U476">
        <v>82</v>
      </c>
      <c r="W476">
        <v>304</v>
      </c>
    </row>
    <row r="477" spans="1:23">
      <c r="A477" s="3">
        <v>476</v>
      </c>
      <c r="B477" s="4">
        <v>40564</v>
      </c>
      <c r="C477" s="3">
        <v>1</v>
      </c>
      <c r="D477" s="3">
        <v>0</v>
      </c>
      <c r="E477" s="3" t="str">
        <f t="shared" si="25"/>
        <v>January</v>
      </c>
      <c r="F477" s="3">
        <v>20</v>
      </c>
      <c r="G477" s="3" t="b">
        <v>0</v>
      </c>
      <c r="H477" s="3" t="str">
        <f t="shared" si="27"/>
        <v>Friday</v>
      </c>
      <c r="I477" s="3">
        <v>5</v>
      </c>
      <c r="J477" s="3" t="str">
        <f t="shared" si="26"/>
        <v>Foggy</v>
      </c>
      <c r="K477" s="3">
        <v>0.1</v>
      </c>
      <c r="L477" s="6">
        <v>0.33</v>
      </c>
      <c r="M477" s="6">
        <v>7.5800000000000006E-2</v>
      </c>
      <c r="N477" s="6">
        <v>0.41789999999999999</v>
      </c>
      <c r="O477" s="6">
        <v>1</v>
      </c>
      <c r="P477" s="6">
        <v>52</v>
      </c>
      <c r="Q477" s="6">
        <v>53</v>
      </c>
      <c r="R477" s="8"/>
      <c r="S477" s="8"/>
      <c r="T477" s="8"/>
      <c r="V477">
        <v>4</v>
      </c>
      <c r="W477">
        <v>78</v>
      </c>
    </row>
    <row r="478" spans="1:23">
      <c r="A478" s="3">
        <v>477</v>
      </c>
      <c r="B478" s="4">
        <v>40564</v>
      </c>
      <c r="C478" s="3">
        <v>1</v>
      </c>
      <c r="D478" s="3">
        <v>0</v>
      </c>
      <c r="E478" s="3" t="str">
        <f t="shared" si="25"/>
        <v>January</v>
      </c>
      <c r="F478" s="3">
        <v>21</v>
      </c>
      <c r="G478" s="3" t="b">
        <v>0</v>
      </c>
      <c r="H478" s="3" t="str">
        <f t="shared" si="27"/>
        <v>Friday</v>
      </c>
      <c r="I478" s="3">
        <v>5</v>
      </c>
      <c r="J478" s="3" t="str">
        <f t="shared" si="26"/>
        <v>Foggy</v>
      </c>
      <c r="K478" s="3">
        <v>0.08</v>
      </c>
      <c r="L478" s="6">
        <v>0.38</v>
      </c>
      <c r="M478" s="6">
        <v>7.5800000000000006E-2</v>
      </c>
      <c r="N478" s="6">
        <v>0.28360000000000002</v>
      </c>
      <c r="O478" s="6">
        <v>0</v>
      </c>
      <c r="P478" s="6">
        <v>41</v>
      </c>
      <c r="Q478" s="6">
        <v>41</v>
      </c>
      <c r="R478" s="8"/>
      <c r="S478" s="8"/>
      <c r="T478" s="8"/>
      <c r="V478">
        <v>5</v>
      </c>
      <c r="W478">
        <v>77</v>
      </c>
    </row>
    <row r="479" spans="1:23">
      <c r="A479" s="3">
        <v>478</v>
      </c>
      <c r="B479" s="4">
        <v>40564</v>
      </c>
      <c r="C479" s="3">
        <v>1</v>
      </c>
      <c r="D479" s="3">
        <v>0</v>
      </c>
      <c r="E479" s="3" t="str">
        <f t="shared" si="25"/>
        <v>January</v>
      </c>
      <c r="F479" s="3">
        <v>22</v>
      </c>
      <c r="G479" s="3" t="b">
        <v>0</v>
      </c>
      <c r="H479" s="3" t="str">
        <f t="shared" si="27"/>
        <v>Friday</v>
      </c>
      <c r="I479" s="3">
        <v>5</v>
      </c>
      <c r="J479" s="3" t="str">
        <f t="shared" si="26"/>
        <v>Foggy</v>
      </c>
      <c r="K479" s="3">
        <v>0.06</v>
      </c>
      <c r="L479" s="6">
        <v>0.41</v>
      </c>
      <c r="M479" s="6">
        <v>3.0300000000000001E-2</v>
      </c>
      <c r="N479" s="6">
        <v>0.3881</v>
      </c>
      <c r="O479" s="6">
        <v>1</v>
      </c>
      <c r="P479" s="6">
        <v>33</v>
      </c>
      <c r="Q479" s="6">
        <v>34</v>
      </c>
      <c r="R479" s="8"/>
      <c r="S479" s="8"/>
      <c r="T479" s="8"/>
      <c r="V479">
        <v>6</v>
      </c>
      <c r="W479">
        <v>76</v>
      </c>
    </row>
    <row r="480" spans="1:23">
      <c r="A480" s="3">
        <v>479</v>
      </c>
      <c r="B480" s="4">
        <v>40564</v>
      </c>
      <c r="C480" s="3">
        <v>1</v>
      </c>
      <c r="D480" s="3">
        <v>0</v>
      </c>
      <c r="E480" s="3" t="str">
        <f t="shared" si="25"/>
        <v>January</v>
      </c>
      <c r="F480" s="3">
        <v>23</v>
      </c>
      <c r="G480" s="3" t="b">
        <v>0</v>
      </c>
      <c r="H480" s="3" t="str">
        <f t="shared" si="27"/>
        <v>Friday</v>
      </c>
      <c r="I480" s="3">
        <v>5</v>
      </c>
      <c r="J480" s="3" t="str">
        <f t="shared" si="26"/>
        <v>Foggy</v>
      </c>
      <c r="K480" s="3">
        <v>0.06</v>
      </c>
      <c r="L480" s="6">
        <v>0.38</v>
      </c>
      <c r="M480" s="6">
        <v>4.5499999999999999E-2</v>
      </c>
      <c r="N480" s="6">
        <v>0.32840000000000003</v>
      </c>
      <c r="O480" s="6">
        <v>0</v>
      </c>
      <c r="P480" s="6">
        <v>27</v>
      </c>
      <c r="Q480" s="6">
        <v>27</v>
      </c>
      <c r="R480" s="8"/>
      <c r="S480" s="8"/>
      <c r="T480" s="8"/>
      <c r="V480">
        <v>9</v>
      </c>
      <c r="W480">
        <v>73</v>
      </c>
    </row>
    <row r="481" spans="1:23">
      <c r="A481" s="3">
        <v>480</v>
      </c>
      <c r="B481" s="4">
        <v>40565</v>
      </c>
      <c r="C481" s="3">
        <v>1</v>
      </c>
      <c r="D481" s="3">
        <v>0</v>
      </c>
      <c r="E481" s="3" t="str">
        <f t="shared" si="25"/>
        <v>January</v>
      </c>
      <c r="F481" s="3">
        <v>0</v>
      </c>
      <c r="G481" s="3" t="b">
        <v>0</v>
      </c>
      <c r="H481" s="3" t="str">
        <f t="shared" si="27"/>
        <v>Saturday</v>
      </c>
      <c r="I481" s="3">
        <v>6</v>
      </c>
      <c r="J481" s="3" t="str">
        <f t="shared" si="26"/>
        <v>Foggy</v>
      </c>
      <c r="K481" s="3">
        <v>0.04</v>
      </c>
      <c r="L481" s="6">
        <v>0.45</v>
      </c>
      <c r="M481" s="6">
        <v>3.0300000000000001E-2</v>
      </c>
      <c r="N481" s="6">
        <v>0.25369999999999998</v>
      </c>
      <c r="O481" s="6">
        <v>0</v>
      </c>
      <c r="P481" s="6">
        <v>13</v>
      </c>
      <c r="Q481" s="6">
        <v>13</v>
      </c>
      <c r="R481" s="8"/>
      <c r="S481" s="8"/>
      <c r="T481" s="8"/>
      <c r="U481">
        <v>83</v>
      </c>
      <c r="W481">
        <v>762</v>
      </c>
    </row>
    <row r="482" spans="1:23">
      <c r="A482" s="3">
        <v>481</v>
      </c>
      <c r="B482" s="4">
        <v>40565</v>
      </c>
      <c r="C482" s="3">
        <v>1</v>
      </c>
      <c r="D482" s="3">
        <v>0</v>
      </c>
      <c r="E482" s="3" t="str">
        <f t="shared" si="25"/>
        <v>January</v>
      </c>
      <c r="F482" s="3">
        <v>1</v>
      </c>
      <c r="G482" s="3" t="b">
        <v>0</v>
      </c>
      <c r="H482" s="3" t="str">
        <f t="shared" si="27"/>
        <v>Saturday</v>
      </c>
      <c r="I482" s="3">
        <v>6</v>
      </c>
      <c r="J482" s="3" t="str">
        <f t="shared" si="26"/>
        <v>Foggy</v>
      </c>
      <c r="K482" s="3">
        <v>0.04</v>
      </c>
      <c r="L482" s="6">
        <v>0.41</v>
      </c>
      <c r="M482" s="6">
        <v>0</v>
      </c>
      <c r="N482" s="6">
        <v>0.3881</v>
      </c>
      <c r="O482" s="6">
        <v>3</v>
      </c>
      <c r="P482" s="6">
        <v>9</v>
      </c>
      <c r="Q482" s="6">
        <v>12</v>
      </c>
      <c r="R482" s="8"/>
      <c r="S482" s="8"/>
      <c r="T482" s="8"/>
      <c r="V482">
        <v>0</v>
      </c>
      <c r="W482">
        <v>166</v>
      </c>
    </row>
    <row r="483" spans="1:23">
      <c r="A483" s="3">
        <v>482</v>
      </c>
      <c r="B483" s="4">
        <v>40565</v>
      </c>
      <c r="C483" s="3">
        <v>1</v>
      </c>
      <c r="D483" s="3">
        <v>0</v>
      </c>
      <c r="E483" s="3" t="str">
        <f t="shared" si="25"/>
        <v>January</v>
      </c>
      <c r="F483" s="3">
        <v>2</v>
      </c>
      <c r="G483" s="3" t="b">
        <v>0</v>
      </c>
      <c r="H483" s="3" t="str">
        <f t="shared" si="27"/>
        <v>Saturday</v>
      </c>
      <c r="I483" s="3">
        <v>6</v>
      </c>
      <c r="J483" s="3" t="str">
        <f t="shared" si="26"/>
        <v>Foggy</v>
      </c>
      <c r="K483" s="3">
        <v>0.04</v>
      </c>
      <c r="L483" s="6">
        <v>0.41</v>
      </c>
      <c r="M483" s="6">
        <v>3.0300000000000001E-2</v>
      </c>
      <c r="N483" s="6">
        <v>0.25369999999999998</v>
      </c>
      <c r="O483" s="6">
        <v>0</v>
      </c>
      <c r="P483" s="6">
        <v>11</v>
      </c>
      <c r="Q483" s="6">
        <v>11</v>
      </c>
      <c r="R483" s="8"/>
      <c r="S483" s="8"/>
      <c r="T483" s="8"/>
      <c r="V483">
        <v>1</v>
      </c>
      <c r="W483">
        <v>82</v>
      </c>
    </row>
    <row r="484" spans="1:23">
      <c r="A484" s="3">
        <v>483</v>
      </c>
      <c r="B484" s="4">
        <v>40565</v>
      </c>
      <c r="C484" s="3">
        <v>1</v>
      </c>
      <c r="D484" s="3">
        <v>0</v>
      </c>
      <c r="E484" s="3" t="str">
        <f t="shared" si="25"/>
        <v>January</v>
      </c>
      <c r="F484" s="3">
        <v>3</v>
      </c>
      <c r="G484" s="3" t="b">
        <v>0</v>
      </c>
      <c r="H484" s="3" t="str">
        <f t="shared" si="27"/>
        <v>Saturday</v>
      </c>
      <c r="I484" s="3">
        <v>6</v>
      </c>
      <c r="J484" s="3" t="str">
        <f t="shared" si="26"/>
        <v>Foggy</v>
      </c>
      <c r="K484" s="3">
        <v>0.04</v>
      </c>
      <c r="L484" s="6">
        <v>0.41</v>
      </c>
      <c r="M484" s="6">
        <v>3.0300000000000001E-2</v>
      </c>
      <c r="N484" s="6">
        <v>0.28360000000000002</v>
      </c>
      <c r="O484" s="6">
        <v>1</v>
      </c>
      <c r="P484" s="6">
        <v>6</v>
      </c>
      <c r="Q484" s="6">
        <v>7</v>
      </c>
      <c r="R484" s="8"/>
      <c r="S484" s="8"/>
      <c r="T484" s="8"/>
      <c r="V484">
        <v>2</v>
      </c>
      <c r="W484">
        <v>162</v>
      </c>
    </row>
    <row r="485" spans="1:23">
      <c r="A485" s="3">
        <v>484</v>
      </c>
      <c r="B485" s="4">
        <v>40565</v>
      </c>
      <c r="C485" s="3">
        <v>1</v>
      </c>
      <c r="D485" s="3">
        <v>0</v>
      </c>
      <c r="E485" s="3" t="str">
        <f t="shared" si="25"/>
        <v>January</v>
      </c>
      <c r="F485" s="3">
        <v>4</v>
      </c>
      <c r="G485" s="3" t="b">
        <v>0</v>
      </c>
      <c r="H485" s="3" t="str">
        <f t="shared" si="27"/>
        <v>Saturday</v>
      </c>
      <c r="I485" s="3">
        <v>6</v>
      </c>
      <c r="J485" s="3" t="str">
        <f t="shared" si="26"/>
        <v>Foggy</v>
      </c>
      <c r="K485" s="3">
        <v>0.02</v>
      </c>
      <c r="L485" s="6">
        <v>0.48</v>
      </c>
      <c r="M485" s="6">
        <v>1.52E-2</v>
      </c>
      <c r="N485" s="6">
        <v>0.29849999999999999</v>
      </c>
      <c r="O485" s="6">
        <v>0</v>
      </c>
      <c r="P485" s="6">
        <v>3</v>
      </c>
      <c r="Q485" s="6">
        <v>3</v>
      </c>
      <c r="R485" s="8"/>
      <c r="S485" s="8"/>
      <c r="T485" s="8"/>
      <c r="V485">
        <v>4</v>
      </c>
      <c r="W485">
        <v>158</v>
      </c>
    </row>
    <row r="486" spans="1:23">
      <c r="A486" s="3">
        <v>485</v>
      </c>
      <c r="B486" s="4">
        <v>40565</v>
      </c>
      <c r="C486" s="3">
        <v>1</v>
      </c>
      <c r="D486" s="3">
        <v>0</v>
      </c>
      <c r="E486" s="3" t="str">
        <f t="shared" si="25"/>
        <v>January</v>
      </c>
      <c r="F486" s="3">
        <v>6</v>
      </c>
      <c r="G486" s="3" t="b">
        <v>0</v>
      </c>
      <c r="H486" s="3" t="str">
        <f t="shared" si="27"/>
        <v>Saturday</v>
      </c>
      <c r="I486" s="3">
        <v>6</v>
      </c>
      <c r="J486" s="3" t="str">
        <f t="shared" si="26"/>
        <v>Foggy</v>
      </c>
      <c r="K486" s="3">
        <v>0.02</v>
      </c>
      <c r="L486" s="6">
        <v>0.44</v>
      </c>
      <c r="M486" s="6">
        <v>3.0300000000000001E-2</v>
      </c>
      <c r="N486" s="6">
        <v>0.22389999999999999</v>
      </c>
      <c r="O486" s="6">
        <v>0</v>
      </c>
      <c r="P486" s="6">
        <v>2</v>
      </c>
      <c r="Q486" s="6">
        <v>2</v>
      </c>
      <c r="R486" s="8"/>
      <c r="S486" s="8"/>
      <c r="T486" s="8"/>
      <c r="V486">
        <v>11</v>
      </c>
      <c r="W486">
        <v>72</v>
      </c>
    </row>
    <row r="487" spans="1:23">
      <c r="A487" s="3">
        <v>486</v>
      </c>
      <c r="B487" s="4">
        <v>40565</v>
      </c>
      <c r="C487" s="3">
        <v>1</v>
      </c>
      <c r="D487" s="3">
        <v>0</v>
      </c>
      <c r="E487" s="3" t="str">
        <f t="shared" si="25"/>
        <v>January</v>
      </c>
      <c r="F487" s="3">
        <v>7</v>
      </c>
      <c r="G487" s="3" t="b">
        <v>0</v>
      </c>
      <c r="H487" s="3" t="str">
        <f t="shared" si="27"/>
        <v>Saturday</v>
      </c>
      <c r="I487" s="3">
        <v>6</v>
      </c>
      <c r="J487" s="3" t="str">
        <f t="shared" si="26"/>
        <v>Foggy</v>
      </c>
      <c r="K487" s="3">
        <v>0.02</v>
      </c>
      <c r="L487" s="6">
        <v>0.44</v>
      </c>
      <c r="M487" s="6">
        <v>1.52E-2</v>
      </c>
      <c r="N487" s="6">
        <v>0.28360000000000002</v>
      </c>
      <c r="O487" s="6">
        <v>0</v>
      </c>
      <c r="P487" s="6">
        <v>8</v>
      </c>
      <c r="Q487" s="6">
        <v>8</v>
      </c>
      <c r="R487" s="8"/>
      <c r="S487" s="8"/>
      <c r="T487" s="8"/>
      <c r="V487">
        <v>15</v>
      </c>
      <c r="W487">
        <v>68</v>
      </c>
    </row>
    <row r="488" spans="1:23">
      <c r="A488" s="3">
        <v>487</v>
      </c>
      <c r="B488" s="4">
        <v>40565</v>
      </c>
      <c r="C488" s="3">
        <v>1</v>
      </c>
      <c r="D488" s="3">
        <v>0</v>
      </c>
      <c r="E488" s="3" t="str">
        <f t="shared" si="25"/>
        <v>January</v>
      </c>
      <c r="F488" s="3">
        <v>8</v>
      </c>
      <c r="G488" s="3" t="b">
        <v>0</v>
      </c>
      <c r="H488" s="3" t="str">
        <f t="shared" si="27"/>
        <v>Saturday</v>
      </c>
      <c r="I488" s="3">
        <v>6</v>
      </c>
      <c r="J488" s="3" t="str">
        <f t="shared" si="26"/>
        <v>Foggy</v>
      </c>
      <c r="K488" s="3">
        <v>0.02</v>
      </c>
      <c r="L488" s="6">
        <v>0.44</v>
      </c>
      <c r="M488" s="6">
        <v>0</v>
      </c>
      <c r="N488" s="6">
        <v>0.32840000000000003</v>
      </c>
      <c r="O488" s="6">
        <v>1</v>
      </c>
      <c r="P488" s="6">
        <v>26</v>
      </c>
      <c r="Q488" s="6">
        <v>27</v>
      </c>
      <c r="R488" s="8"/>
      <c r="S488" s="8"/>
      <c r="T488" s="8"/>
      <c r="V488">
        <v>29</v>
      </c>
      <c r="W488">
        <v>54</v>
      </c>
    </row>
    <row r="489" spans="1:23">
      <c r="A489" s="3">
        <v>488</v>
      </c>
      <c r="B489" s="4">
        <v>40565</v>
      </c>
      <c r="C489" s="3">
        <v>1</v>
      </c>
      <c r="D489" s="3">
        <v>0</v>
      </c>
      <c r="E489" s="3" t="str">
        <f t="shared" si="25"/>
        <v>January</v>
      </c>
      <c r="F489" s="3">
        <v>9</v>
      </c>
      <c r="G489" s="3" t="b">
        <v>0</v>
      </c>
      <c r="H489" s="3" t="str">
        <f t="shared" si="27"/>
        <v>Saturday</v>
      </c>
      <c r="I489" s="3">
        <v>6</v>
      </c>
      <c r="J489" s="3" t="str">
        <f t="shared" si="26"/>
        <v>Foggy</v>
      </c>
      <c r="K489" s="3">
        <v>0.04</v>
      </c>
      <c r="L489" s="6">
        <v>0.41</v>
      </c>
      <c r="M489" s="6">
        <v>3.0300000000000001E-2</v>
      </c>
      <c r="N489" s="6">
        <v>0.25369999999999998</v>
      </c>
      <c r="O489" s="6">
        <v>3</v>
      </c>
      <c r="P489" s="6">
        <v>37</v>
      </c>
      <c r="Q489" s="6">
        <v>40</v>
      </c>
      <c r="R489" s="8"/>
      <c r="S489" s="8"/>
      <c r="T489" s="8"/>
      <c r="U489">
        <v>84</v>
      </c>
      <c r="W489">
        <v>1022</v>
      </c>
    </row>
    <row r="490" spans="1:23">
      <c r="A490" s="3">
        <v>489</v>
      </c>
      <c r="B490" s="4">
        <v>40565</v>
      </c>
      <c r="C490" s="3">
        <v>1</v>
      </c>
      <c r="D490" s="3">
        <v>0</v>
      </c>
      <c r="E490" s="3" t="str">
        <f t="shared" si="25"/>
        <v>January</v>
      </c>
      <c r="F490" s="3">
        <v>10</v>
      </c>
      <c r="G490" s="3" t="b">
        <v>0</v>
      </c>
      <c r="H490" s="3" t="str">
        <f t="shared" si="27"/>
        <v>Saturday</v>
      </c>
      <c r="I490" s="3">
        <v>6</v>
      </c>
      <c r="J490" s="3" t="str">
        <f t="shared" si="26"/>
        <v>Foggy</v>
      </c>
      <c r="K490" s="3">
        <v>0.04</v>
      </c>
      <c r="L490" s="6">
        <v>0.41</v>
      </c>
      <c r="M490" s="6">
        <v>6.0600000000000001E-2</v>
      </c>
      <c r="N490" s="6">
        <v>0.16420000000000001</v>
      </c>
      <c r="O490" s="6">
        <v>3</v>
      </c>
      <c r="P490" s="6">
        <v>50</v>
      </c>
      <c r="Q490" s="6">
        <v>53</v>
      </c>
      <c r="R490" s="8"/>
      <c r="S490" s="8"/>
      <c r="T490" s="8"/>
      <c r="V490">
        <v>0</v>
      </c>
      <c r="W490">
        <v>84</v>
      </c>
    </row>
    <row r="491" spans="1:23">
      <c r="A491" s="3">
        <v>490</v>
      </c>
      <c r="B491" s="4">
        <v>40565</v>
      </c>
      <c r="C491" s="3">
        <v>1</v>
      </c>
      <c r="D491" s="3">
        <v>0</v>
      </c>
      <c r="E491" s="3" t="str">
        <f t="shared" si="25"/>
        <v>January</v>
      </c>
      <c r="F491" s="3">
        <v>11</v>
      </c>
      <c r="G491" s="3" t="b">
        <v>0</v>
      </c>
      <c r="H491" s="3" t="str">
        <f t="shared" si="27"/>
        <v>Saturday</v>
      </c>
      <c r="I491" s="3">
        <v>6</v>
      </c>
      <c r="J491" s="3" t="str">
        <f t="shared" si="26"/>
        <v>Foggy</v>
      </c>
      <c r="K491" s="3">
        <v>0.06</v>
      </c>
      <c r="L491" s="6">
        <v>0.38</v>
      </c>
      <c r="M491" s="6">
        <v>7.5800000000000006E-2</v>
      </c>
      <c r="N491" s="6">
        <v>0.1343</v>
      </c>
      <c r="O491" s="6">
        <v>4</v>
      </c>
      <c r="P491" s="6">
        <v>59</v>
      </c>
      <c r="Q491" s="6">
        <v>63</v>
      </c>
      <c r="R491" s="8"/>
      <c r="S491" s="8"/>
      <c r="T491" s="8"/>
      <c r="V491">
        <v>2</v>
      </c>
      <c r="W491">
        <v>82</v>
      </c>
    </row>
    <row r="492" spans="1:23">
      <c r="A492" s="3">
        <v>491</v>
      </c>
      <c r="B492" s="4">
        <v>40565</v>
      </c>
      <c r="C492" s="3">
        <v>1</v>
      </c>
      <c r="D492" s="3">
        <v>0</v>
      </c>
      <c r="E492" s="3" t="str">
        <f t="shared" si="25"/>
        <v>January</v>
      </c>
      <c r="F492" s="3">
        <v>12</v>
      </c>
      <c r="G492" s="3" t="b">
        <v>0</v>
      </c>
      <c r="H492" s="3" t="str">
        <f t="shared" si="27"/>
        <v>Saturday</v>
      </c>
      <c r="I492" s="3">
        <v>6</v>
      </c>
      <c r="J492" s="3" t="str">
        <f t="shared" si="26"/>
        <v>Foggy</v>
      </c>
      <c r="K492" s="3">
        <v>0.06</v>
      </c>
      <c r="L492" s="6">
        <v>0.38</v>
      </c>
      <c r="M492" s="6">
        <v>0.1061</v>
      </c>
      <c r="N492" s="6">
        <v>0.1045</v>
      </c>
      <c r="O492" s="6">
        <v>10</v>
      </c>
      <c r="P492" s="6">
        <v>60</v>
      </c>
      <c r="Q492" s="6">
        <v>70</v>
      </c>
      <c r="R492" s="8"/>
      <c r="S492" s="8"/>
      <c r="T492" s="8"/>
      <c r="V492">
        <v>5</v>
      </c>
      <c r="W492">
        <v>79</v>
      </c>
    </row>
    <row r="493" spans="1:23">
      <c r="A493" s="3">
        <v>492</v>
      </c>
      <c r="B493" s="4">
        <v>40565</v>
      </c>
      <c r="C493" s="3">
        <v>1</v>
      </c>
      <c r="D493" s="3">
        <v>0</v>
      </c>
      <c r="E493" s="3" t="str">
        <f t="shared" si="25"/>
        <v>January</v>
      </c>
      <c r="F493" s="3">
        <v>13</v>
      </c>
      <c r="G493" s="3" t="b">
        <v>0</v>
      </c>
      <c r="H493" s="3" t="str">
        <f t="shared" si="27"/>
        <v>Saturday</v>
      </c>
      <c r="I493" s="3">
        <v>6</v>
      </c>
      <c r="J493" s="3" t="str">
        <f t="shared" si="26"/>
        <v>Foggy</v>
      </c>
      <c r="K493" s="3">
        <v>0.08</v>
      </c>
      <c r="L493" s="6">
        <v>0.35</v>
      </c>
      <c r="M493" s="6">
        <v>0.16669999999999999</v>
      </c>
      <c r="N493" s="6">
        <v>0</v>
      </c>
      <c r="O493" s="6">
        <v>12</v>
      </c>
      <c r="P493" s="6">
        <v>72</v>
      </c>
      <c r="Q493" s="6">
        <v>84</v>
      </c>
      <c r="R493" s="8"/>
      <c r="S493" s="8"/>
      <c r="T493" s="8"/>
      <c r="V493">
        <v>6</v>
      </c>
      <c r="W493">
        <v>156</v>
      </c>
    </row>
    <row r="494" spans="1:23">
      <c r="A494" s="3">
        <v>493</v>
      </c>
      <c r="B494" s="4">
        <v>40565</v>
      </c>
      <c r="C494" s="3">
        <v>1</v>
      </c>
      <c r="D494" s="3">
        <v>0</v>
      </c>
      <c r="E494" s="3" t="str">
        <f t="shared" si="25"/>
        <v>January</v>
      </c>
      <c r="F494" s="3">
        <v>14</v>
      </c>
      <c r="G494" s="3" t="b">
        <v>0</v>
      </c>
      <c r="H494" s="3" t="str">
        <f t="shared" si="27"/>
        <v>Saturday</v>
      </c>
      <c r="I494" s="3">
        <v>6</v>
      </c>
      <c r="J494" s="3" t="str">
        <f t="shared" si="26"/>
        <v>Foggy</v>
      </c>
      <c r="K494" s="3">
        <v>0.1</v>
      </c>
      <c r="L494" s="6">
        <v>0.33</v>
      </c>
      <c r="M494" s="6">
        <v>0.13639999999999999</v>
      </c>
      <c r="N494" s="6">
        <v>0.1045</v>
      </c>
      <c r="O494" s="6">
        <v>11</v>
      </c>
      <c r="P494" s="6">
        <v>64</v>
      </c>
      <c r="Q494" s="6">
        <v>75</v>
      </c>
      <c r="R494" s="8"/>
      <c r="S494" s="8"/>
      <c r="T494" s="8"/>
      <c r="V494">
        <v>7</v>
      </c>
      <c r="W494">
        <v>77</v>
      </c>
    </row>
    <row r="495" spans="1:23">
      <c r="A495" s="3">
        <v>494</v>
      </c>
      <c r="B495" s="4">
        <v>40565</v>
      </c>
      <c r="C495" s="3">
        <v>1</v>
      </c>
      <c r="D495" s="3">
        <v>0</v>
      </c>
      <c r="E495" s="3" t="str">
        <f t="shared" si="25"/>
        <v>January</v>
      </c>
      <c r="F495" s="3">
        <v>15</v>
      </c>
      <c r="G495" s="3" t="b">
        <v>0</v>
      </c>
      <c r="H495" s="3" t="str">
        <f t="shared" si="27"/>
        <v>Saturday</v>
      </c>
      <c r="I495" s="3">
        <v>6</v>
      </c>
      <c r="J495" s="3" t="str">
        <f t="shared" si="26"/>
        <v>Foggy</v>
      </c>
      <c r="K495" s="3">
        <v>0.12</v>
      </c>
      <c r="L495" s="6">
        <v>0.28000000000000003</v>
      </c>
      <c r="M495" s="6">
        <v>0.1515</v>
      </c>
      <c r="N495" s="6">
        <v>0</v>
      </c>
      <c r="O495" s="6">
        <v>10</v>
      </c>
      <c r="P495" s="6">
        <v>93</v>
      </c>
      <c r="Q495" s="6">
        <v>103</v>
      </c>
      <c r="R495" s="8"/>
      <c r="S495" s="8"/>
      <c r="T495" s="8"/>
      <c r="V495">
        <v>8</v>
      </c>
      <c r="W495">
        <v>76</v>
      </c>
    </row>
    <row r="496" spans="1:23">
      <c r="A496" s="3">
        <v>495</v>
      </c>
      <c r="B496" s="4">
        <v>40565</v>
      </c>
      <c r="C496" s="3">
        <v>1</v>
      </c>
      <c r="D496" s="3">
        <v>0</v>
      </c>
      <c r="E496" s="3" t="str">
        <f t="shared" si="25"/>
        <v>January</v>
      </c>
      <c r="F496" s="3">
        <v>16</v>
      </c>
      <c r="G496" s="3" t="b">
        <v>0</v>
      </c>
      <c r="H496" s="3" t="str">
        <f t="shared" si="27"/>
        <v>Saturday</v>
      </c>
      <c r="I496" s="3">
        <v>6</v>
      </c>
      <c r="J496" s="3" t="str">
        <f t="shared" si="26"/>
        <v>Foggy</v>
      </c>
      <c r="K496" s="3">
        <v>0.12</v>
      </c>
      <c r="L496" s="6">
        <v>0.28000000000000003</v>
      </c>
      <c r="M496" s="6">
        <v>0.13639999999999999</v>
      </c>
      <c r="N496" s="6">
        <v>0.19400000000000001</v>
      </c>
      <c r="O496" s="6">
        <v>11</v>
      </c>
      <c r="P496" s="6">
        <v>72</v>
      </c>
      <c r="Q496" s="6">
        <v>83</v>
      </c>
      <c r="R496" s="8"/>
      <c r="S496" s="8"/>
      <c r="T496" s="8"/>
      <c r="V496">
        <v>12</v>
      </c>
      <c r="W496">
        <v>72</v>
      </c>
    </row>
    <row r="497" spans="1:23">
      <c r="A497" s="3">
        <v>496</v>
      </c>
      <c r="B497" s="4">
        <v>40565</v>
      </c>
      <c r="C497" s="3">
        <v>1</v>
      </c>
      <c r="D497" s="3">
        <v>0</v>
      </c>
      <c r="E497" s="3" t="str">
        <f t="shared" si="25"/>
        <v>January</v>
      </c>
      <c r="F497" s="3">
        <v>17</v>
      </c>
      <c r="G497" s="3" t="b">
        <v>0</v>
      </c>
      <c r="H497" s="3" t="str">
        <f t="shared" si="27"/>
        <v>Saturday</v>
      </c>
      <c r="I497" s="3">
        <v>6</v>
      </c>
      <c r="J497" s="3" t="str">
        <f t="shared" si="26"/>
        <v>Foggy</v>
      </c>
      <c r="K497" s="3">
        <v>0.12</v>
      </c>
      <c r="L497" s="6">
        <v>0.28000000000000003</v>
      </c>
      <c r="M497" s="6">
        <v>0.19700000000000001</v>
      </c>
      <c r="N497" s="6">
        <v>0</v>
      </c>
      <c r="O497" s="6">
        <v>8</v>
      </c>
      <c r="P497" s="6">
        <v>59</v>
      </c>
      <c r="Q497" s="6">
        <v>67</v>
      </c>
      <c r="R497" s="8"/>
      <c r="S497" s="8"/>
      <c r="T497" s="8"/>
      <c r="V497">
        <v>13</v>
      </c>
      <c r="W497">
        <v>142</v>
      </c>
    </row>
    <row r="498" spans="1:23">
      <c r="A498" s="3">
        <v>497</v>
      </c>
      <c r="B498" s="4">
        <v>40565</v>
      </c>
      <c r="C498" s="3">
        <v>1</v>
      </c>
      <c r="D498" s="3">
        <v>0</v>
      </c>
      <c r="E498" s="3" t="str">
        <f t="shared" si="25"/>
        <v>January</v>
      </c>
      <c r="F498" s="3">
        <v>18</v>
      </c>
      <c r="G498" s="3" t="b">
        <v>0</v>
      </c>
      <c r="H498" s="3" t="str">
        <f t="shared" si="27"/>
        <v>Saturday</v>
      </c>
      <c r="I498" s="3">
        <v>6</v>
      </c>
      <c r="J498" s="3" t="str">
        <f t="shared" si="26"/>
        <v>Foggy</v>
      </c>
      <c r="K498" s="3">
        <v>0.08</v>
      </c>
      <c r="L498" s="6">
        <v>0.35</v>
      </c>
      <c r="M498" s="6">
        <v>9.0899999999999995E-2</v>
      </c>
      <c r="N498" s="6">
        <v>0.19400000000000001</v>
      </c>
      <c r="O498" s="6">
        <v>0</v>
      </c>
      <c r="P498" s="6">
        <v>54</v>
      </c>
      <c r="Q498" s="6">
        <v>54</v>
      </c>
      <c r="R498" s="8"/>
      <c r="S498" s="8"/>
      <c r="T498" s="8"/>
      <c r="V498">
        <v>15</v>
      </c>
      <c r="W498">
        <v>69</v>
      </c>
    </row>
    <row r="499" spans="1:23">
      <c r="A499" s="3">
        <v>498</v>
      </c>
      <c r="B499" s="4">
        <v>40565</v>
      </c>
      <c r="C499" s="3">
        <v>1</v>
      </c>
      <c r="D499" s="3">
        <v>0</v>
      </c>
      <c r="E499" s="3" t="str">
        <f t="shared" si="25"/>
        <v>January</v>
      </c>
      <c r="F499" s="3">
        <v>19</v>
      </c>
      <c r="G499" s="3" t="b">
        <v>0</v>
      </c>
      <c r="H499" s="3" t="str">
        <f t="shared" si="27"/>
        <v>Saturday</v>
      </c>
      <c r="I499" s="3">
        <v>6</v>
      </c>
      <c r="J499" s="3" t="str">
        <f t="shared" si="26"/>
        <v>Foggy</v>
      </c>
      <c r="K499" s="3">
        <v>0.08</v>
      </c>
      <c r="L499" s="6">
        <v>0.35</v>
      </c>
      <c r="M499" s="6">
        <v>0.1061</v>
      </c>
      <c r="N499" s="6">
        <v>0.1343</v>
      </c>
      <c r="O499" s="6">
        <v>6</v>
      </c>
      <c r="P499" s="6">
        <v>53</v>
      </c>
      <c r="Q499" s="6">
        <v>59</v>
      </c>
      <c r="R499" s="8"/>
      <c r="S499" s="8"/>
      <c r="T499" s="8"/>
      <c r="V499">
        <v>17</v>
      </c>
      <c r="W499">
        <v>67</v>
      </c>
    </row>
    <row r="500" spans="1:23">
      <c r="A500" s="3">
        <v>499</v>
      </c>
      <c r="B500" s="4">
        <v>40565</v>
      </c>
      <c r="C500" s="3">
        <v>1</v>
      </c>
      <c r="D500" s="3">
        <v>0</v>
      </c>
      <c r="E500" s="3" t="str">
        <f t="shared" si="25"/>
        <v>January</v>
      </c>
      <c r="F500" s="3">
        <v>20</v>
      </c>
      <c r="G500" s="3" t="b">
        <v>0</v>
      </c>
      <c r="H500" s="3" t="str">
        <f t="shared" si="27"/>
        <v>Saturday</v>
      </c>
      <c r="I500" s="3">
        <v>6</v>
      </c>
      <c r="J500" s="3" t="str">
        <f t="shared" si="26"/>
        <v>Foggy</v>
      </c>
      <c r="K500" s="3">
        <v>0.06</v>
      </c>
      <c r="L500" s="6">
        <v>0.45</v>
      </c>
      <c r="M500" s="6">
        <v>7.5800000000000006E-2</v>
      </c>
      <c r="N500" s="6">
        <v>0.16420000000000001</v>
      </c>
      <c r="O500" s="6">
        <v>1</v>
      </c>
      <c r="P500" s="6">
        <v>44</v>
      </c>
      <c r="Q500" s="6">
        <v>45</v>
      </c>
      <c r="R500" s="8"/>
      <c r="S500" s="8"/>
      <c r="T500" s="8"/>
      <c r="V500">
        <v>21</v>
      </c>
      <c r="W500">
        <v>63</v>
      </c>
    </row>
    <row r="501" spans="1:23">
      <c r="A501" s="3">
        <v>500</v>
      </c>
      <c r="B501" s="4">
        <v>40565</v>
      </c>
      <c r="C501" s="3">
        <v>1</v>
      </c>
      <c r="D501" s="3">
        <v>0</v>
      </c>
      <c r="E501" s="3" t="str">
        <f t="shared" si="25"/>
        <v>January</v>
      </c>
      <c r="F501" s="3">
        <v>21</v>
      </c>
      <c r="G501" s="3" t="b">
        <v>0</v>
      </c>
      <c r="H501" s="3" t="str">
        <f t="shared" si="27"/>
        <v>Saturday</v>
      </c>
      <c r="I501" s="3">
        <v>6</v>
      </c>
      <c r="J501" s="3" t="str">
        <f t="shared" si="26"/>
        <v>Foggy</v>
      </c>
      <c r="K501" s="3">
        <v>0.06</v>
      </c>
      <c r="L501" s="6">
        <v>0.41</v>
      </c>
      <c r="M501" s="6">
        <v>0.1061</v>
      </c>
      <c r="N501" s="6">
        <v>8.9599999999999999E-2</v>
      </c>
      <c r="O501" s="6">
        <v>0</v>
      </c>
      <c r="P501" s="6">
        <v>39</v>
      </c>
      <c r="Q501" s="6">
        <v>39</v>
      </c>
      <c r="R501" s="8"/>
      <c r="S501" s="8"/>
      <c r="T501" s="8"/>
      <c r="V501">
        <v>29</v>
      </c>
      <c r="W501">
        <v>55</v>
      </c>
    </row>
    <row r="502" spans="1:23">
      <c r="A502" s="3">
        <v>501</v>
      </c>
      <c r="B502" s="4">
        <v>40565</v>
      </c>
      <c r="C502" s="3">
        <v>1</v>
      </c>
      <c r="D502" s="3">
        <v>0</v>
      </c>
      <c r="E502" s="3" t="str">
        <f t="shared" si="25"/>
        <v>January</v>
      </c>
      <c r="F502" s="3">
        <v>22</v>
      </c>
      <c r="G502" s="3" t="b">
        <v>0</v>
      </c>
      <c r="H502" s="3" t="str">
        <f t="shared" si="27"/>
        <v>Saturday</v>
      </c>
      <c r="I502" s="3">
        <v>6</v>
      </c>
      <c r="J502" s="3" t="str">
        <f t="shared" si="26"/>
        <v>Foggy</v>
      </c>
      <c r="K502" s="3">
        <v>0.06</v>
      </c>
      <c r="L502" s="6">
        <v>0.49</v>
      </c>
      <c r="M502" s="6">
        <v>0.1515</v>
      </c>
      <c r="N502" s="6">
        <v>0</v>
      </c>
      <c r="O502" s="6">
        <v>7</v>
      </c>
      <c r="P502" s="6">
        <v>23</v>
      </c>
      <c r="Q502" s="6">
        <v>30</v>
      </c>
      <c r="R502" s="8"/>
      <c r="S502" s="8"/>
      <c r="T502" s="8"/>
      <c r="U502">
        <v>86</v>
      </c>
      <c r="W502">
        <v>394</v>
      </c>
    </row>
    <row r="503" spans="1:23">
      <c r="A503" s="3">
        <v>502</v>
      </c>
      <c r="B503" s="4">
        <v>40565</v>
      </c>
      <c r="C503" s="3">
        <v>1</v>
      </c>
      <c r="D503" s="3">
        <v>0</v>
      </c>
      <c r="E503" s="3" t="str">
        <f t="shared" si="25"/>
        <v>January</v>
      </c>
      <c r="F503" s="3">
        <v>23</v>
      </c>
      <c r="G503" s="3" t="b">
        <v>0</v>
      </c>
      <c r="H503" s="3" t="str">
        <f t="shared" si="27"/>
        <v>Saturday</v>
      </c>
      <c r="I503" s="3">
        <v>6</v>
      </c>
      <c r="J503" s="3" t="str">
        <f t="shared" si="26"/>
        <v>Foggy</v>
      </c>
      <c r="K503" s="3">
        <v>0.04</v>
      </c>
      <c r="L503" s="6">
        <v>0.56999999999999995</v>
      </c>
      <c r="M503" s="6">
        <v>7.5800000000000006E-2</v>
      </c>
      <c r="N503" s="6">
        <v>0.1045</v>
      </c>
      <c r="O503" s="6">
        <v>2</v>
      </c>
      <c r="P503" s="6">
        <v>31</v>
      </c>
      <c r="Q503" s="6">
        <v>33</v>
      </c>
      <c r="R503" s="8"/>
      <c r="S503" s="8"/>
      <c r="T503" s="8"/>
      <c r="V503">
        <v>1</v>
      </c>
      <c r="W503">
        <v>85</v>
      </c>
    </row>
    <row r="504" spans="1:23">
      <c r="A504" s="3">
        <v>503</v>
      </c>
      <c r="B504" s="4">
        <v>40566</v>
      </c>
      <c r="C504" s="3">
        <v>1</v>
      </c>
      <c r="D504" s="3">
        <v>0</v>
      </c>
      <c r="E504" s="3" t="str">
        <f t="shared" si="25"/>
        <v>January</v>
      </c>
      <c r="F504" s="3">
        <v>0</v>
      </c>
      <c r="G504" s="3" t="b">
        <v>0</v>
      </c>
      <c r="H504" s="3" t="str">
        <f t="shared" si="27"/>
        <v>Sunday</v>
      </c>
      <c r="I504" s="3">
        <v>0</v>
      </c>
      <c r="J504" s="3" t="str">
        <f t="shared" si="26"/>
        <v>Foggy</v>
      </c>
      <c r="K504" s="3">
        <v>0.04</v>
      </c>
      <c r="L504" s="6">
        <v>0.56999999999999995</v>
      </c>
      <c r="M504" s="6">
        <v>7.5800000000000006E-2</v>
      </c>
      <c r="N504" s="6">
        <v>0.1045</v>
      </c>
      <c r="O504" s="6">
        <v>2</v>
      </c>
      <c r="P504" s="6">
        <v>20</v>
      </c>
      <c r="Q504" s="6">
        <v>22</v>
      </c>
      <c r="R504" s="8"/>
      <c r="S504" s="8"/>
      <c r="T504" s="8"/>
      <c r="V504">
        <v>3</v>
      </c>
      <c r="W504">
        <v>83</v>
      </c>
    </row>
    <row r="505" spans="1:23">
      <c r="A505" s="3">
        <v>504</v>
      </c>
      <c r="B505" s="4">
        <v>40566</v>
      </c>
      <c r="C505" s="3">
        <v>1</v>
      </c>
      <c r="D505" s="3">
        <v>0</v>
      </c>
      <c r="E505" s="3" t="str">
        <f t="shared" si="25"/>
        <v>January</v>
      </c>
      <c r="F505" s="3">
        <v>1</v>
      </c>
      <c r="G505" s="3" t="b">
        <v>0</v>
      </c>
      <c r="H505" s="3" t="str">
        <f t="shared" si="27"/>
        <v>Sunday</v>
      </c>
      <c r="I505" s="3">
        <v>0</v>
      </c>
      <c r="J505" s="3" t="str">
        <f t="shared" si="26"/>
        <v>Foggy</v>
      </c>
      <c r="K505" s="3">
        <v>0.04</v>
      </c>
      <c r="L505" s="6">
        <v>0.56999999999999995</v>
      </c>
      <c r="M505" s="6">
        <v>7.5800000000000006E-2</v>
      </c>
      <c r="N505" s="6">
        <v>0.1045</v>
      </c>
      <c r="O505" s="6">
        <v>1</v>
      </c>
      <c r="P505" s="6">
        <v>12</v>
      </c>
      <c r="Q505" s="6">
        <v>13</v>
      </c>
      <c r="R505" s="8"/>
      <c r="S505" s="8"/>
      <c r="T505" s="8"/>
      <c r="V505">
        <v>8</v>
      </c>
      <c r="W505">
        <v>78</v>
      </c>
    </row>
    <row r="506" spans="1:23">
      <c r="A506" s="3">
        <v>505</v>
      </c>
      <c r="B506" s="4">
        <v>40566</v>
      </c>
      <c r="C506" s="3">
        <v>1</v>
      </c>
      <c r="D506" s="3">
        <v>0</v>
      </c>
      <c r="E506" s="3" t="str">
        <f t="shared" si="25"/>
        <v>January</v>
      </c>
      <c r="F506" s="3">
        <v>2</v>
      </c>
      <c r="G506" s="3" t="b">
        <v>0</v>
      </c>
      <c r="H506" s="3" t="str">
        <f t="shared" si="27"/>
        <v>Sunday</v>
      </c>
      <c r="I506" s="3">
        <v>0</v>
      </c>
      <c r="J506" s="3" t="str">
        <f t="shared" si="26"/>
        <v>Foggy</v>
      </c>
      <c r="K506" s="3">
        <v>0.02</v>
      </c>
      <c r="L506" s="6">
        <v>0.62</v>
      </c>
      <c r="M506" s="6">
        <v>6.0600000000000001E-2</v>
      </c>
      <c r="N506" s="6">
        <v>0.1343</v>
      </c>
      <c r="O506" s="6">
        <v>3</v>
      </c>
      <c r="P506" s="6">
        <v>15</v>
      </c>
      <c r="Q506" s="6">
        <v>18</v>
      </c>
      <c r="R506" s="8"/>
      <c r="S506" s="8"/>
      <c r="T506" s="8"/>
      <c r="V506">
        <v>12</v>
      </c>
      <c r="W506">
        <v>148</v>
      </c>
    </row>
    <row r="507" spans="1:23">
      <c r="A507" s="3">
        <v>506</v>
      </c>
      <c r="B507" s="4">
        <v>40566</v>
      </c>
      <c r="C507" s="3">
        <v>1</v>
      </c>
      <c r="D507" s="3">
        <v>0</v>
      </c>
      <c r="E507" s="3" t="str">
        <f t="shared" si="25"/>
        <v>January</v>
      </c>
      <c r="F507" s="3">
        <v>3</v>
      </c>
      <c r="G507" s="3" t="b">
        <v>0</v>
      </c>
      <c r="H507" s="3" t="str">
        <f t="shared" si="27"/>
        <v>Sunday</v>
      </c>
      <c r="I507" s="3">
        <v>0</v>
      </c>
      <c r="J507" s="3" t="str">
        <f t="shared" si="26"/>
        <v>Foggy</v>
      </c>
      <c r="K507" s="3">
        <v>0.02</v>
      </c>
      <c r="L507" s="6">
        <v>0.62</v>
      </c>
      <c r="M507" s="6">
        <v>6.0600000000000001E-2</v>
      </c>
      <c r="N507" s="6">
        <v>0.1343</v>
      </c>
      <c r="O507" s="6">
        <v>1</v>
      </c>
      <c r="P507" s="6">
        <v>4</v>
      </c>
      <c r="Q507" s="6">
        <v>5</v>
      </c>
      <c r="R507" s="8"/>
      <c r="S507" s="8"/>
      <c r="T507" s="8"/>
      <c r="U507">
        <v>87</v>
      </c>
      <c r="W507">
        <v>330</v>
      </c>
    </row>
    <row r="508" spans="1:23">
      <c r="A508" s="3">
        <v>507</v>
      </c>
      <c r="B508" s="4">
        <v>40566</v>
      </c>
      <c r="C508" s="3">
        <v>1</v>
      </c>
      <c r="D508" s="3">
        <v>0</v>
      </c>
      <c r="E508" s="3" t="str">
        <f t="shared" si="25"/>
        <v>January</v>
      </c>
      <c r="F508" s="3">
        <v>5</v>
      </c>
      <c r="G508" s="3" t="b">
        <v>0</v>
      </c>
      <c r="H508" s="3" t="str">
        <f t="shared" si="27"/>
        <v>Sunday</v>
      </c>
      <c r="I508" s="3">
        <v>0</v>
      </c>
      <c r="J508" s="3" t="str">
        <f t="shared" si="26"/>
        <v>Foggy</v>
      </c>
      <c r="K508" s="3">
        <v>0.04</v>
      </c>
      <c r="L508" s="6">
        <v>0.56999999999999995</v>
      </c>
      <c r="M508" s="6">
        <v>7.5800000000000006E-2</v>
      </c>
      <c r="N508" s="6">
        <v>0.1045</v>
      </c>
      <c r="O508" s="6">
        <v>0</v>
      </c>
      <c r="P508" s="6">
        <v>3</v>
      </c>
      <c r="Q508" s="6">
        <v>3</v>
      </c>
      <c r="R508" s="8"/>
      <c r="S508" s="8"/>
      <c r="T508" s="8"/>
      <c r="V508">
        <v>0</v>
      </c>
      <c r="W508">
        <v>87</v>
      </c>
    </row>
    <row r="509" spans="1:23">
      <c r="A509" s="3">
        <v>508</v>
      </c>
      <c r="B509" s="4">
        <v>40566</v>
      </c>
      <c r="C509" s="3">
        <v>1</v>
      </c>
      <c r="D509" s="3">
        <v>0</v>
      </c>
      <c r="E509" s="3" t="str">
        <f t="shared" si="25"/>
        <v>January</v>
      </c>
      <c r="F509" s="3">
        <v>6</v>
      </c>
      <c r="G509" s="3" t="b">
        <v>0</v>
      </c>
      <c r="H509" s="3" t="str">
        <f t="shared" si="27"/>
        <v>Sunday</v>
      </c>
      <c r="I509" s="3">
        <v>0</v>
      </c>
      <c r="J509" s="3" t="str">
        <f t="shared" si="26"/>
        <v>Foggy</v>
      </c>
      <c r="K509" s="3">
        <v>0.04</v>
      </c>
      <c r="L509" s="6">
        <v>0.56999999999999995</v>
      </c>
      <c r="M509" s="6">
        <v>7.5800000000000006E-2</v>
      </c>
      <c r="N509" s="6">
        <v>0.1045</v>
      </c>
      <c r="O509" s="6">
        <v>0</v>
      </c>
      <c r="P509" s="6">
        <v>1</v>
      </c>
      <c r="Q509" s="6">
        <v>1</v>
      </c>
      <c r="R509" s="8"/>
      <c r="S509" s="8"/>
      <c r="T509" s="8"/>
      <c r="V509">
        <v>1</v>
      </c>
      <c r="W509">
        <v>86</v>
      </c>
    </row>
    <row r="510" spans="1:23">
      <c r="A510" s="3">
        <v>509</v>
      </c>
      <c r="B510" s="4">
        <v>40566</v>
      </c>
      <c r="C510" s="3">
        <v>1</v>
      </c>
      <c r="D510" s="3">
        <v>0</v>
      </c>
      <c r="E510" s="3" t="str">
        <f t="shared" si="25"/>
        <v>January</v>
      </c>
      <c r="F510" s="3">
        <v>7</v>
      </c>
      <c r="G510" s="3" t="b">
        <v>0</v>
      </c>
      <c r="H510" s="3" t="str">
        <f t="shared" si="27"/>
        <v>Sunday</v>
      </c>
      <c r="I510" s="3">
        <v>0</v>
      </c>
      <c r="J510" s="3" t="str">
        <f t="shared" si="26"/>
        <v>Foggy</v>
      </c>
      <c r="K510" s="3">
        <v>0.08</v>
      </c>
      <c r="L510" s="6">
        <v>0.57999999999999996</v>
      </c>
      <c r="M510" s="6">
        <v>0.1061</v>
      </c>
      <c r="N510" s="6">
        <v>0.16420000000000001</v>
      </c>
      <c r="O510" s="6">
        <v>1</v>
      </c>
      <c r="P510" s="6">
        <v>1</v>
      </c>
      <c r="Q510" s="6">
        <v>2</v>
      </c>
      <c r="R510" s="8"/>
      <c r="S510" s="8"/>
      <c r="T510" s="8"/>
      <c r="V510">
        <v>5</v>
      </c>
      <c r="W510">
        <v>82</v>
      </c>
    </row>
    <row r="511" spans="1:23">
      <c r="A511" s="3">
        <v>510</v>
      </c>
      <c r="B511" s="4">
        <v>40566</v>
      </c>
      <c r="C511" s="3">
        <v>1</v>
      </c>
      <c r="D511" s="3">
        <v>0</v>
      </c>
      <c r="E511" s="3" t="str">
        <f t="shared" si="25"/>
        <v>January</v>
      </c>
      <c r="F511" s="3">
        <v>8</v>
      </c>
      <c r="G511" s="3" t="b">
        <v>0</v>
      </c>
      <c r="H511" s="3" t="str">
        <f t="shared" si="27"/>
        <v>Sunday</v>
      </c>
      <c r="I511" s="3">
        <v>0</v>
      </c>
      <c r="J511" s="3" t="str">
        <f t="shared" si="26"/>
        <v>Foggy</v>
      </c>
      <c r="K511" s="3">
        <v>0.06</v>
      </c>
      <c r="L511" s="6">
        <v>0.62</v>
      </c>
      <c r="M511" s="6">
        <v>7.5800000000000006E-2</v>
      </c>
      <c r="N511" s="6">
        <v>0.16420000000000001</v>
      </c>
      <c r="O511" s="6">
        <v>2</v>
      </c>
      <c r="P511" s="6">
        <v>17</v>
      </c>
      <c r="Q511" s="6">
        <v>19</v>
      </c>
      <c r="R511" s="8"/>
      <c r="S511" s="8"/>
      <c r="T511" s="8"/>
      <c r="V511">
        <v>12</v>
      </c>
      <c r="W511">
        <v>75</v>
      </c>
    </row>
    <row r="512" spans="1:23">
      <c r="A512" s="3">
        <v>511</v>
      </c>
      <c r="B512" s="4">
        <v>40566</v>
      </c>
      <c r="C512" s="3">
        <v>1</v>
      </c>
      <c r="D512" s="3">
        <v>0</v>
      </c>
      <c r="E512" s="3" t="str">
        <f t="shared" si="25"/>
        <v>January</v>
      </c>
      <c r="F512" s="3">
        <v>9</v>
      </c>
      <c r="G512" s="3" t="b">
        <v>0</v>
      </c>
      <c r="H512" s="3" t="str">
        <f t="shared" si="27"/>
        <v>Sunday</v>
      </c>
      <c r="I512" s="3">
        <v>0</v>
      </c>
      <c r="J512" s="3" t="str">
        <f t="shared" si="26"/>
        <v>Foggy</v>
      </c>
      <c r="K512" s="3">
        <v>0.1</v>
      </c>
      <c r="L512" s="6">
        <v>0.54</v>
      </c>
      <c r="M512" s="6">
        <v>7.5800000000000006E-2</v>
      </c>
      <c r="N512" s="6">
        <v>0.35820000000000002</v>
      </c>
      <c r="O512" s="6">
        <v>3</v>
      </c>
      <c r="P512" s="6">
        <v>25</v>
      </c>
      <c r="Q512" s="6">
        <v>28</v>
      </c>
      <c r="R512" s="8"/>
      <c r="S512" s="8"/>
      <c r="T512" s="8"/>
      <c r="U512">
        <v>88</v>
      </c>
      <c r="W512">
        <v>337</v>
      </c>
    </row>
    <row r="513" spans="1:23">
      <c r="A513" s="3">
        <v>512</v>
      </c>
      <c r="B513" s="4">
        <v>40566</v>
      </c>
      <c r="C513" s="3">
        <v>1</v>
      </c>
      <c r="D513" s="3">
        <v>0</v>
      </c>
      <c r="E513" s="3" t="str">
        <f t="shared" si="25"/>
        <v>January</v>
      </c>
      <c r="F513" s="3">
        <v>10</v>
      </c>
      <c r="G513" s="3" t="b">
        <v>0</v>
      </c>
      <c r="H513" s="3" t="str">
        <f t="shared" si="27"/>
        <v>Sunday</v>
      </c>
      <c r="I513" s="3">
        <v>0</v>
      </c>
      <c r="J513" s="3" t="str">
        <f t="shared" si="26"/>
        <v>Foggy</v>
      </c>
      <c r="K513" s="3">
        <v>0.14000000000000001</v>
      </c>
      <c r="L513" s="6">
        <v>0.46</v>
      </c>
      <c r="M513" s="6">
        <v>0.1061</v>
      </c>
      <c r="N513" s="6">
        <v>0.3881</v>
      </c>
      <c r="O513" s="6">
        <v>7</v>
      </c>
      <c r="P513" s="6">
        <v>51</v>
      </c>
      <c r="Q513" s="6">
        <v>58</v>
      </c>
      <c r="R513" s="8"/>
      <c r="S513" s="8"/>
      <c r="T513" s="8"/>
      <c r="V513">
        <v>1</v>
      </c>
      <c r="W513">
        <v>174</v>
      </c>
    </row>
    <row r="514" spans="1:23">
      <c r="A514" s="3">
        <v>513</v>
      </c>
      <c r="B514" s="4">
        <v>40566</v>
      </c>
      <c r="C514" s="3">
        <v>1</v>
      </c>
      <c r="D514" s="3">
        <v>0</v>
      </c>
      <c r="E514" s="3" t="str">
        <f t="shared" si="25"/>
        <v>January</v>
      </c>
      <c r="F514" s="3">
        <v>11</v>
      </c>
      <c r="G514" s="3" t="b">
        <v>0</v>
      </c>
      <c r="H514" s="3" t="str">
        <f t="shared" si="27"/>
        <v>Sunday</v>
      </c>
      <c r="I514" s="3">
        <v>0</v>
      </c>
      <c r="J514" s="3" t="str">
        <f t="shared" si="26"/>
        <v>Foggy</v>
      </c>
      <c r="K514" s="3">
        <v>0.14000000000000001</v>
      </c>
      <c r="L514" s="6">
        <v>0.43</v>
      </c>
      <c r="M514" s="6">
        <v>0.13639999999999999</v>
      </c>
      <c r="N514" s="6">
        <v>0.22389999999999999</v>
      </c>
      <c r="O514" s="6">
        <v>22</v>
      </c>
      <c r="P514" s="6">
        <v>77</v>
      </c>
      <c r="Q514" s="6">
        <v>99</v>
      </c>
      <c r="R514" s="8"/>
      <c r="S514" s="8"/>
      <c r="T514" s="8"/>
      <c r="V514">
        <v>6</v>
      </c>
      <c r="W514">
        <v>82</v>
      </c>
    </row>
    <row r="515" spans="1:23">
      <c r="A515" s="3">
        <v>514</v>
      </c>
      <c r="B515" s="4">
        <v>40566</v>
      </c>
      <c r="C515" s="3">
        <v>1</v>
      </c>
      <c r="D515" s="3">
        <v>0</v>
      </c>
      <c r="E515" s="3" t="str">
        <f t="shared" ref="E515:E578" si="28">TEXT(B515,"MMMM")</f>
        <v>January</v>
      </c>
      <c r="F515" s="3">
        <v>12</v>
      </c>
      <c r="G515" s="3" t="b">
        <v>0</v>
      </c>
      <c r="H515" s="3" t="str">
        <f t="shared" si="27"/>
        <v>Sunday</v>
      </c>
      <c r="I515" s="3">
        <v>0</v>
      </c>
      <c r="J515" s="3" t="str">
        <f t="shared" si="26"/>
        <v>Foggy</v>
      </c>
      <c r="K515" s="3">
        <v>0.16</v>
      </c>
      <c r="L515" s="6">
        <v>0.37</v>
      </c>
      <c r="M515" s="6">
        <v>0.1212</v>
      </c>
      <c r="N515" s="6">
        <v>0.4627</v>
      </c>
      <c r="O515" s="6">
        <v>24</v>
      </c>
      <c r="P515" s="6">
        <v>92</v>
      </c>
      <c r="Q515" s="6">
        <v>116</v>
      </c>
      <c r="R515" s="8"/>
      <c r="S515" s="8"/>
      <c r="T515" s="8"/>
      <c r="V515">
        <v>7</v>
      </c>
      <c r="W515">
        <v>81</v>
      </c>
    </row>
    <row r="516" spans="1:23">
      <c r="A516" s="3">
        <v>515</v>
      </c>
      <c r="B516" s="4">
        <v>40566</v>
      </c>
      <c r="C516" s="3">
        <v>1</v>
      </c>
      <c r="D516" s="3">
        <v>0</v>
      </c>
      <c r="E516" s="3" t="str">
        <f t="shared" si="28"/>
        <v>January</v>
      </c>
      <c r="F516" s="3">
        <v>13</v>
      </c>
      <c r="G516" s="3" t="b">
        <v>0</v>
      </c>
      <c r="H516" s="3" t="str">
        <f t="shared" si="27"/>
        <v>Sunday</v>
      </c>
      <c r="I516" s="3">
        <v>0</v>
      </c>
      <c r="J516" s="3" t="str">
        <f t="shared" si="26"/>
        <v>Foggy</v>
      </c>
      <c r="K516" s="3">
        <v>0.14000000000000001</v>
      </c>
      <c r="L516" s="6">
        <v>0.33</v>
      </c>
      <c r="M516" s="6">
        <v>0.1061</v>
      </c>
      <c r="N516" s="6">
        <v>0.3881</v>
      </c>
      <c r="O516" s="6">
        <v>12</v>
      </c>
      <c r="P516" s="6">
        <v>75</v>
      </c>
      <c r="Q516" s="6">
        <v>87</v>
      </c>
      <c r="R516" s="8"/>
      <c r="S516" s="8"/>
      <c r="T516" s="8"/>
      <c r="U516">
        <v>89</v>
      </c>
      <c r="W516">
        <v>399</v>
      </c>
    </row>
    <row r="517" spans="1:23">
      <c r="A517" s="3">
        <v>516</v>
      </c>
      <c r="B517" s="4">
        <v>40566</v>
      </c>
      <c r="C517" s="3">
        <v>1</v>
      </c>
      <c r="D517" s="3">
        <v>0</v>
      </c>
      <c r="E517" s="3" t="str">
        <f t="shared" si="28"/>
        <v>January</v>
      </c>
      <c r="F517" s="3">
        <v>14</v>
      </c>
      <c r="G517" s="3" t="b">
        <v>0</v>
      </c>
      <c r="H517" s="3" t="str">
        <f t="shared" si="27"/>
        <v>Sunday</v>
      </c>
      <c r="I517" s="3">
        <v>0</v>
      </c>
      <c r="J517" s="3" t="str">
        <f t="shared" si="26"/>
        <v>Foggy</v>
      </c>
      <c r="K517" s="3">
        <v>0.16</v>
      </c>
      <c r="L517" s="6">
        <v>0.28000000000000003</v>
      </c>
      <c r="M517" s="6">
        <v>0.13639999999999999</v>
      </c>
      <c r="N517" s="6">
        <v>0.35820000000000002</v>
      </c>
      <c r="O517" s="6">
        <v>17</v>
      </c>
      <c r="P517" s="6">
        <v>93</v>
      </c>
      <c r="Q517" s="6">
        <v>110</v>
      </c>
      <c r="R517" s="8"/>
      <c r="S517" s="8"/>
      <c r="T517" s="8"/>
      <c r="V517">
        <v>4</v>
      </c>
      <c r="W517">
        <v>85</v>
      </c>
    </row>
    <row r="518" spans="1:23">
      <c r="A518" s="3">
        <v>517</v>
      </c>
      <c r="B518" s="4">
        <v>40566</v>
      </c>
      <c r="C518" s="3">
        <v>1</v>
      </c>
      <c r="D518" s="3">
        <v>0</v>
      </c>
      <c r="E518" s="3" t="str">
        <f t="shared" si="28"/>
        <v>January</v>
      </c>
      <c r="F518" s="3">
        <v>15</v>
      </c>
      <c r="G518" s="3" t="b">
        <v>0</v>
      </c>
      <c r="H518" s="3" t="str">
        <f t="shared" si="27"/>
        <v>Sunday</v>
      </c>
      <c r="I518" s="3">
        <v>0</v>
      </c>
      <c r="J518" s="3" t="str">
        <f t="shared" si="26"/>
        <v>Foggy</v>
      </c>
      <c r="K518" s="3">
        <v>0.16</v>
      </c>
      <c r="L518" s="6">
        <v>0.28000000000000003</v>
      </c>
      <c r="M518" s="6">
        <v>0.13639999999999999</v>
      </c>
      <c r="N518" s="6">
        <v>0.35820000000000002</v>
      </c>
      <c r="O518" s="6">
        <v>13</v>
      </c>
      <c r="P518" s="6">
        <v>64</v>
      </c>
      <c r="Q518" s="6">
        <v>77</v>
      </c>
      <c r="R518" s="8"/>
      <c r="S518" s="8"/>
      <c r="T518" s="8"/>
      <c r="V518">
        <v>5</v>
      </c>
      <c r="W518">
        <v>84</v>
      </c>
    </row>
    <row r="519" spans="1:23">
      <c r="A519" s="3">
        <v>518</v>
      </c>
      <c r="B519" s="4">
        <v>40566</v>
      </c>
      <c r="C519" s="3">
        <v>1</v>
      </c>
      <c r="D519" s="3">
        <v>0</v>
      </c>
      <c r="E519" s="3" t="str">
        <f t="shared" si="28"/>
        <v>January</v>
      </c>
      <c r="F519" s="3">
        <v>16</v>
      </c>
      <c r="G519" s="3" t="b">
        <v>0</v>
      </c>
      <c r="H519" s="3" t="str">
        <f t="shared" si="27"/>
        <v>Sunday</v>
      </c>
      <c r="I519" s="3">
        <v>0</v>
      </c>
      <c r="J519" s="3" t="str">
        <f t="shared" ref="J519:J582" si="29">IF($K519&lt;=0.24,"Foggy",IF($K519&gt;0.24,"Clear"))</f>
        <v>Foggy</v>
      </c>
      <c r="K519" s="3">
        <v>0.16</v>
      </c>
      <c r="L519" s="6">
        <v>0.26</v>
      </c>
      <c r="M519" s="6">
        <v>0.13639999999999999</v>
      </c>
      <c r="N519" s="6">
        <v>0.32840000000000003</v>
      </c>
      <c r="O519" s="6">
        <v>9</v>
      </c>
      <c r="P519" s="6">
        <v>56</v>
      </c>
      <c r="Q519" s="6">
        <v>65</v>
      </c>
      <c r="R519" s="8"/>
      <c r="S519" s="8"/>
      <c r="T519" s="8"/>
      <c r="V519">
        <v>7</v>
      </c>
      <c r="W519">
        <v>82</v>
      </c>
    </row>
    <row r="520" spans="1:23">
      <c r="A520" s="3">
        <v>519</v>
      </c>
      <c r="B520" s="4">
        <v>40566</v>
      </c>
      <c r="C520" s="3">
        <v>1</v>
      </c>
      <c r="D520" s="3">
        <v>0</v>
      </c>
      <c r="E520" s="3" t="str">
        <f t="shared" si="28"/>
        <v>January</v>
      </c>
      <c r="F520" s="3">
        <v>17</v>
      </c>
      <c r="G520" s="3" t="b">
        <v>0</v>
      </c>
      <c r="H520" s="3" t="str">
        <f t="shared" si="27"/>
        <v>Sunday</v>
      </c>
      <c r="I520" s="3">
        <v>0</v>
      </c>
      <c r="J520" s="3" t="str">
        <f t="shared" si="29"/>
        <v>Foggy</v>
      </c>
      <c r="K520" s="3">
        <v>0.14000000000000001</v>
      </c>
      <c r="L520" s="6">
        <v>0.26</v>
      </c>
      <c r="M520" s="6">
        <v>0.1061</v>
      </c>
      <c r="N520" s="6">
        <v>0.3881</v>
      </c>
      <c r="O520" s="6">
        <v>5</v>
      </c>
      <c r="P520" s="6">
        <v>50</v>
      </c>
      <c r="Q520" s="6">
        <v>55</v>
      </c>
      <c r="R520" s="8"/>
      <c r="S520" s="8"/>
      <c r="T520" s="8"/>
      <c r="V520">
        <v>15</v>
      </c>
      <c r="W520">
        <v>148</v>
      </c>
    </row>
    <row r="521" spans="1:23">
      <c r="A521" s="3">
        <v>520</v>
      </c>
      <c r="B521" s="4">
        <v>40566</v>
      </c>
      <c r="C521" s="3">
        <v>1</v>
      </c>
      <c r="D521" s="3">
        <v>0</v>
      </c>
      <c r="E521" s="3" t="str">
        <f t="shared" si="28"/>
        <v>January</v>
      </c>
      <c r="F521" s="3">
        <v>18</v>
      </c>
      <c r="G521" s="3" t="b">
        <v>0</v>
      </c>
      <c r="H521" s="3" t="str">
        <f t="shared" ref="H521:H584" si="30">TEXT(B521,"dddd")</f>
        <v>Sunday</v>
      </c>
      <c r="I521" s="3">
        <v>0</v>
      </c>
      <c r="J521" s="3" t="str">
        <f t="shared" si="29"/>
        <v>Foggy</v>
      </c>
      <c r="K521" s="3">
        <v>0.12</v>
      </c>
      <c r="L521" s="6">
        <v>0.3</v>
      </c>
      <c r="M521" s="6">
        <v>0.1212</v>
      </c>
      <c r="N521" s="6">
        <v>0.25369999999999998</v>
      </c>
      <c r="O521" s="6">
        <v>5</v>
      </c>
      <c r="P521" s="6">
        <v>44</v>
      </c>
      <c r="Q521" s="6">
        <v>49</v>
      </c>
      <c r="R521" s="8"/>
      <c r="S521" s="8"/>
      <c r="T521" s="8"/>
      <c r="U521">
        <v>90</v>
      </c>
      <c r="W521">
        <v>257</v>
      </c>
    </row>
    <row r="522" spans="1:23">
      <c r="A522" s="3">
        <v>521</v>
      </c>
      <c r="B522" s="4">
        <v>40566</v>
      </c>
      <c r="C522" s="3">
        <v>1</v>
      </c>
      <c r="D522" s="3">
        <v>0</v>
      </c>
      <c r="E522" s="3" t="str">
        <f t="shared" si="28"/>
        <v>January</v>
      </c>
      <c r="F522" s="3">
        <v>19</v>
      </c>
      <c r="G522" s="3" t="b">
        <v>0</v>
      </c>
      <c r="H522" s="3" t="str">
        <f t="shared" si="30"/>
        <v>Sunday</v>
      </c>
      <c r="I522" s="3">
        <v>0</v>
      </c>
      <c r="J522" s="3" t="str">
        <f t="shared" si="29"/>
        <v>Foggy</v>
      </c>
      <c r="K522" s="3">
        <v>0.12</v>
      </c>
      <c r="L522" s="6">
        <v>0.3</v>
      </c>
      <c r="M522" s="6">
        <v>0.1212</v>
      </c>
      <c r="N522" s="6">
        <v>0.28360000000000002</v>
      </c>
      <c r="O522" s="6">
        <v>5</v>
      </c>
      <c r="P522" s="6">
        <v>45</v>
      </c>
      <c r="Q522" s="6">
        <v>50</v>
      </c>
      <c r="R522" s="8"/>
      <c r="S522" s="8"/>
      <c r="T522" s="8"/>
      <c r="V522">
        <v>1</v>
      </c>
      <c r="W522">
        <v>89</v>
      </c>
    </row>
    <row r="523" spans="1:23">
      <c r="A523" s="3">
        <v>522</v>
      </c>
      <c r="B523" s="4">
        <v>40566</v>
      </c>
      <c r="C523" s="3">
        <v>1</v>
      </c>
      <c r="D523" s="3">
        <v>0</v>
      </c>
      <c r="E523" s="3" t="str">
        <f t="shared" si="28"/>
        <v>January</v>
      </c>
      <c r="F523" s="3">
        <v>20</v>
      </c>
      <c r="G523" s="3" t="b">
        <v>0</v>
      </c>
      <c r="H523" s="3" t="str">
        <f t="shared" si="30"/>
        <v>Sunday</v>
      </c>
      <c r="I523" s="3">
        <v>0</v>
      </c>
      <c r="J523" s="3" t="str">
        <f t="shared" si="29"/>
        <v>Foggy</v>
      </c>
      <c r="K523" s="3">
        <v>0.1</v>
      </c>
      <c r="L523" s="6">
        <v>0.36</v>
      </c>
      <c r="M523" s="6">
        <v>0.1061</v>
      </c>
      <c r="N523" s="6">
        <v>0.25369999999999998</v>
      </c>
      <c r="O523" s="6">
        <v>4</v>
      </c>
      <c r="P523" s="6">
        <v>31</v>
      </c>
      <c r="Q523" s="6">
        <v>35</v>
      </c>
      <c r="R523" s="8"/>
      <c r="S523" s="8"/>
      <c r="T523" s="8"/>
      <c r="V523">
        <v>3</v>
      </c>
      <c r="W523">
        <v>87</v>
      </c>
    </row>
    <row r="524" spans="1:23">
      <c r="A524" s="3">
        <v>523</v>
      </c>
      <c r="B524" s="4">
        <v>40566</v>
      </c>
      <c r="C524" s="3">
        <v>1</v>
      </c>
      <c r="D524" s="3">
        <v>0</v>
      </c>
      <c r="E524" s="3" t="str">
        <f t="shared" si="28"/>
        <v>January</v>
      </c>
      <c r="F524" s="3">
        <v>21</v>
      </c>
      <c r="G524" s="3" t="b">
        <v>0</v>
      </c>
      <c r="H524" s="3" t="str">
        <f t="shared" si="30"/>
        <v>Sunday</v>
      </c>
      <c r="I524" s="3">
        <v>0</v>
      </c>
      <c r="J524" s="3" t="str">
        <f t="shared" si="29"/>
        <v>Foggy</v>
      </c>
      <c r="K524" s="3">
        <v>0.1</v>
      </c>
      <c r="L524" s="6">
        <v>0.36</v>
      </c>
      <c r="M524" s="6">
        <v>0.1061</v>
      </c>
      <c r="N524" s="6">
        <v>0.19400000000000001</v>
      </c>
      <c r="O524" s="6">
        <v>5</v>
      </c>
      <c r="P524" s="6">
        <v>20</v>
      </c>
      <c r="Q524" s="6">
        <v>25</v>
      </c>
      <c r="R524" s="8"/>
      <c r="S524" s="8"/>
      <c r="T524" s="8"/>
      <c r="V524">
        <v>9</v>
      </c>
      <c r="W524">
        <v>81</v>
      </c>
    </row>
    <row r="525" spans="1:23">
      <c r="A525" s="3">
        <v>524</v>
      </c>
      <c r="B525" s="4">
        <v>40566</v>
      </c>
      <c r="C525" s="3">
        <v>1</v>
      </c>
      <c r="D525" s="3">
        <v>0</v>
      </c>
      <c r="E525" s="3" t="str">
        <f t="shared" si="28"/>
        <v>January</v>
      </c>
      <c r="F525" s="3">
        <v>22</v>
      </c>
      <c r="G525" s="3" t="b">
        <v>0</v>
      </c>
      <c r="H525" s="3" t="str">
        <f t="shared" si="30"/>
        <v>Sunday</v>
      </c>
      <c r="I525" s="3">
        <v>0</v>
      </c>
      <c r="J525" s="3" t="str">
        <f t="shared" si="29"/>
        <v>Foggy</v>
      </c>
      <c r="K525" s="3">
        <v>0.08</v>
      </c>
      <c r="L525" s="6">
        <v>0.38</v>
      </c>
      <c r="M525" s="6">
        <v>9.0899999999999995E-2</v>
      </c>
      <c r="N525" s="6">
        <v>0.19400000000000001</v>
      </c>
      <c r="O525" s="6">
        <v>5</v>
      </c>
      <c r="P525" s="6">
        <v>23</v>
      </c>
      <c r="Q525" s="6">
        <v>28</v>
      </c>
      <c r="R525" s="8"/>
      <c r="S525" s="8"/>
      <c r="T525" s="8"/>
      <c r="U525">
        <v>91</v>
      </c>
      <c r="W525">
        <v>398</v>
      </c>
    </row>
    <row r="526" spans="1:23">
      <c r="A526" s="3">
        <v>525</v>
      </c>
      <c r="B526" s="4">
        <v>40566</v>
      </c>
      <c r="C526" s="3">
        <v>1</v>
      </c>
      <c r="D526" s="3">
        <v>0</v>
      </c>
      <c r="E526" s="3" t="str">
        <f t="shared" si="28"/>
        <v>January</v>
      </c>
      <c r="F526" s="3">
        <v>23</v>
      </c>
      <c r="G526" s="3" t="b">
        <v>0</v>
      </c>
      <c r="H526" s="3" t="str">
        <f t="shared" si="30"/>
        <v>Sunday</v>
      </c>
      <c r="I526" s="3">
        <v>0</v>
      </c>
      <c r="J526" s="3" t="str">
        <f t="shared" si="29"/>
        <v>Foggy</v>
      </c>
      <c r="K526" s="3">
        <v>0.06</v>
      </c>
      <c r="L526" s="6">
        <v>0.41</v>
      </c>
      <c r="M526" s="6">
        <v>6.0600000000000001E-2</v>
      </c>
      <c r="N526" s="6">
        <v>0.22389999999999999</v>
      </c>
      <c r="O526" s="6">
        <v>4</v>
      </c>
      <c r="P526" s="6">
        <v>17</v>
      </c>
      <c r="Q526" s="6">
        <v>21</v>
      </c>
      <c r="R526" s="8"/>
      <c r="S526" s="8"/>
      <c r="T526" s="8"/>
      <c r="V526">
        <v>3</v>
      </c>
      <c r="W526">
        <v>88</v>
      </c>
    </row>
    <row r="527" spans="1:23">
      <c r="A527" s="3">
        <v>526</v>
      </c>
      <c r="B527" s="4">
        <v>40567</v>
      </c>
      <c r="C527" s="3">
        <v>1</v>
      </c>
      <c r="D527" s="3">
        <v>0</v>
      </c>
      <c r="E527" s="3" t="str">
        <f t="shared" si="28"/>
        <v>January</v>
      </c>
      <c r="F527" s="3">
        <v>0</v>
      </c>
      <c r="G527" s="3" t="b">
        <v>0</v>
      </c>
      <c r="H527" s="3" t="str">
        <f t="shared" si="30"/>
        <v>Monday</v>
      </c>
      <c r="I527" s="3">
        <v>1</v>
      </c>
      <c r="J527" s="3" t="str">
        <f t="shared" si="29"/>
        <v>Foggy</v>
      </c>
      <c r="K527" s="3">
        <v>0.06</v>
      </c>
      <c r="L527" s="6">
        <v>0.41</v>
      </c>
      <c r="M527" s="6">
        <v>6.0600000000000001E-2</v>
      </c>
      <c r="N527" s="6">
        <v>0.19400000000000001</v>
      </c>
      <c r="O527" s="6">
        <v>0</v>
      </c>
      <c r="P527" s="6">
        <v>7</v>
      </c>
      <c r="Q527" s="6">
        <v>7</v>
      </c>
      <c r="R527" s="8"/>
      <c r="S527" s="8"/>
      <c r="T527" s="8"/>
      <c r="V527">
        <v>8</v>
      </c>
      <c r="W527">
        <v>83</v>
      </c>
    </row>
    <row r="528" spans="1:23">
      <c r="A528" s="3">
        <v>527</v>
      </c>
      <c r="B528" s="4">
        <v>40567</v>
      </c>
      <c r="C528" s="3">
        <v>1</v>
      </c>
      <c r="D528" s="3">
        <v>0</v>
      </c>
      <c r="E528" s="3" t="str">
        <f t="shared" si="28"/>
        <v>January</v>
      </c>
      <c r="F528" s="3">
        <v>1</v>
      </c>
      <c r="G528" s="3" t="b">
        <v>0</v>
      </c>
      <c r="H528" s="3" t="str">
        <f t="shared" si="30"/>
        <v>Monday</v>
      </c>
      <c r="I528" s="3">
        <v>1</v>
      </c>
      <c r="J528" s="3" t="str">
        <f t="shared" si="29"/>
        <v>Foggy</v>
      </c>
      <c r="K528" s="3">
        <v>0.04</v>
      </c>
      <c r="L528" s="6">
        <v>0.45</v>
      </c>
      <c r="M528" s="6">
        <v>4.5499999999999999E-2</v>
      </c>
      <c r="N528" s="6">
        <v>0.19400000000000001</v>
      </c>
      <c r="O528" s="6">
        <v>0</v>
      </c>
      <c r="P528" s="6">
        <v>1</v>
      </c>
      <c r="Q528" s="6">
        <v>1</v>
      </c>
      <c r="R528" s="8"/>
      <c r="S528" s="8"/>
      <c r="T528" s="8"/>
      <c r="V528">
        <v>9</v>
      </c>
      <c r="W528">
        <v>82</v>
      </c>
    </row>
    <row r="529" spans="1:23">
      <c r="A529" s="3">
        <v>528</v>
      </c>
      <c r="B529" s="4">
        <v>40567</v>
      </c>
      <c r="C529" s="3">
        <v>1</v>
      </c>
      <c r="D529" s="3">
        <v>0</v>
      </c>
      <c r="E529" s="3" t="str">
        <f t="shared" si="28"/>
        <v>January</v>
      </c>
      <c r="F529" s="3">
        <v>3</v>
      </c>
      <c r="G529" s="3" t="b">
        <v>0</v>
      </c>
      <c r="H529" s="3" t="str">
        <f t="shared" si="30"/>
        <v>Monday</v>
      </c>
      <c r="I529" s="3">
        <v>1</v>
      </c>
      <c r="J529" s="3" t="str">
        <f t="shared" si="29"/>
        <v>Foggy</v>
      </c>
      <c r="K529" s="3">
        <v>0.04</v>
      </c>
      <c r="L529" s="6">
        <v>0.45</v>
      </c>
      <c r="M529" s="6">
        <v>3.0300000000000001E-2</v>
      </c>
      <c r="N529" s="6">
        <v>0.25369999999999998</v>
      </c>
      <c r="O529" s="6">
        <v>0</v>
      </c>
      <c r="P529" s="6">
        <v>1</v>
      </c>
      <c r="Q529" s="6">
        <v>1</v>
      </c>
      <c r="R529" s="8"/>
      <c r="S529" s="8"/>
      <c r="T529" s="8"/>
      <c r="V529">
        <v>15</v>
      </c>
      <c r="W529">
        <v>76</v>
      </c>
    </row>
    <row r="530" spans="1:23">
      <c r="A530" s="3">
        <v>529</v>
      </c>
      <c r="B530" s="4">
        <v>40567</v>
      </c>
      <c r="C530" s="3">
        <v>1</v>
      </c>
      <c r="D530" s="3">
        <v>0</v>
      </c>
      <c r="E530" s="3" t="str">
        <f t="shared" si="28"/>
        <v>January</v>
      </c>
      <c r="F530" s="3">
        <v>4</v>
      </c>
      <c r="G530" s="3" t="b">
        <v>0</v>
      </c>
      <c r="H530" s="3" t="str">
        <f t="shared" si="30"/>
        <v>Monday</v>
      </c>
      <c r="I530" s="3">
        <v>1</v>
      </c>
      <c r="J530" s="3" t="str">
        <f t="shared" si="29"/>
        <v>Foggy</v>
      </c>
      <c r="K530" s="3">
        <v>0.02</v>
      </c>
      <c r="L530" s="6">
        <v>0.48</v>
      </c>
      <c r="M530" s="6">
        <v>6.0600000000000001E-2</v>
      </c>
      <c r="N530" s="6">
        <v>0.1343</v>
      </c>
      <c r="O530" s="6">
        <v>0</v>
      </c>
      <c r="P530" s="6">
        <v>1</v>
      </c>
      <c r="Q530" s="6">
        <v>1</v>
      </c>
      <c r="R530" s="8"/>
      <c r="S530" s="8"/>
      <c r="T530" s="8"/>
      <c r="V530">
        <v>22</v>
      </c>
      <c r="W530">
        <v>69</v>
      </c>
    </row>
    <row r="531" spans="1:23">
      <c r="A531" s="3">
        <v>530</v>
      </c>
      <c r="B531" s="4">
        <v>40567</v>
      </c>
      <c r="C531" s="3">
        <v>1</v>
      </c>
      <c r="D531" s="3">
        <v>0</v>
      </c>
      <c r="E531" s="3" t="str">
        <f t="shared" si="28"/>
        <v>January</v>
      </c>
      <c r="F531" s="3">
        <v>5</v>
      </c>
      <c r="G531" s="3" t="b">
        <v>0</v>
      </c>
      <c r="H531" s="3" t="str">
        <f t="shared" si="30"/>
        <v>Monday</v>
      </c>
      <c r="I531" s="3">
        <v>1</v>
      </c>
      <c r="J531" s="3" t="str">
        <f t="shared" si="29"/>
        <v>Foggy</v>
      </c>
      <c r="K531" s="3">
        <v>0.02</v>
      </c>
      <c r="L531" s="6">
        <v>0.48</v>
      </c>
      <c r="M531" s="6">
        <v>6.0600000000000001E-2</v>
      </c>
      <c r="N531" s="6">
        <v>0.1343</v>
      </c>
      <c r="O531" s="6">
        <v>0</v>
      </c>
      <c r="P531" s="6">
        <v>5</v>
      </c>
      <c r="Q531" s="6">
        <v>5</v>
      </c>
      <c r="R531" s="8"/>
      <c r="S531" s="8"/>
      <c r="T531" s="8"/>
      <c r="U531">
        <v>92</v>
      </c>
      <c r="W531">
        <v>253</v>
      </c>
    </row>
    <row r="532" spans="1:23">
      <c r="A532" s="3">
        <v>531</v>
      </c>
      <c r="B532" s="4">
        <v>40567</v>
      </c>
      <c r="C532" s="3">
        <v>1</v>
      </c>
      <c r="D532" s="3">
        <v>0</v>
      </c>
      <c r="E532" s="3" t="str">
        <f t="shared" si="28"/>
        <v>January</v>
      </c>
      <c r="F532" s="3">
        <v>6</v>
      </c>
      <c r="G532" s="3" t="b">
        <v>0</v>
      </c>
      <c r="H532" s="3" t="str">
        <f t="shared" si="30"/>
        <v>Monday</v>
      </c>
      <c r="I532" s="3">
        <v>1</v>
      </c>
      <c r="J532" s="3" t="str">
        <f t="shared" si="29"/>
        <v>Foggy</v>
      </c>
      <c r="K532" s="3">
        <v>0.02</v>
      </c>
      <c r="L532" s="6">
        <v>0.48</v>
      </c>
      <c r="M532" s="6">
        <v>7.5800000000000006E-2</v>
      </c>
      <c r="N532" s="6">
        <v>8.9599999999999999E-2</v>
      </c>
      <c r="O532" s="6">
        <v>0</v>
      </c>
      <c r="P532" s="6">
        <v>15</v>
      </c>
      <c r="Q532" s="6">
        <v>15</v>
      </c>
      <c r="R532" s="8"/>
      <c r="S532" s="8"/>
      <c r="T532" s="8"/>
      <c r="V532">
        <v>3</v>
      </c>
      <c r="W532">
        <v>89</v>
      </c>
    </row>
    <row r="533" spans="1:23">
      <c r="A533" s="3">
        <v>532</v>
      </c>
      <c r="B533" s="4">
        <v>40567</v>
      </c>
      <c r="C533" s="3">
        <v>1</v>
      </c>
      <c r="D533" s="3">
        <v>0</v>
      </c>
      <c r="E533" s="3" t="str">
        <f t="shared" si="28"/>
        <v>January</v>
      </c>
      <c r="F533" s="3">
        <v>7</v>
      </c>
      <c r="G533" s="3" t="b">
        <v>0</v>
      </c>
      <c r="H533" s="3" t="str">
        <f t="shared" si="30"/>
        <v>Monday</v>
      </c>
      <c r="I533" s="3">
        <v>1</v>
      </c>
      <c r="J533" s="3" t="str">
        <f t="shared" si="29"/>
        <v>Foggy</v>
      </c>
      <c r="K533" s="3">
        <v>0.02</v>
      </c>
      <c r="L533" s="6">
        <v>0.48</v>
      </c>
      <c r="M533" s="6">
        <v>0.1212</v>
      </c>
      <c r="N533" s="6">
        <v>0</v>
      </c>
      <c r="O533" s="6">
        <v>5</v>
      </c>
      <c r="P533" s="6">
        <v>79</v>
      </c>
      <c r="Q533" s="6">
        <v>84</v>
      </c>
      <c r="R533" s="8"/>
      <c r="S533" s="8"/>
      <c r="T533" s="8"/>
      <c r="V533">
        <v>7</v>
      </c>
      <c r="W533">
        <v>85</v>
      </c>
    </row>
    <row r="534" spans="1:23">
      <c r="A534" s="3">
        <v>533</v>
      </c>
      <c r="B534" s="4">
        <v>40567</v>
      </c>
      <c r="C534" s="3">
        <v>1</v>
      </c>
      <c r="D534" s="3">
        <v>0</v>
      </c>
      <c r="E534" s="3" t="str">
        <f t="shared" si="28"/>
        <v>January</v>
      </c>
      <c r="F534" s="3">
        <v>8</v>
      </c>
      <c r="G534" s="3" t="b">
        <v>0</v>
      </c>
      <c r="H534" s="3" t="str">
        <f t="shared" si="30"/>
        <v>Monday</v>
      </c>
      <c r="I534" s="3">
        <v>1</v>
      </c>
      <c r="J534" s="3" t="str">
        <f t="shared" si="29"/>
        <v>Foggy</v>
      </c>
      <c r="K534" s="3">
        <v>0.04</v>
      </c>
      <c r="L534" s="6">
        <v>0.49</v>
      </c>
      <c r="M534" s="6">
        <v>0.13639999999999999</v>
      </c>
      <c r="N534" s="6">
        <v>0</v>
      </c>
      <c r="O534" s="6">
        <v>6</v>
      </c>
      <c r="P534" s="6">
        <v>171</v>
      </c>
      <c r="Q534" s="6">
        <v>177</v>
      </c>
      <c r="R534" s="8"/>
      <c r="S534" s="8"/>
      <c r="T534" s="8"/>
      <c r="V534">
        <v>13</v>
      </c>
      <c r="W534">
        <v>79</v>
      </c>
    </row>
    <row r="535" spans="1:23">
      <c r="A535" s="3">
        <v>534</v>
      </c>
      <c r="B535" s="4">
        <v>40567</v>
      </c>
      <c r="C535" s="3">
        <v>1</v>
      </c>
      <c r="D535" s="3">
        <v>0</v>
      </c>
      <c r="E535" s="3" t="str">
        <f t="shared" si="28"/>
        <v>January</v>
      </c>
      <c r="F535" s="3">
        <v>9</v>
      </c>
      <c r="G535" s="3" t="b">
        <v>0</v>
      </c>
      <c r="H535" s="3" t="str">
        <f t="shared" si="30"/>
        <v>Monday</v>
      </c>
      <c r="I535" s="3">
        <v>1</v>
      </c>
      <c r="J535" s="3" t="str">
        <f t="shared" si="29"/>
        <v>Foggy</v>
      </c>
      <c r="K535" s="3">
        <v>0.06</v>
      </c>
      <c r="L535" s="6">
        <v>0.41</v>
      </c>
      <c r="M535" s="6">
        <v>0.1515</v>
      </c>
      <c r="N535" s="6">
        <v>0</v>
      </c>
      <c r="O535" s="6">
        <v>4</v>
      </c>
      <c r="P535" s="6">
        <v>98</v>
      </c>
      <c r="Q535" s="6">
        <v>102</v>
      </c>
      <c r="R535" s="8"/>
      <c r="S535" s="8"/>
      <c r="T535" s="8"/>
      <c r="U535">
        <v>93</v>
      </c>
      <c r="W535">
        <v>419</v>
      </c>
    </row>
    <row r="536" spans="1:23">
      <c r="A536" s="3">
        <v>535</v>
      </c>
      <c r="B536" s="4">
        <v>40567</v>
      </c>
      <c r="C536" s="3">
        <v>1</v>
      </c>
      <c r="D536" s="3">
        <v>0</v>
      </c>
      <c r="E536" s="3" t="str">
        <f t="shared" si="28"/>
        <v>January</v>
      </c>
      <c r="F536" s="3">
        <v>10</v>
      </c>
      <c r="G536" s="3" t="b">
        <v>0</v>
      </c>
      <c r="H536" s="3" t="str">
        <f t="shared" si="30"/>
        <v>Monday</v>
      </c>
      <c r="I536" s="3">
        <v>1</v>
      </c>
      <c r="J536" s="3" t="str">
        <f t="shared" si="29"/>
        <v>Foggy</v>
      </c>
      <c r="K536" s="3">
        <v>0.1</v>
      </c>
      <c r="L536" s="6">
        <v>0.42</v>
      </c>
      <c r="M536" s="6">
        <v>0.13639999999999999</v>
      </c>
      <c r="N536" s="6">
        <v>0</v>
      </c>
      <c r="O536" s="6">
        <v>6</v>
      </c>
      <c r="P536" s="6">
        <v>34</v>
      </c>
      <c r="Q536" s="6">
        <v>40</v>
      </c>
      <c r="R536" s="8"/>
      <c r="S536" s="8"/>
      <c r="T536" s="8"/>
      <c r="V536">
        <v>13</v>
      </c>
      <c r="W536">
        <v>80</v>
      </c>
    </row>
    <row r="537" spans="1:23">
      <c r="A537" s="3">
        <v>536</v>
      </c>
      <c r="B537" s="4">
        <v>40567</v>
      </c>
      <c r="C537" s="3">
        <v>1</v>
      </c>
      <c r="D537" s="3">
        <v>0</v>
      </c>
      <c r="E537" s="3" t="str">
        <f t="shared" si="28"/>
        <v>January</v>
      </c>
      <c r="F537" s="3">
        <v>11</v>
      </c>
      <c r="G537" s="3" t="b">
        <v>0</v>
      </c>
      <c r="H537" s="3" t="str">
        <f t="shared" si="30"/>
        <v>Monday</v>
      </c>
      <c r="I537" s="3">
        <v>1</v>
      </c>
      <c r="J537" s="3" t="str">
        <f t="shared" si="29"/>
        <v>Foggy</v>
      </c>
      <c r="K537" s="3">
        <v>0.1</v>
      </c>
      <c r="L537" s="6">
        <v>0.46</v>
      </c>
      <c r="M537" s="6">
        <v>0.1212</v>
      </c>
      <c r="N537" s="6">
        <v>0.1343</v>
      </c>
      <c r="O537" s="6">
        <v>3</v>
      </c>
      <c r="P537" s="6">
        <v>43</v>
      </c>
      <c r="Q537" s="6">
        <v>46</v>
      </c>
      <c r="R537" s="8"/>
      <c r="S537" s="8"/>
      <c r="T537" s="8"/>
      <c r="V537">
        <v>20</v>
      </c>
      <c r="W537">
        <v>73</v>
      </c>
    </row>
    <row r="538" spans="1:23">
      <c r="A538" s="3">
        <v>537</v>
      </c>
      <c r="B538" s="4">
        <v>40567</v>
      </c>
      <c r="C538" s="3">
        <v>1</v>
      </c>
      <c r="D538" s="3">
        <v>0</v>
      </c>
      <c r="E538" s="3" t="str">
        <f t="shared" si="28"/>
        <v>January</v>
      </c>
      <c r="F538" s="3">
        <v>12</v>
      </c>
      <c r="G538" s="3" t="b">
        <v>0</v>
      </c>
      <c r="H538" s="3" t="str">
        <f t="shared" si="30"/>
        <v>Monday</v>
      </c>
      <c r="I538" s="3">
        <v>1</v>
      </c>
      <c r="J538" s="3" t="str">
        <f t="shared" si="29"/>
        <v>Foggy</v>
      </c>
      <c r="K538" s="3">
        <v>0.12</v>
      </c>
      <c r="L538" s="6">
        <v>0.42</v>
      </c>
      <c r="M538" s="6">
        <v>0.13639999999999999</v>
      </c>
      <c r="N538" s="6">
        <v>0.19400000000000001</v>
      </c>
      <c r="O538" s="6">
        <v>11</v>
      </c>
      <c r="P538" s="6">
        <v>52</v>
      </c>
      <c r="Q538" s="6">
        <v>63</v>
      </c>
      <c r="R538" s="8"/>
      <c r="S538" s="8"/>
      <c r="T538" s="8"/>
      <c r="V538">
        <v>21</v>
      </c>
      <c r="W538">
        <v>144</v>
      </c>
    </row>
    <row r="539" spans="1:23">
      <c r="A539" s="3">
        <v>538</v>
      </c>
      <c r="B539" s="4">
        <v>40567</v>
      </c>
      <c r="C539" s="3">
        <v>1</v>
      </c>
      <c r="D539" s="3">
        <v>0</v>
      </c>
      <c r="E539" s="3" t="str">
        <f t="shared" si="28"/>
        <v>January</v>
      </c>
      <c r="F539" s="3">
        <v>13</v>
      </c>
      <c r="G539" s="3" t="b">
        <v>0</v>
      </c>
      <c r="H539" s="3" t="str">
        <f t="shared" si="30"/>
        <v>Monday</v>
      </c>
      <c r="I539" s="3">
        <v>1</v>
      </c>
      <c r="J539" s="3" t="str">
        <f t="shared" si="29"/>
        <v>Foggy</v>
      </c>
      <c r="K539" s="3">
        <v>0.14000000000000001</v>
      </c>
      <c r="L539" s="6">
        <v>0.43</v>
      </c>
      <c r="M539" s="6">
        <v>0.13639999999999999</v>
      </c>
      <c r="N539" s="6">
        <v>0.22389999999999999</v>
      </c>
      <c r="O539" s="6">
        <v>6</v>
      </c>
      <c r="P539" s="6">
        <v>54</v>
      </c>
      <c r="Q539" s="6">
        <v>60</v>
      </c>
      <c r="R539" s="8"/>
      <c r="S539" s="8"/>
      <c r="T539" s="8"/>
      <c r="V539">
        <v>23</v>
      </c>
      <c r="W539">
        <v>70</v>
      </c>
    </row>
    <row r="540" spans="1:23">
      <c r="A540" s="3">
        <v>539</v>
      </c>
      <c r="B540" s="4">
        <v>40567</v>
      </c>
      <c r="C540" s="3">
        <v>1</v>
      </c>
      <c r="D540" s="3">
        <v>0</v>
      </c>
      <c r="E540" s="3" t="str">
        <f t="shared" si="28"/>
        <v>January</v>
      </c>
      <c r="F540" s="3">
        <v>14</v>
      </c>
      <c r="G540" s="3" t="b">
        <v>0</v>
      </c>
      <c r="H540" s="3" t="str">
        <f t="shared" si="30"/>
        <v>Monday</v>
      </c>
      <c r="I540" s="3">
        <v>1</v>
      </c>
      <c r="J540" s="3" t="str">
        <f t="shared" si="29"/>
        <v>Foggy</v>
      </c>
      <c r="K540" s="3">
        <v>0.14000000000000001</v>
      </c>
      <c r="L540" s="6">
        <v>0.46</v>
      </c>
      <c r="M540" s="6">
        <v>0.13639999999999999</v>
      </c>
      <c r="N540" s="6">
        <v>0.22389999999999999</v>
      </c>
      <c r="O540" s="6">
        <v>2</v>
      </c>
      <c r="P540" s="6">
        <v>43</v>
      </c>
      <c r="Q540" s="6">
        <v>45</v>
      </c>
      <c r="R540" s="8"/>
      <c r="S540" s="8"/>
      <c r="T540" s="8"/>
      <c r="V540">
        <v>41</v>
      </c>
      <c r="W540">
        <v>52</v>
      </c>
    </row>
    <row r="541" spans="1:23">
      <c r="A541" s="3">
        <v>540</v>
      </c>
      <c r="B541" s="4">
        <v>40567</v>
      </c>
      <c r="C541" s="3">
        <v>1</v>
      </c>
      <c r="D541" s="3">
        <v>0</v>
      </c>
      <c r="E541" s="3" t="str">
        <f t="shared" si="28"/>
        <v>January</v>
      </c>
      <c r="F541" s="3">
        <v>15</v>
      </c>
      <c r="G541" s="3" t="b">
        <v>0</v>
      </c>
      <c r="H541" s="3" t="str">
        <f t="shared" si="30"/>
        <v>Monday</v>
      </c>
      <c r="I541" s="3">
        <v>1</v>
      </c>
      <c r="J541" s="3" t="str">
        <f t="shared" si="29"/>
        <v>Foggy</v>
      </c>
      <c r="K541" s="3">
        <v>0.16</v>
      </c>
      <c r="L541" s="6">
        <v>0.4</v>
      </c>
      <c r="M541" s="6">
        <v>0.16669999999999999</v>
      </c>
      <c r="N541" s="6">
        <v>0.16420000000000001</v>
      </c>
      <c r="O541" s="6">
        <v>7</v>
      </c>
      <c r="P541" s="6">
        <v>50</v>
      </c>
      <c r="Q541" s="6">
        <v>57</v>
      </c>
      <c r="R541" s="8"/>
      <c r="S541" s="8"/>
      <c r="T541" s="8"/>
      <c r="U541">
        <v>94</v>
      </c>
      <c r="W541">
        <v>231</v>
      </c>
    </row>
    <row r="542" spans="1:23">
      <c r="A542" s="3">
        <v>541</v>
      </c>
      <c r="B542" s="4">
        <v>40567</v>
      </c>
      <c r="C542" s="3">
        <v>1</v>
      </c>
      <c r="D542" s="3">
        <v>0</v>
      </c>
      <c r="E542" s="3" t="str">
        <f t="shared" si="28"/>
        <v>January</v>
      </c>
      <c r="F542" s="3">
        <v>16</v>
      </c>
      <c r="G542" s="3" t="b">
        <v>0</v>
      </c>
      <c r="H542" s="3" t="str">
        <f t="shared" si="30"/>
        <v>Monday</v>
      </c>
      <c r="I542" s="3">
        <v>1</v>
      </c>
      <c r="J542" s="3" t="str">
        <f t="shared" si="29"/>
        <v>Foggy</v>
      </c>
      <c r="K542" s="3">
        <v>0.16</v>
      </c>
      <c r="L542" s="6">
        <v>0.47</v>
      </c>
      <c r="M542" s="6">
        <v>0.1515</v>
      </c>
      <c r="N542" s="6">
        <v>0.25369999999999998</v>
      </c>
      <c r="O542" s="6">
        <v>4</v>
      </c>
      <c r="P542" s="6">
        <v>66</v>
      </c>
      <c r="Q542" s="6">
        <v>70</v>
      </c>
      <c r="R542" s="8"/>
      <c r="S542" s="8"/>
      <c r="T542" s="8"/>
      <c r="V542">
        <v>2</v>
      </c>
      <c r="W542">
        <v>184</v>
      </c>
    </row>
    <row r="543" spans="1:23">
      <c r="A543" s="3">
        <v>542</v>
      </c>
      <c r="B543" s="4">
        <v>40567</v>
      </c>
      <c r="C543" s="3">
        <v>1</v>
      </c>
      <c r="D543" s="3">
        <v>0</v>
      </c>
      <c r="E543" s="3" t="str">
        <f t="shared" si="28"/>
        <v>January</v>
      </c>
      <c r="F543" s="3">
        <v>17</v>
      </c>
      <c r="G543" s="3" t="b">
        <v>0</v>
      </c>
      <c r="H543" s="3" t="str">
        <f t="shared" si="30"/>
        <v>Monday</v>
      </c>
      <c r="I543" s="3">
        <v>1</v>
      </c>
      <c r="J543" s="3" t="str">
        <f t="shared" si="29"/>
        <v>Foggy</v>
      </c>
      <c r="K543" s="3">
        <v>0.14000000000000001</v>
      </c>
      <c r="L543" s="6">
        <v>0.5</v>
      </c>
      <c r="M543" s="6">
        <v>0.1212</v>
      </c>
      <c r="N543" s="6">
        <v>0.25369999999999998</v>
      </c>
      <c r="O543" s="6">
        <v>6</v>
      </c>
      <c r="P543" s="6">
        <v>178</v>
      </c>
      <c r="Q543" s="6">
        <v>184</v>
      </c>
      <c r="R543" s="8"/>
      <c r="S543" s="8"/>
      <c r="T543" s="8"/>
      <c r="V543">
        <v>47</v>
      </c>
      <c r="W543">
        <v>47</v>
      </c>
    </row>
    <row r="544" spans="1:23">
      <c r="A544" s="3">
        <v>543</v>
      </c>
      <c r="B544" s="4">
        <v>40567</v>
      </c>
      <c r="C544" s="3">
        <v>1</v>
      </c>
      <c r="D544" s="3">
        <v>0</v>
      </c>
      <c r="E544" s="3" t="str">
        <f t="shared" si="28"/>
        <v>January</v>
      </c>
      <c r="F544" s="3">
        <v>18</v>
      </c>
      <c r="G544" s="3" t="b">
        <v>0</v>
      </c>
      <c r="H544" s="3" t="str">
        <f t="shared" si="30"/>
        <v>Monday</v>
      </c>
      <c r="I544" s="3">
        <v>1</v>
      </c>
      <c r="J544" s="3" t="str">
        <f t="shared" si="29"/>
        <v>Foggy</v>
      </c>
      <c r="K544" s="3">
        <v>0.14000000000000001</v>
      </c>
      <c r="L544" s="6">
        <v>0.59</v>
      </c>
      <c r="M544" s="6">
        <v>0.13639999999999999</v>
      </c>
      <c r="N544" s="6">
        <v>0.19400000000000001</v>
      </c>
      <c r="O544" s="6">
        <v>8</v>
      </c>
      <c r="P544" s="6">
        <v>145</v>
      </c>
      <c r="Q544" s="6">
        <v>153</v>
      </c>
      <c r="R544" s="8"/>
      <c r="S544" s="8"/>
      <c r="T544" s="8"/>
      <c r="U544">
        <v>95</v>
      </c>
      <c r="W544">
        <v>623</v>
      </c>
    </row>
    <row r="545" spans="1:23">
      <c r="A545" s="3">
        <v>544</v>
      </c>
      <c r="B545" s="4">
        <v>40567</v>
      </c>
      <c r="C545" s="3">
        <v>1</v>
      </c>
      <c r="D545" s="3">
        <v>0</v>
      </c>
      <c r="E545" s="3" t="str">
        <f t="shared" si="28"/>
        <v>January</v>
      </c>
      <c r="F545" s="3">
        <v>19</v>
      </c>
      <c r="G545" s="3" t="b">
        <v>0</v>
      </c>
      <c r="H545" s="3" t="str">
        <f t="shared" si="30"/>
        <v>Monday</v>
      </c>
      <c r="I545" s="3">
        <v>1</v>
      </c>
      <c r="J545" s="3" t="str">
        <f t="shared" si="29"/>
        <v>Foggy</v>
      </c>
      <c r="K545" s="3">
        <v>0.14000000000000001</v>
      </c>
      <c r="L545" s="6">
        <v>0.54</v>
      </c>
      <c r="M545" s="6">
        <v>0.1515</v>
      </c>
      <c r="N545" s="6">
        <v>0.16420000000000001</v>
      </c>
      <c r="O545" s="6">
        <v>5</v>
      </c>
      <c r="P545" s="6">
        <v>101</v>
      </c>
      <c r="Q545" s="6">
        <v>106</v>
      </c>
      <c r="R545" s="8"/>
      <c r="S545" s="8"/>
      <c r="T545" s="8"/>
      <c r="V545">
        <v>0</v>
      </c>
      <c r="W545">
        <v>95</v>
      </c>
    </row>
    <row r="546" spans="1:23">
      <c r="A546" s="3">
        <v>545</v>
      </c>
      <c r="B546" s="4">
        <v>40567</v>
      </c>
      <c r="C546" s="3">
        <v>1</v>
      </c>
      <c r="D546" s="3">
        <v>0</v>
      </c>
      <c r="E546" s="3" t="str">
        <f t="shared" si="28"/>
        <v>January</v>
      </c>
      <c r="F546" s="3">
        <v>20</v>
      </c>
      <c r="G546" s="3" t="b">
        <v>0</v>
      </c>
      <c r="H546" s="3" t="str">
        <f t="shared" si="30"/>
        <v>Monday</v>
      </c>
      <c r="I546" s="3">
        <v>1</v>
      </c>
      <c r="J546" s="3" t="str">
        <f t="shared" si="29"/>
        <v>Foggy</v>
      </c>
      <c r="K546" s="3">
        <v>0.14000000000000001</v>
      </c>
      <c r="L546" s="6">
        <v>0.59</v>
      </c>
      <c r="M546" s="6">
        <v>0.13639999999999999</v>
      </c>
      <c r="N546" s="6">
        <v>0.19400000000000001</v>
      </c>
      <c r="O546" s="6">
        <v>1</v>
      </c>
      <c r="P546" s="6">
        <v>80</v>
      </c>
      <c r="Q546" s="6">
        <v>81</v>
      </c>
      <c r="R546" s="8"/>
      <c r="S546" s="8"/>
      <c r="T546" s="8"/>
      <c r="V546">
        <v>1</v>
      </c>
      <c r="W546">
        <v>94</v>
      </c>
    </row>
    <row r="547" spans="1:23">
      <c r="A547" s="3">
        <v>546</v>
      </c>
      <c r="B547" s="4">
        <v>40567</v>
      </c>
      <c r="C547" s="3">
        <v>1</v>
      </c>
      <c r="D547" s="3">
        <v>0</v>
      </c>
      <c r="E547" s="3" t="str">
        <f t="shared" si="28"/>
        <v>January</v>
      </c>
      <c r="F547" s="3">
        <v>21</v>
      </c>
      <c r="G547" s="3" t="b">
        <v>0</v>
      </c>
      <c r="H547" s="3" t="str">
        <f t="shared" si="30"/>
        <v>Monday</v>
      </c>
      <c r="I547" s="3">
        <v>1</v>
      </c>
      <c r="J547" s="3" t="str">
        <f t="shared" si="29"/>
        <v>Foggy</v>
      </c>
      <c r="K547" s="3">
        <v>0.14000000000000001</v>
      </c>
      <c r="L547" s="6">
        <v>0.63</v>
      </c>
      <c r="M547" s="6">
        <v>0.1515</v>
      </c>
      <c r="N547" s="6">
        <v>0.16420000000000001</v>
      </c>
      <c r="O547" s="6">
        <v>6</v>
      </c>
      <c r="P547" s="6">
        <v>53</v>
      </c>
      <c r="Q547" s="6">
        <v>59</v>
      </c>
      <c r="R547" s="8"/>
      <c r="S547" s="8"/>
      <c r="T547" s="8"/>
      <c r="V547">
        <v>3</v>
      </c>
      <c r="W547">
        <v>184</v>
      </c>
    </row>
    <row r="548" spans="1:23">
      <c r="A548" s="3">
        <v>547</v>
      </c>
      <c r="B548" s="4">
        <v>40567</v>
      </c>
      <c r="C548" s="3">
        <v>1</v>
      </c>
      <c r="D548" s="3">
        <v>0</v>
      </c>
      <c r="E548" s="3" t="str">
        <f t="shared" si="28"/>
        <v>January</v>
      </c>
      <c r="F548" s="3">
        <v>22</v>
      </c>
      <c r="G548" s="3" t="b">
        <v>0</v>
      </c>
      <c r="H548" s="3" t="str">
        <f t="shared" si="30"/>
        <v>Monday</v>
      </c>
      <c r="I548" s="3">
        <v>1</v>
      </c>
      <c r="J548" s="3" t="str">
        <f t="shared" si="29"/>
        <v>Foggy</v>
      </c>
      <c r="K548" s="3">
        <v>0.14000000000000001</v>
      </c>
      <c r="L548" s="6">
        <v>0.63</v>
      </c>
      <c r="M548" s="6">
        <v>0.13639999999999999</v>
      </c>
      <c r="N548" s="6">
        <v>0.22389999999999999</v>
      </c>
      <c r="O548" s="6">
        <v>3</v>
      </c>
      <c r="P548" s="6">
        <v>32</v>
      </c>
      <c r="Q548" s="6">
        <v>35</v>
      </c>
      <c r="R548" s="8"/>
      <c r="S548" s="8"/>
      <c r="T548" s="8"/>
      <c r="V548">
        <v>6</v>
      </c>
      <c r="W548">
        <v>89</v>
      </c>
    </row>
    <row r="549" spans="1:23">
      <c r="A549" s="3">
        <v>548</v>
      </c>
      <c r="B549" s="4">
        <v>40567</v>
      </c>
      <c r="C549" s="3">
        <v>1</v>
      </c>
      <c r="D549" s="3">
        <v>0</v>
      </c>
      <c r="E549" s="3" t="str">
        <f t="shared" si="28"/>
        <v>January</v>
      </c>
      <c r="F549" s="3">
        <v>23</v>
      </c>
      <c r="G549" s="3" t="b">
        <v>0</v>
      </c>
      <c r="H549" s="3" t="str">
        <f t="shared" si="30"/>
        <v>Monday</v>
      </c>
      <c r="I549" s="3">
        <v>1</v>
      </c>
      <c r="J549" s="3" t="str">
        <f t="shared" si="29"/>
        <v>Foggy</v>
      </c>
      <c r="K549" s="3">
        <v>0.16</v>
      </c>
      <c r="L549" s="6">
        <v>0.64</v>
      </c>
      <c r="M549" s="6">
        <v>0.1515</v>
      </c>
      <c r="N549" s="6">
        <v>0.25369999999999998</v>
      </c>
      <c r="O549" s="6">
        <v>3</v>
      </c>
      <c r="P549" s="6">
        <v>21</v>
      </c>
      <c r="Q549" s="6">
        <v>24</v>
      </c>
      <c r="R549" s="8"/>
      <c r="S549" s="8"/>
      <c r="T549" s="8"/>
      <c r="V549">
        <v>12</v>
      </c>
      <c r="W549">
        <v>83</v>
      </c>
    </row>
    <row r="550" spans="1:23">
      <c r="A550" s="3">
        <v>549</v>
      </c>
      <c r="B550" s="4">
        <v>40568</v>
      </c>
      <c r="C550" s="3">
        <v>1</v>
      </c>
      <c r="D550" s="3">
        <v>0</v>
      </c>
      <c r="E550" s="3" t="str">
        <f t="shared" si="28"/>
        <v>January</v>
      </c>
      <c r="F550" s="3">
        <v>0</v>
      </c>
      <c r="G550" s="3" t="b">
        <v>0</v>
      </c>
      <c r="H550" s="3" t="str">
        <f t="shared" si="30"/>
        <v>Tuesday</v>
      </c>
      <c r="I550" s="3">
        <v>2</v>
      </c>
      <c r="J550" s="3" t="str">
        <f t="shared" si="29"/>
        <v>Foggy</v>
      </c>
      <c r="K550" s="3">
        <v>0.16</v>
      </c>
      <c r="L550" s="6">
        <v>0.69</v>
      </c>
      <c r="M550" s="6">
        <v>0.13639999999999999</v>
      </c>
      <c r="N550" s="6">
        <v>0.28360000000000002</v>
      </c>
      <c r="O550" s="6">
        <v>3</v>
      </c>
      <c r="P550" s="6">
        <v>6</v>
      </c>
      <c r="Q550" s="6">
        <v>9</v>
      </c>
      <c r="R550" s="8"/>
      <c r="S550" s="8"/>
      <c r="T550" s="8"/>
      <c r="V550">
        <v>17</v>
      </c>
      <c r="W550">
        <v>78</v>
      </c>
    </row>
    <row r="551" spans="1:23">
      <c r="A551" s="3">
        <v>550</v>
      </c>
      <c r="B551" s="4">
        <v>40568</v>
      </c>
      <c r="C551" s="3">
        <v>1</v>
      </c>
      <c r="D551" s="3">
        <v>0</v>
      </c>
      <c r="E551" s="3" t="str">
        <f t="shared" si="28"/>
        <v>January</v>
      </c>
      <c r="F551" s="3">
        <v>1</v>
      </c>
      <c r="G551" s="3" t="b">
        <v>0</v>
      </c>
      <c r="H551" s="3" t="str">
        <f t="shared" si="30"/>
        <v>Tuesday</v>
      </c>
      <c r="I551" s="3">
        <v>2</v>
      </c>
      <c r="J551" s="3" t="str">
        <f t="shared" si="29"/>
        <v>Foggy</v>
      </c>
      <c r="K551" s="3">
        <v>0.16</v>
      </c>
      <c r="L551" s="6">
        <v>0.69</v>
      </c>
      <c r="M551" s="6">
        <v>0.16669999999999999</v>
      </c>
      <c r="N551" s="6">
        <v>0.16420000000000001</v>
      </c>
      <c r="O551" s="6">
        <v>0</v>
      </c>
      <c r="P551" s="6">
        <v>5</v>
      </c>
      <c r="Q551" s="6">
        <v>5</v>
      </c>
      <c r="R551" s="8"/>
      <c r="S551" s="8"/>
      <c r="T551" s="8"/>
      <c r="U551">
        <v>96</v>
      </c>
      <c r="W551">
        <v>185</v>
      </c>
    </row>
    <row r="552" spans="1:23">
      <c r="A552" s="3">
        <v>551</v>
      </c>
      <c r="B552" s="4">
        <v>40568</v>
      </c>
      <c r="C552" s="3">
        <v>1</v>
      </c>
      <c r="D552" s="3">
        <v>0</v>
      </c>
      <c r="E552" s="3" t="str">
        <f t="shared" si="28"/>
        <v>January</v>
      </c>
      <c r="F552" s="3">
        <v>2</v>
      </c>
      <c r="G552" s="3" t="b">
        <v>0</v>
      </c>
      <c r="H552" s="3" t="str">
        <f t="shared" si="30"/>
        <v>Tuesday</v>
      </c>
      <c r="I552" s="3">
        <v>2</v>
      </c>
      <c r="J552" s="3" t="str">
        <f t="shared" si="29"/>
        <v>Foggy</v>
      </c>
      <c r="K552" s="3">
        <v>0.16</v>
      </c>
      <c r="L552" s="6">
        <v>0.69</v>
      </c>
      <c r="M552" s="6">
        <v>0.1515</v>
      </c>
      <c r="N552" s="6">
        <v>0.22389999999999999</v>
      </c>
      <c r="O552" s="6">
        <v>0</v>
      </c>
      <c r="P552" s="6">
        <v>2</v>
      </c>
      <c r="Q552" s="6">
        <v>2</v>
      </c>
      <c r="R552" s="8"/>
      <c r="S552" s="8"/>
      <c r="T552" s="8"/>
      <c r="V552">
        <v>3</v>
      </c>
      <c r="W552">
        <v>93</v>
      </c>
    </row>
    <row r="553" spans="1:23">
      <c r="A553" s="3">
        <v>552</v>
      </c>
      <c r="B553" s="4">
        <v>40568</v>
      </c>
      <c r="C553" s="3">
        <v>1</v>
      </c>
      <c r="D553" s="3">
        <v>0</v>
      </c>
      <c r="E553" s="3" t="str">
        <f t="shared" si="28"/>
        <v>January</v>
      </c>
      <c r="F553" s="3">
        <v>4</v>
      </c>
      <c r="G553" s="3" t="b">
        <v>0</v>
      </c>
      <c r="H553" s="3" t="str">
        <f t="shared" si="30"/>
        <v>Tuesday</v>
      </c>
      <c r="I553" s="3">
        <v>2</v>
      </c>
      <c r="J553" s="3" t="str">
        <f t="shared" si="29"/>
        <v>Foggy</v>
      </c>
      <c r="K553" s="3">
        <v>0.14000000000000001</v>
      </c>
      <c r="L553" s="6">
        <v>0.74</v>
      </c>
      <c r="M553" s="6">
        <v>0.16669999999999999</v>
      </c>
      <c r="N553" s="6">
        <v>0.1045</v>
      </c>
      <c r="O553" s="6">
        <v>0</v>
      </c>
      <c r="P553" s="6">
        <v>1</v>
      </c>
      <c r="Q553" s="6">
        <v>1</v>
      </c>
      <c r="R553" s="8"/>
      <c r="S553" s="8"/>
      <c r="T553" s="8"/>
      <c r="V553">
        <v>4</v>
      </c>
      <c r="W553">
        <v>92</v>
      </c>
    </row>
    <row r="554" spans="1:23">
      <c r="A554" s="3">
        <v>553</v>
      </c>
      <c r="B554" s="4">
        <v>40568</v>
      </c>
      <c r="C554" s="3">
        <v>1</v>
      </c>
      <c r="D554" s="3">
        <v>0</v>
      </c>
      <c r="E554" s="3" t="str">
        <f t="shared" si="28"/>
        <v>January</v>
      </c>
      <c r="F554" s="3">
        <v>5</v>
      </c>
      <c r="G554" s="3" t="b">
        <v>0</v>
      </c>
      <c r="H554" s="3" t="str">
        <f t="shared" si="30"/>
        <v>Tuesday</v>
      </c>
      <c r="I554" s="3">
        <v>2</v>
      </c>
      <c r="J554" s="3" t="str">
        <f t="shared" si="29"/>
        <v>Foggy</v>
      </c>
      <c r="K554" s="3">
        <v>0.14000000000000001</v>
      </c>
      <c r="L554" s="6">
        <v>0.74</v>
      </c>
      <c r="M554" s="6">
        <v>0.13639999999999999</v>
      </c>
      <c r="N554" s="6">
        <v>0.22389999999999999</v>
      </c>
      <c r="O554" s="6">
        <v>0</v>
      </c>
      <c r="P554" s="6">
        <v>9</v>
      </c>
      <c r="Q554" s="6">
        <v>9</v>
      </c>
      <c r="R554" s="8"/>
      <c r="S554" s="8"/>
      <c r="T554" s="8"/>
      <c r="U554">
        <v>97</v>
      </c>
      <c r="W554">
        <v>356</v>
      </c>
    </row>
    <row r="555" spans="1:23">
      <c r="A555" s="3">
        <v>554</v>
      </c>
      <c r="B555" s="4">
        <v>40568</v>
      </c>
      <c r="C555" s="3">
        <v>1</v>
      </c>
      <c r="D555" s="3">
        <v>0</v>
      </c>
      <c r="E555" s="3" t="str">
        <f t="shared" si="28"/>
        <v>January</v>
      </c>
      <c r="F555" s="3">
        <v>6</v>
      </c>
      <c r="G555" s="3" t="b">
        <v>0</v>
      </c>
      <c r="H555" s="3" t="str">
        <f t="shared" si="30"/>
        <v>Tuesday</v>
      </c>
      <c r="I555" s="3">
        <v>2</v>
      </c>
      <c r="J555" s="3" t="str">
        <f t="shared" si="29"/>
        <v>Foggy</v>
      </c>
      <c r="K555" s="3">
        <v>0.16</v>
      </c>
      <c r="L555" s="6">
        <v>0.74</v>
      </c>
      <c r="M555" s="6">
        <v>0.18179999999999999</v>
      </c>
      <c r="N555" s="6">
        <v>0.1045</v>
      </c>
      <c r="O555" s="6">
        <v>1</v>
      </c>
      <c r="P555" s="6">
        <v>35</v>
      </c>
      <c r="Q555" s="6">
        <v>36</v>
      </c>
      <c r="R555" s="8"/>
      <c r="S555" s="8"/>
      <c r="T555" s="8"/>
      <c r="V555">
        <v>0</v>
      </c>
      <c r="W555">
        <v>97</v>
      </c>
    </row>
    <row r="556" spans="1:23">
      <c r="A556" s="3">
        <v>555</v>
      </c>
      <c r="B556" s="4">
        <v>40568</v>
      </c>
      <c r="C556" s="3">
        <v>1</v>
      </c>
      <c r="D556" s="3">
        <v>0</v>
      </c>
      <c r="E556" s="3" t="str">
        <f t="shared" si="28"/>
        <v>January</v>
      </c>
      <c r="F556" s="3">
        <v>7</v>
      </c>
      <c r="G556" s="3" t="b">
        <v>0</v>
      </c>
      <c r="H556" s="3" t="str">
        <f t="shared" si="30"/>
        <v>Tuesday</v>
      </c>
      <c r="I556" s="3">
        <v>2</v>
      </c>
      <c r="J556" s="3" t="str">
        <f t="shared" si="29"/>
        <v>Foggy</v>
      </c>
      <c r="K556" s="3">
        <v>0.16</v>
      </c>
      <c r="L556" s="6">
        <v>0.74</v>
      </c>
      <c r="M556" s="6">
        <v>0.1515</v>
      </c>
      <c r="N556" s="6">
        <v>0.22389999999999999</v>
      </c>
      <c r="O556" s="6">
        <v>5</v>
      </c>
      <c r="P556" s="6">
        <v>103</v>
      </c>
      <c r="Q556" s="6">
        <v>108</v>
      </c>
      <c r="R556" s="8"/>
      <c r="S556" s="8"/>
      <c r="T556" s="8"/>
      <c r="V556">
        <v>4</v>
      </c>
      <c r="W556">
        <v>93</v>
      </c>
    </row>
    <row r="557" spans="1:23">
      <c r="A557" s="3">
        <v>556</v>
      </c>
      <c r="B557" s="4">
        <v>40568</v>
      </c>
      <c r="C557" s="3">
        <v>1</v>
      </c>
      <c r="D557" s="3">
        <v>0</v>
      </c>
      <c r="E557" s="3" t="str">
        <f t="shared" si="28"/>
        <v>January</v>
      </c>
      <c r="F557" s="3">
        <v>8</v>
      </c>
      <c r="G557" s="3" t="b">
        <v>0</v>
      </c>
      <c r="H557" s="3" t="str">
        <f t="shared" si="30"/>
        <v>Tuesday</v>
      </c>
      <c r="I557" s="3">
        <v>2</v>
      </c>
      <c r="J557" s="3" t="str">
        <f t="shared" si="29"/>
        <v>Foggy</v>
      </c>
      <c r="K557" s="3">
        <v>0.16</v>
      </c>
      <c r="L557" s="6">
        <v>0.74</v>
      </c>
      <c r="M557" s="6">
        <v>0.18179999999999999</v>
      </c>
      <c r="N557" s="6">
        <v>0.1343</v>
      </c>
      <c r="O557" s="6">
        <v>5</v>
      </c>
      <c r="P557" s="6">
        <v>233</v>
      </c>
      <c r="Q557" s="6">
        <v>238</v>
      </c>
      <c r="R557" s="8"/>
      <c r="S557" s="8"/>
      <c r="T557" s="8"/>
      <c r="V557">
        <v>10</v>
      </c>
      <c r="W557">
        <v>87</v>
      </c>
    </row>
    <row r="558" spans="1:23">
      <c r="A558" s="3">
        <v>557</v>
      </c>
      <c r="B558" s="4">
        <v>40568</v>
      </c>
      <c r="C558" s="3">
        <v>1</v>
      </c>
      <c r="D558" s="3">
        <v>0</v>
      </c>
      <c r="E558" s="3" t="str">
        <f t="shared" si="28"/>
        <v>January</v>
      </c>
      <c r="F558" s="3">
        <v>9</v>
      </c>
      <c r="G558" s="3" t="b">
        <v>0</v>
      </c>
      <c r="H558" s="3" t="str">
        <f t="shared" si="30"/>
        <v>Tuesday</v>
      </c>
      <c r="I558" s="3">
        <v>2</v>
      </c>
      <c r="J558" s="3" t="str">
        <f t="shared" si="29"/>
        <v>Foggy</v>
      </c>
      <c r="K558" s="3">
        <v>0.2</v>
      </c>
      <c r="L558" s="6">
        <v>0.64</v>
      </c>
      <c r="M558" s="6">
        <v>0.2273</v>
      </c>
      <c r="N558" s="6">
        <v>8.9599999999999999E-2</v>
      </c>
      <c r="O558" s="6">
        <v>10</v>
      </c>
      <c r="P558" s="6">
        <v>134</v>
      </c>
      <c r="Q558" s="6">
        <v>144</v>
      </c>
      <c r="R558" s="8"/>
      <c r="S558" s="8"/>
      <c r="T558" s="8"/>
      <c r="V558">
        <v>18</v>
      </c>
      <c r="W558">
        <v>79</v>
      </c>
    </row>
    <row r="559" spans="1:23">
      <c r="A559" s="3">
        <v>558</v>
      </c>
      <c r="B559" s="4">
        <v>40568</v>
      </c>
      <c r="C559" s="3">
        <v>1</v>
      </c>
      <c r="D559" s="3">
        <v>0</v>
      </c>
      <c r="E559" s="3" t="str">
        <f t="shared" si="28"/>
        <v>January</v>
      </c>
      <c r="F559" s="3">
        <v>10</v>
      </c>
      <c r="G559" s="3" t="b">
        <v>0</v>
      </c>
      <c r="H559" s="3" t="str">
        <f t="shared" si="30"/>
        <v>Tuesday</v>
      </c>
      <c r="I559" s="3">
        <v>2</v>
      </c>
      <c r="J559" s="3" t="str">
        <f t="shared" si="29"/>
        <v>Foggy</v>
      </c>
      <c r="K559" s="3">
        <v>0.22</v>
      </c>
      <c r="L559" s="6">
        <v>0.6</v>
      </c>
      <c r="M559" s="6">
        <v>0.2424</v>
      </c>
      <c r="N559" s="6">
        <v>0.1045</v>
      </c>
      <c r="O559" s="6">
        <v>6</v>
      </c>
      <c r="P559" s="6">
        <v>49</v>
      </c>
      <c r="Q559" s="6">
        <v>55</v>
      </c>
      <c r="R559" s="8"/>
      <c r="S559" s="8"/>
      <c r="T559" s="8"/>
      <c r="U559">
        <v>98</v>
      </c>
      <c r="W559">
        <v>272</v>
      </c>
    </row>
    <row r="560" spans="1:23">
      <c r="A560" s="3">
        <v>559</v>
      </c>
      <c r="B560" s="4">
        <v>40568</v>
      </c>
      <c r="C560" s="3">
        <v>1</v>
      </c>
      <c r="D560" s="3">
        <v>0</v>
      </c>
      <c r="E560" s="3" t="str">
        <f t="shared" si="28"/>
        <v>January</v>
      </c>
      <c r="F560" s="3">
        <v>11</v>
      </c>
      <c r="G560" s="3" t="b">
        <v>0</v>
      </c>
      <c r="H560" s="3" t="str">
        <f t="shared" si="30"/>
        <v>Tuesday</v>
      </c>
      <c r="I560" s="3">
        <v>2</v>
      </c>
      <c r="J560" s="3" t="str">
        <f t="shared" si="29"/>
        <v>Foggy</v>
      </c>
      <c r="K560" s="3">
        <v>0.24</v>
      </c>
      <c r="L560" s="6">
        <v>0.6</v>
      </c>
      <c r="M560" s="6">
        <v>0.2424</v>
      </c>
      <c r="N560" s="6">
        <v>0.1343</v>
      </c>
      <c r="O560" s="6">
        <v>6</v>
      </c>
      <c r="P560" s="6">
        <v>55</v>
      </c>
      <c r="Q560" s="6">
        <v>61</v>
      </c>
      <c r="R560" s="8"/>
      <c r="S560" s="8"/>
      <c r="T560" s="8"/>
      <c r="V560">
        <v>2</v>
      </c>
      <c r="W560">
        <v>96</v>
      </c>
    </row>
    <row r="561" spans="1:23">
      <c r="A561" s="3">
        <v>560</v>
      </c>
      <c r="B561" s="4">
        <v>40568</v>
      </c>
      <c r="C561" s="3">
        <v>1</v>
      </c>
      <c r="D561" s="3">
        <v>0</v>
      </c>
      <c r="E561" s="3" t="str">
        <f t="shared" si="28"/>
        <v>January</v>
      </c>
      <c r="F561" s="3">
        <v>12</v>
      </c>
      <c r="G561" s="3" t="b">
        <v>0</v>
      </c>
      <c r="H561" s="3" t="str">
        <f t="shared" si="30"/>
        <v>Tuesday</v>
      </c>
      <c r="I561" s="3">
        <v>2</v>
      </c>
      <c r="J561" s="3" t="str">
        <f t="shared" si="29"/>
        <v>Clear</v>
      </c>
      <c r="K561" s="3">
        <v>0.26</v>
      </c>
      <c r="L561" s="6">
        <v>0.56000000000000005</v>
      </c>
      <c r="M561" s="6">
        <v>0.28789999999999999</v>
      </c>
      <c r="N561" s="6">
        <v>8.9599999999999999E-2</v>
      </c>
      <c r="O561" s="6">
        <v>21</v>
      </c>
      <c r="P561" s="6">
        <v>85</v>
      </c>
      <c r="Q561" s="6">
        <v>106</v>
      </c>
      <c r="R561" s="8"/>
      <c r="S561" s="8"/>
      <c r="T561" s="8"/>
      <c r="V561">
        <v>8</v>
      </c>
      <c r="W561">
        <v>90</v>
      </c>
    </row>
    <row r="562" spans="1:23">
      <c r="A562" s="3">
        <v>561</v>
      </c>
      <c r="B562" s="4">
        <v>40568</v>
      </c>
      <c r="C562" s="3">
        <v>1</v>
      </c>
      <c r="D562" s="3">
        <v>0</v>
      </c>
      <c r="E562" s="3" t="str">
        <f t="shared" si="28"/>
        <v>January</v>
      </c>
      <c r="F562" s="3">
        <v>13</v>
      </c>
      <c r="G562" s="3" t="b">
        <v>0</v>
      </c>
      <c r="H562" s="3" t="str">
        <f t="shared" si="30"/>
        <v>Tuesday</v>
      </c>
      <c r="I562" s="3">
        <v>2</v>
      </c>
      <c r="J562" s="3" t="str">
        <f t="shared" si="29"/>
        <v>Clear</v>
      </c>
      <c r="K562" s="3">
        <v>0.26</v>
      </c>
      <c r="L562" s="6">
        <v>0.56000000000000005</v>
      </c>
      <c r="M562" s="6">
        <v>0.2727</v>
      </c>
      <c r="N562" s="6">
        <v>0.1343</v>
      </c>
      <c r="O562" s="6">
        <v>21</v>
      </c>
      <c r="P562" s="6">
        <v>72</v>
      </c>
      <c r="Q562" s="6">
        <v>93</v>
      </c>
      <c r="R562" s="8"/>
      <c r="S562" s="8"/>
      <c r="T562" s="8"/>
      <c r="V562">
        <v>12</v>
      </c>
      <c r="W562">
        <v>86</v>
      </c>
    </row>
    <row r="563" spans="1:23">
      <c r="A563" s="3">
        <v>562</v>
      </c>
      <c r="B563" s="4">
        <v>40568</v>
      </c>
      <c r="C563" s="3">
        <v>1</v>
      </c>
      <c r="D563" s="3">
        <v>0</v>
      </c>
      <c r="E563" s="3" t="str">
        <f t="shared" si="28"/>
        <v>January</v>
      </c>
      <c r="F563" s="3">
        <v>14</v>
      </c>
      <c r="G563" s="3" t="b">
        <v>0</v>
      </c>
      <c r="H563" s="3" t="str">
        <f t="shared" si="30"/>
        <v>Tuesday</v>
      </c>
      <c r="I563" s="3">
        <v>2</v>
      </c>
      <c r="J563" s="3" t="str">
        <f t="shared" si="29"/>
        <v>Clear</v>
      </c>
      <c r="K563" s="3">
        <v>0.3</v>
      </c>
      <c r="L563" s="6">
        <v>0.45</v>
      </c>
      <c r="M563" s="6">
        <v>0.33329999999999999</v>
      </c>
      <c r="N563" s="6">
        <v>0</v>
      </c>
      <c r="O563" s="6">
        <v>11</v>
      </c>
      <c r="P563" s="6">
        <v>57</v>
      </c>
      <c r="Q563" s="6">
        <v>68</v>
      </c>
      <c r="R563" s="8"/>
      <c r="S563" s="8"/>
      <c r="T563" s="8"/>
      <c r="U563">
        <v>99</v>
      </c>
      <c r="W563">
        <v>821</v>
      </c>
    </row>
    <row r="564" spans="1:23">
      <c r="A564" s="3">
        <v>563</v>
      </c>
      <c r="B564" s="4">
        <v>40568</v>
      </c>
      <c r="C564" s="3">
        <v>1</v>
      </c>
      <c r="D564" s="3">
        <v>0</v>
      </c>
      <c r="E564" s="3" t="str">
        <f t="shared" si="28"/>
        <v>January</v>
      </c>
      <c r="F564" s="3">
        <v>15</v>
      </c>
      <c r="G564" s="3" t="b">
        <v>0</v>
      </c>
      <c r="H564" s="3" t="str">
        <f t="shared" si="30"/>
        <v>Tuesday</v>
      </c>
      <c r="I564" s="3">
        <v>2</v>
      </c>
      <c r="J564" s="3" t="str">
        <f t="shared" si="29"/>
        <v>Clear</v>
      </c>
      <c r="K564" s="3">
        <v>0.32</v>
      </c>
      <c r="L564" s="6">
        <v>0.42</v>
      </c>
      <c r="M564" s="6">
        <v>0.34849999999999998</v>
      </c>
      <c r="N564" s="6">
        <v>0</v>
      </c>
      <c r="O564" s="6">
        <v>21</v>
      </c>
      <c r="P564" s="6">
        <v>63</v>
      </c>
      <c r="Q564" s="6">
        <v>84</v>
      </c>
      <c r="R564" s="8"/>
      <c r="S564" s="8"/>
      <c r="T564" s="8"/>
      <c r="V564">
        <v>0</v>
      </c>
      <c r="W564">
        <v>99</v>
      </c>
    </row>
    <row r="565" spans="1:23">
      <c r="A565" s="3">
        <v>564</v>
      </c>
      <c r="B565" s="4">
        <v>40568</v>
      </c>
      <c r="C565" s="3">
        <v>1</v>
      </c>
      <c r="D565" s="3">
        <v>0</v>
      </c>
      <c r="E565" s="3" t="str">
        <f t="shared" si="28"/>
        <v>January</v>
      </c>
      <c r="F565" s="3">
        <v>16</v>
      </c>
      <c r="G565" s="3" t="b">
        <v>0</v>
      </c>
      <c r="H565" s="3" t="str">
        <f t="shared" si="30"/>
        <v>Tuesday</v>
      </c>
      <c r="I565" s="3">
        <v>2</v>
      </c>
      <c r="J565" s="3" t="str">
        <f t="shared" si="29"/>
        <v>Clear</v>
      </c>
      <c r="K565" s="3">
        <v>0.32</v>
      </c>
      <c r="L565" s="6">
        <v>0.42</v>
      </c>
      <c r="M565" s="6">
        <v>0.34849999999999998</v>
      </c>
      <c r="N565" s="6">
        <v>0</v>
      </c>
      <c r="O565" s="6">
        <v>14</v>
      </c>
      <c r="P565" s="6">
        <v>102</v>
      </c>
      <c r="Q565" s="6">
        <v>116</v>
      </c>
      <c r="R565" s="8"/>
      <c r="S565" s="8"/>
      <c r="T565" s="8"/>
      <c r="V565">
        <v>1</v>
      </c>
      <c r="W565">
        <v>196</v>
      </c>
    </row>
    <row r="566" spans="1:23">
      <c r="A566" s="3">
        <v>565</v>
      </c>
      <c r="B566" s="4">
        <v>40568</v>
      </c>
      <c r="C566" s="3">
        <v>1</v>
      </c>
      <c r="D566" s="3">
        <v>0</v>
      </c>
      <c r="E566" s="3" t="str">
        <f t="shared" si="28"/>
        <v>January</v>
      </c>
      <c r="F566" s="3">
        <v>17</v>
      </c>
      <c r="G566" s="3" t="b">
        <v>0</v>
      </c>
      <c r="H566" s="3" t="str">
        <f t="shared" si="30"/>
        <v>Tuesday</v>
      </c>
      <c r="I566" s="3">
        <v>2</v>
      </c>
      <c r="J566" s="3" t="str">
        <f t="shared" si="29"/>
        <v>Clear</v>
      </c>
      <c r="K566" s="3">
        <v>0.3</v>
      </c>
      <c r="L566" s="6">
        <v>0.45</v>
      </c>
      <c r="M566" s="6">
        <v>0.33329999999999999</v>
      </c>
      <c r="N566" s="6">
        <v>0</v>
      </c>
      <c r="O566" s="6">
        <v>14</v>
      </c>
      <c r="P566" s="6">
        <v>208</v>
      </c>
      <c r="Q566" s="6">
        <v>222</v>
      </c>
      <c r="R566" s="8"/>
      <c r="S566" s="8"/>
      <c r="T566" s="8"/>
      <c r="V566">
        <v>2</v>
      </c>
      <c r="W566">
        <v>97</v>
      </c>
    </row>
    <row r="567" spans="1:23">
      <c r="A567" s="3">
        <v>566</v>
      </c>
      <c r="B567" s="4">
        <v>40568</v>
      </c>
      <c r="C567" s="3">
        <v>1</v>
      </c>
      <c r="D567" s="3">
        <v>0</v>
      </c>
      <c r="E567" s="3" t="str">
        <f t="shared" si="28"/>
        <v>January</v>
      </c>
      <c r="F567" s="3">
        <v>18</v>
      </c>
      <c r="G567" s="3" t="b">
        <v>0</v>
      </c>
      <c r="H567" s="3" t="str">
        <f t="shared" si="30"/>
        <v>Tuesday</v>
      </c>
      <c r="I567" s="3">
        <v>2</v>
      </c>
      <c r="J567" s="3" t="str">
        <f t="shared" si="29"/>
        <v>Clear</v>
      </c>
      <c r="K567" s="3">
        <v>0.3</v>
      </c>
      <c r="L567" s="6">
        <v>0.49</v>
      </c>
      <c r="M567" s="6">
        <v>0.31819999999999998</v>
      </c>
      <c r="N567" s="6">
        <v>8.9599999999999999E-2</v>
      </c>
      <c r="O567" s="6">
        <v>7</v>
      </c>
      <c r="P567" s="6">
        <v>218</v>
      </c>
      <c r="Q567" s="6">
        <v>225</v>
      </c>
      <c r="R567" s="8"/>
      <c r="S567" s="8"/>
      <c r="T567" s="8"/>
      <c r="V567">
        <v>4</v>
      </c>
      <c r="W567">
        <v>95</v>
      </c>
    </row>
    <row r="568" spans="1:23">
      <c r="A568" s="3">
        <v>567</v>
      </c>
      <c r="B568" s="4">
        <v>40568</v>
      </c>
      <c r="C568" s="3">
        <v>1</v>
      </c>
      <c r="D568" s="3">
        <v>0</v>
      </c>
      <c r="E568" s="3" t="str">
        <f t="shared" si="28"/>
        <v>January</v>
      </c>
      <c r="F568" s="3">
        <v>19</v>
      </c>
      <c r="G568" s="3" t="b">
        <v>0</v>
      </c>
      <c r="H568" s="3" t="str">
        <f t="shared" si="30"/>
        <v>Tuesday</v>
      </c>
      <c r="I568" s="3">
        <v>2</v>
      </c>
      <c r="J568" s="3" t="str">
        <f t="shared" si="29"/>
        <v>Clear</v>
      </c>
      <c r="K568" s="3">
        <v>0.26</v>
      </c>
      <c r="L568" s="6">
        <v>0.65</v>
      </c>
      <c r="M568" s="6">
        <v>0.2576</v>
      </c>
      <c r="N568" s="6">
        <v>0.16420000000000001</v>
      </c>
      <c r="O568" s="6">
        <v>13</v>
      </c>
      <c r="P568" s="6">
        <v>133</v>
      </c>
      <c r="Q568" s="6">
        <v>146</v>
      </c>
      <c r="R568" s="8"/>
      <c r="S568" s="8"/>
      <c r="T568" s="8"/>
      <c r="V568">
        <v>8</v>
      </c>
      <c r="W568">
        <v>91</v>
      </c>
    </row>
    <row r="569" spans="1:23">
      <c r="A569" s="3">
        <v>568</v>
      </c>
      <c r="B569" s="4">
        <v>40568</v>
      </c>
      <c r="C569" s="3">
        <v>1</v>
      </c>
      <c r="D569" s="3">
        <v>0</v>
      </c>
      <c r="E569" s="3" t="str">
        <f t="shared" si="28"/>
        <v>January</v>
      </c>
      <c r="F569" s="3">
        <v>20</v>
      </c>
      <c r="G569" s="3" t="b">
        <v>0</v>
      </c>
      <c r="H569" s="3" t="str">
        <f t="shared" si="30"/>
        <v>Tuesday</v>
      </c>
      <c r="I569" s="3">
        <v>2</v>
      </c>
      <c r="J569" s="3" t="str">
        <f t="shared" si="29"/>
        <v>Foggy</v>
      </c>
      <c r="K569" s="3">
        <v>0.24</v>
      </c>
      <c r="L569" s="6">
        <v>0.65</v>
      </c>
      <c r="M569" s="6">
        <v>0.2273</v>
      </c>
      <c r="N569" s="6">
        <v>0.19400000000000001</v>
      </c>
      <c r="O569" s="6">
        <v>16</v>
      </c>
      <c r="P569" s="6">
        <v>103</v>
      </c>
      <c r="Q569" s="6">
        <v>119</v>
      </c>
      <c r="R569" s="8"/>
      <c r="S569" s="8"/>
      <c r="T569" s="8"/>
      <c r="V569">
        <v>10</v>
      </c>
      <c r="W569">
        <v>89</v>
      </c>
    </row>
    <row r="570" spans="1:23">
      <c r="A570" s="3">
        <v>569</v>
      </c>
      <c r="B570" s="4">
        <v>40568</v>
      </c>
      <c r="C570" s="3">
        <v>1</v>
      </c>
      <c r="D570" s="3">
        <v>0</v>
      </c>
      <c r="E570" s="3" t="str">
        <f t="shared" si="28"/>
        <v>January</v>
      </c>
      <c r="F570" s="3">
        <v>21</v>
      </c>
      <c r="G570" s="3" t="b">
        <v>0</v>
      </c>
      <c r="H570" s="3" t="str">
        <f t="shared" si="30"/>
        <v>Tuesday</v>
      </c>
      <c r="I570" s="3">
        <v>2</v>
      </c>
      <c r="J570" s="3" t="str">
        <f t="shared" si="29"/>
        <v>Foggy</v>
      </c>
      <c r="K570" s="3">
        <v>0.24</v>
      </c>
      <c r="L570" s="6">
        <v>0.65</v>
      </c>
      <c r="M570" s="6">
        <v>0.2273</v>
      </c>
      <c r="N570" s="6">
        <v>0.19400000000000001</v>
      </c>
      <c r="O570" s="6">
        <v>5</v>
      </c>
      <c r="P570" s="6">
        <v>40</v>
      </c>
      <c r="Q570" s="6">
        <v>45</v>
      </c>
      <c r="R570" s="8"/>
      <c r="S570" s="8"/>
      <c r="T570" s="8"/>
      <c r="V570">
        <v>22</v>
      </c>
      <c r="W570">
        <v>154</v>
      </c>
    </row>
    <row r="571" spans="1:23">
      <c r="A571" s="3">
        <v>570</v>
      </c>
      <c r="B571" s="4">
        <v>40568</v>
      </c>
      <c r="C571" s="3">
        <v>1</v>
      </c>
      <c r="D571" s="3">
        <v>0</v>
      </c>
      <c r="E571" s="3" t="str">
        <f t="shared" si="28"/>
        <v>January</v>
      </c>
      <c r="F571" s="3">
        <v>22</v>
      </c>
      <c r="G571" s="3" t="b">
        <v>0</v>
      </c>
      <c r="H571" s="3" t="str">
        <f t="shared" si="30"/>
        <v>Tuesday</v>
      </c>
      <c r="I571" s="3">
        <v>2</v>
      </c>
      <c r="J571" s="3" t="str">
        <f t="shared" si="29"/>
        <v>Foggy</v>
      </c>
      <c r="K571" s="3">
        <v>0.22</v>
      </c>
      <c r="L571" s="6">
        <v>0.64</v>
      </c>
      <c r="M571" s="6">
        <v>0.2273</v>
      </c>
      <c r="N571" s="6">
        <v>0.16420000000000001</v>
      </c>
      <c r="O571" s="6">
        <v>4</v>
      </c>
      <c r="P571" s="6">
        <v>49</v>
      </c>
      <c r="Q571" s="6">
        <v>53</v>
      </c>
      <c r="R571" s="8"/>
      <c r="S571" s="8"/>
      <c r="T571" s="8"/>
      <c r="U571">
        <v>100</v>
      </c>
      <c r="W571">
        <v>195</v>
      </c>
    </row>
    <row r="572" spans="1:23">
      <c r="A572" s="3">
        <v>571</v>
      </c>
      <c r="B572" s="4">
        <v>40568</v>
      </c>
      <c r="C572" s="3">
        <v>1</v>
      </c>
      <c r="D572" s="3">
        <v>0</v>
      </c>
      <c r="E572" s="3" t="str">
        <f t="shared" si="28"/>
        <v>January</v>
      </c>
      <c r="F572" s="3">
        <v>23</v>
      </c>
      <c r="G572" s="3" t="b">
        <v>0</v>
      </c>
      <c r="H572" s="3" t="str">
        <f t="shared" si="30"/>
        <v>Tuesday</v>
      </c>
      <c r="I572" s="3">
        <v>2</v>
      </c>
      <c r="J572" s="3" t="str">
        <f t="shared" si="29"/>
        <v>Foggy</v>
      </c>
      <c r="K572" s="3">
        <v>0.22</v>
      </c>
      <c r="L572" s="6">
        <v>0.64</v>
      </c>
      <c r="M572" s="6">
        <v>0.2273</v>
      </c>
      <c r="N572" s="6">
        <v>0.16420000000000001</v>
      </c>
      <c r="O572" s="6">
        <v>3</v>
      </c>
      <c r="P572" s="6">
        <v>37</v>
      </c>
      <c r="Q572" s="6">
        <v>40</v>
      </c>
      <c r="R572" s="8"/>
      <c r="S572" s="8"/>
      <c r="T572" s="8"/>
      <c r="V572">
        <v>2</v>
      </c>
      <c r="W572">
        <v>98</v>
      </c>
    </row>
    <row r="573" spans="1:23">
      <c r="A573" s="3">
        <v>572</v>
      </c>
      <c r="B573" s="4">
        <v>40569</v>
      </c>
      <c r="C573" s="3">
        <v>1</v>
      </c>
      <c r="D573" s="3">
        <v>0</v>
      </c>
      <c r="E573" s="3" t="str">
        <f t="shared" si="28"/>
        <v>January</v>
      </c>
      <c r="F573" s="3">
        <v>0</v>
      </c>
      <c r="G573" s="3" t="b">
        <v>0</v>
      </c>
      <c r="H573" s="3" t="str">
        <f t="shared" si="30"/>
        <v>Wednesday</v>
      </c>
      <c r="I573" s="3">
        <v>3</v>
      </c>
      <c r="J573" s="3" t="str">
        <f t="shared" si="29"/>
        <v>Foggy</v>
      </c>
      <c r="K573" s="3">
        <v>0.22</v>
      </c>
      <c r="L573" s="6">
        <v>0.69</v>
      </c>
      <c r="M573" s="6">
        <v>0.2273</v>
      </c>
      <c r="N573" s="6">
        <v>0.1343</v>
      </c>
      <c r="O573" s="6">
        <v>3</v>
      </c>
      <c r="P573" s="6">
        <v>14</v>
      </c>
      <c r="Q573" s="6">
        <v>17</v>
      </c>
      <c r="R573" s="8"/>
      <c r="S573" s="8"/>
      <c r="T573" s="8"/>
      <c r="V573">
        <v>3</v>
      </c>
      <c r="W573">
        <v>97</v>
      </c>
    </row>
    <row r="574" spans="1:23">
      <c r="A574" s="3">
        <v>573</v>
      </c>
      <c r="B574" s="4">
        <v>40569</v>
      </c>
      <c r="C574" s="3">
        <v>1</v>
      </c>
      <c r="D574" s="3">
        <v>0</v>
      </c>
      <c r="E574" s="3" t="str">
        <f t="shared" si="28"/>
        <v>January</v>
      </c>
      <c r="F574" s="3">
        <v>1</v>
      </c>
      <c r="G574" s="3" t="b">
        <v>0</v>
      </c>
      <c r="H574" s="3" t="str">
        <f t="shared" si="30"/>
        <v>Wednesday</v>
      </c>
      <c r="I574" s="3">
        <v>3</v>
      </c>
      <c r="J574" s="3" t="str">
        <f t="shared" si="29"/>
        <v>Foggy</v>
      </c>
      <c r="K574" s="3">
        <v>0.24</v>
      </c>
      <c r="L574" s="6">
        <v>0.65</v>
      </c>
      <c r="M574" s="6">
        <v>0.2424</v>
      </c>
      <c r="N574" s="6">
        <v>0.1343</v>
      </c>
      <c r="O574" s="6">
        <v>0</v>
      </c>
      <c r="P574" s="6">
        <v>5</v>
      </c>
      <c r="Q574" s="6">
        <v>5</v>
      </c>
      <c r="R574" s="8"/>
      <c r="S574" s="8"/>
      <c r="T574" s="8"/>
      <c r="U574">
        <v>101</v>
      </c>
      <c r="W574">
        <v>469</v>
      </c>
    </row>
    <row r="575" spans="1:23">
      <c r="A575" s="3">
        <v>574</v>
      </c>
      <c r="B575" s="4">
        <v>40569</v>
      </c>
      <c r="C575" s="3">
        <v>1</v>
      </c>
      <c r="D575" s="3">
        <v>0</v>
      </c>
      <c r="E575" s="3" t="str">
        <f t="shared" si="28"/>
        <v>January</v>
      </c>
      <c r="F575" s="3">
        <v>2</v>
      </c>
      <c r="G575" s="3" t="b">
        <v>0</v>
      </c>
      <c r="H575" s="3" t="str">
        <f t="shared" si="30"/>
        <v>Wednesday</v>
      </c>
      <c r="I575" s="3">
        <v>3</v>
      </c>
      <c r="J575" s="3" t="str">
        <f t="shared" si="29"/>
        <v>Foggy</v>
      </c>
      <c r="K575" s="3">
        <v>0.22</v>
      </c>
      <c r="L575" s="6">
        <v>0.69</v>
      </c>
      <c r="M575" s="6">
        <v>0.2273</v>
      </c>
      <c r="N575" s="6">
        <v>0.19400000000000001</v>
      </c>
      <c r="O575" s="6">
        <v>3</v>
      </c>
      <c r="P575" s="6">
        <v>7</v>
      </c>
      <c r="Q575" s="6">
        <v>10</v>
      </c>
      <c r="R575" s="8"/>
      <c r="S575" s="8"/>
      <c r="T575" s="8"/>
      <c r="V575">
        <v>1</v>
      </c>
      <c r="W575">
        <v>200</v>
      </c>
    </row>
    <row r="576" spans="1:23">
      <c r="A576" s="3">
        <v>575</v>
      </c>
      <c r="B576" s="4">
        <v>40569</v>
      </c>
      <c r="C576" s="3">
        <v>1</v>
      </c>
      <c r="D576" s="3">
        <v>0</v>
      </c>
      <c r="E576" s="3" t="str">
        <f t="shared" si="28"/>
        <v>January</v>
      </c>
      <c r="F576" s="3">
        <v>5</v>
      </c>
      <c r="G576" s="3" t="b">
        <v>0</v>
      </c>
      <c r="H576" s="3" t="str">
        <f t="shared" si="30"/>
        <v>Wednesday</v>
      </c>
      <c r="I576" s="3">
        <v>3</v>
      </c>
      <c r="J576" s="3" t="str">
        <f t="shared" si="29"/>
        <v>Foggy</v>
      </c>
      <c r="K576" s="3">
        <v>0.2</v>
      </c>
      <c r="L576" s="6">
        <v>0.86</v>
      </c>
      <c r="M576" s="6">
        <v>0.18179999999999999</v>
      </c>
      <c r="N576" s="6">
        <v>0.28360000000000002</v>
      </c>
      <c r="O576" s="6">
        <v>0</v>
      </c>
      <c r="P576" s="6">
        <v>1</v>
      </c>
      <c r="Q576" s="6">
        <v>1</v>
      </c>
      <c r="R576" s="8"/>
      <c r="S576" s="8"/>
      <c r="T576" s="8"/>
      <c r="V576">
        <v>6</v>
      </c>
      <c r="W576">
        <v>95</v>
      </c>
    </row>
    <row r="577" spans="1:23">
      <c r="A577" s="3">
        <v>576</v>
      </c>
      <c r="B577" s="4">
        <v>40569</v>
      </c>
      <c r="C577" s="3">
        <v>1</v>
      </c>
      <c r="D577" s="3">
        <v>0</v>
      </c>
      <c r="E577" s="3" t="str">
        <f t="shared" si="28"/>
        <v>January</v>
      </c>
      <c r="F577" s="3">
        <v>6</v>
      </c>
      <c r="G577" s="3" t="b">
        <v>0</v>
      </c>
      <c r="H577" s="3" t="str">
        <f t="shared" si="30"/>
        <v>Wednesday</v>
      </c>
      <c r="I577" s="3">
        <v>3</v>
      </c>
      <c r="J577" s="3" t="str">
        <f t="shared" si="29"/>
        <v>Foggy</v>
      </c>
      <c r="K577" s="3">
        <v>0.2</v>
      </c>
      <c r="L577" s="6">
        <v>0.86</v>
      </c>
      <c r="M577" s="6">
        <v>0.18179999999999999</v>
      </c>
      <c r="N577" s="6">
        <v>0.28360000000000002</v>
      </c>
      <c r="O577" s="6">
        <v>0</v>
      </c>
      <c r="P577" s="6">
        <v>8</v>
      </c>
      <c r="Q577" s="6">
        <v>8</v>
      </c>
      <c r="R577" s="8"/>
      <c r="S577" s="8"/>
      <c r="T577" s="8"/>
      <c r="V577">
        <v>7</v>
      </c>
      <c r="W577">
        <v>94</v>
      </c>
    </row>
    <row r="578" spans="1:23">
      <c r="A578" s="3">
        <v>577</v>
      </c>
      <c r="B578" s="4">
        <v>40569</v>
      </c>
      <c r="C578" s="3">
        <v>1</v>
      </c>
      <c r="D578" s="3">
        <v>0</v>
      </c>
      <c r="E578" s="3" t="str">
        <f t="shared" si="28"/>
        <v>January</v>
      </c>
      <c r="F578" s="3">
        <v>7</v>
      </c>
      <c r="G578" s="3" t="b">
        <v>0</v>
      </c>
      <c r="H578" s="3" t="str">
        <f t="shared" si="30"/>
        <v>Wednesday</v>
      </c>
      <c r="I578" s="3">
        <v>3</v>
      </c>
      <c r="J578" s="3" t="str">
        <f t="shared" si="29"/>
        <v>Foggy</v>
      </c>
      <c r="K578" s="3">
        <v>0.22</v>
      </c>
      <c r="L578" s="6">
        <v>0.87</v>
      </c>
      <c r="M578" s="6">
        <v>0.21210000000000001</v>
      </c>
      <c r="N578" s="6">
        <v>0.29849999999999999</v>
      </c>
      <c r="O578" s="6">
        <v>1</v>
      </c>
      <c r="P578" s="6">
        <v>29</v>
      </c>
      <c r="Q578" s="6">
        <v>30</v>
      </c>
      <c r="R578" s="8"/>
      <c r="S578" s="8"/>
      <c r="T578" s="8"/>
      <c r="V578">
        <v>21</v>
      </c>
      <c r="W578">
        <v>80</v>
      </c>
    </row>
    <row r="579" spans="1:23">
      <c r="A579" s="3">
        <v>578</v>
      </c>
      <c r="B579" s="4">
        <v>40569</v>
      </c>
      <c r="C579" s="3">
        <v>1</v>
      </c>
      <c r="D579" s="3">
        <v>0</v>
      </c>
      <c r="E579" s="3" t="str">
        <f t="shared" ref="E579:E642" si="31">TEXT(B579,"MMMM")</f>
        <v>January</v>
      </c>
      <c r="F579" s="3">
        <v>8</v>
      </c>
      <c r="G579" s="3" t="b">
        <v>0</v>
      </c>
      <c r="H579" s="3" t="str">
        <f t="shared" si="30"/>
        <v>Wednesday</v>
      </c>
      <c r="I579" s="3">
        <v>3</v>
      </c>
      <c r="J579" s="3" t="str">
        <f t="shared" si="29"/>
        <v>Foggy</v>
      </c>
      <c r="K579" s="3">
        <v>0.22</v>
      </c>
      <c r="L579" s="6">
        <v>0.87</v>
      </c>
      <c r="M579" s="6">
        <v>0.21210000000000001</v>
      </c>
      <c r="N579" s="6">
        <v>0.29849999999999999</v>
      </c>
      <c r="O579" s="6">
        <v>3</v>
      </c>
      <c r="P579" s="6">
        <v>69</v>
      </c>
      <c r="Q579" s="6">
        <v>72</v>
      </c>
      <c r="R579" s="8"/>
      <c r="S579" s="8"/>
      <c r="T579" s="8"/>
      <c r="U579">
        <v>102</v>
      </c>
      <c r="W579">
        <v>193</v>
      </c>
    </row>
    <row r="580" spans="1:23">
      <c r="A580" s="3">
        <v>579</v>
      </c>
      <c r="B580" s="4">
        <v>40569</v>
      </c>
      <c r="C580" s="3">
        <v>1</v>
      </c>
      <c r="D580" s="3">
        <v>0</v>
      </c>
      <c r="E580" s="3" t="str">
        <f t="shared" si="31"/>
        <v>January</v>
      </c>
      <c r="F580" s="3">
        <v>9</v>
      </c>
      <c r="G580" s="3" t="b">
        <v>0</v>
      </c>
      <c r="H580" s="3" t="str">
        <f t="shared" si="30"/>
        <v>Wednesday</v>
      </c>
      <c r="I580" s="3">
        <v>3</v>
      </c>
      <c r="J580" s="3" t="str">
        <f t="shared" si="29"/>
        <v>Foggy</v>
      </c>
      <c r="K580" s="3">
        <v>0.22</v>
      </c>
      <c r="L580" s="6">
        <v>0.87</v>
      </c>
      <c r="M580" s="6">
        <v>0.21210000000000001</v>
      </c>
      <c r="N580" s="6">
        <v>0.29849999999999999</v>
      </c>
      <c r="O580" s="6">
        <v>3</v>
      </c>
      <c r="P580" s="6">
        <v>55</v>
      </c>
      <c r="Q580" s="6">
        <v>58</v>
      </c>
      <c r="R580" s="8"/>
      <c r="S580" s="8"/>
      <c r="T580" s="8"/>
      <c r="V580">
        <v>4</v>
      </c>
      <c r="W580">
        <v>98</v>
      </c>
    </row>
    <row r="581" spans="1:23">
      <c r="A581" s="3">
        <v>580</v>
      </c>
      <c r="B581" s="4">
        <v>40569</v>
      </c>
      <c r="C581" s="3">
        <v>1</v>
      </c>
      <c r="D581" s="3">
        <v>0</v>
      </c>
      <c r="E581" s="3" t="str">
        <f t="shared" si="31"/>
        <v>January</v>
      </c>
      <c r="F581" s="3">
        <v>10</v>
      </c>
      <c r="G581" s="3" t="b">
        <v>0</v>
      </c>
      <c r="H581" s="3" t="str">
        <f t="shared" si="30"/>
        <v>Wednesday</v>
      </c>
      <c r="I581" s="3">
        <v>3</v>
      </c>
      <c r="J581" s="3" t="str">
        <f t="shared" si="29"/>
        <v>Foggy</v>
      </c>
      <c r="K581" s="3">
        <v>0.22</v>
      </c>
      <c r="L581" s="6">
        <v>0.93</v>
      </c>
      <c r="M581" s="6">
        <v>0.21210000000000001</v>
      </c>
      <c r="N581" s="6">
        <v>0.28360000000000002</v>
      </c>
      <c r="O581" s="6">
        <v>2</v>
      </c>
      <c r="P581" s="6">
        <v>26</v>
      </c>
      <c r="Q581" s="6">
        <v>28</v>
      </c>
      <c r="R581" s="8"/>
      <c r="S581" s="8"/>
      <c r="T581" s="8"/>
      <c r="V581">
        <v>7</v>
      </c>
      <c r="W581">
        <v>95</v>
      </c>
    </row>
    <row r="582" spans="1:23">
      <c r="A582" s="3">
        <v>581</v>
      </c>
      <c r="B582" s="4">
        <v>40569</v>
      </c>
      <c r="C582" s="3">
        <v>1</v>
      </c>
      <c r="D582" s="3">
        <v>0</v>
      </c>
      <c r="E582" s="3" t="str">
        <f t="shared" si="31"/>
        <v>January</v>
      </c>
      <c r="F582" s="3">
        <v>11</v>
      </c>
      <c r="G582" s="3" t="b">
        <v>0</v>
      </c>
      <c r="H582" s="3" t="str">
        <f t="shared" si="30"/>
        <v>Wednesday</v>
      </c>
      <c r="I582" s="3">
        <v>3</v>
      </c>
      <c r="J582" s="3" t="str">
        <f t="shared" si="29"/>
        <v>Foggy</v>
      </c>
      <c r="K582" s="3">
        <v>0.22</v>
      </c>
      <c r="L582" s="6">
        <v>0.93</v>
      </c>
      <c r="M582" s="6">
        <v>0.19700000000000001</v>
      </c>
      <c r="N582" s="6">
        <v>0.32840000000000003</v>
      </c>
      <c r="O582" s="6">
        <v>6</v>
      </c>
      <c r="P582" s="6">
        <v>35</v>
      </c>
      <c r="Q582" s="6">
        <v>41</v>
      </c>
      <c r="R582" s="8"/>
      <c r="S582" s="8"/>
      <c r="T582" s="8"/>
      <c r="U582">
        <v>103</v>
      </c>
      <c r="W582">
        <v>290</v>
      </c>
    </row>
    <row r="583" spans="1:23">
      <c r="A583" s="3">
        <v>582</v>
      </c>
      <c r="B583" s="4">
        <v>40569</v>
      </c>
      <c r="C583" s="3">
        <v>1</v>
      </c>
      <c r="D583" s="3">
        <v>0</v>
      </c>
      <c r="E583" s="3" t="str">
        <f t="shared" si="31"/>
        <v>January</v>
      </c>
      <c r="F583" s="3">
        <v>12</v>
      </c>
      <c r="G583" s="3" t="b">
        <v>0</v>
      </c>
      <c r="H583" s="3" t="str">
        <f t="shared" si="30"/>
        <v>Wednesday</v>
      </c>
      <c r="I583" s="3">
        <v>3</v>
      </c>
      <c r="J583" s="3" t="str">
        <f t="shared" ref="J583:J646" si="32">IF($K583&lt;=0.24,"Foggy",IF($K583&gt;0.24,"Clear"))</f>
        <v>Foggy</v>
      </c>
      <c r="K583" s="3">
        <v>0.22</v>
      </c>
      <c r="L583" s="6">
        <v>0.93</v>
      </c>
      <c r="M583" s="6">
        <v>0.19700000000000001</v>
      </c>
      <c r="N583" s="6">
        <v>0.32840000000000003</v>
      </c>
      <c r="O583" s="6">
        <v>7</v>
      </c>
      <c r="P583" s="6">
        <v>41</v>
      </c>
      <c r="Q583" s="6">
        <v>48</v>
      </c>
      <c r="R583" s="8"/>
      <c r="S583" s="8"/>
      <c r="T583" s="8"/>
      <c r="V583">
        <v>1</v>
      </c>
      <c r="W583">
        <v>102</v>
      </c>
    </row>
    <row r="584" spans="1:23">
      <c r="A584" s="3">
        <v>583</v>
      </c>
      <c r="B584" s="4">
        <v>40569</v>
      </c>
      <c r="C584" s="3">
        <v>1</v>
      </c>
      <c r="D584" s="3">
        <v>0</v>
      </c>
      <c r="E584" s="3" t="str">
        <f t="shared" si="31"/>
        <v>January</v>
      </c>
      <c r="F584" s="3">
        <v>13</v>
      </c>
      <c r="G584" s="3" t="b">
        <v>0</v>
      </c>
      <c r="H584" s="3" t="str">
        <f t="shared" si="30"/>
        <v>Wednesday</v>
      </c>
      <c r="I584" s="3">
        <v>3</v>
      </c>
      <c r="J584" s="3" t="str">
        <f t="shared" si="32"/>
        <v>Foggy</v>
      </c>
      <c r="K584" s="3">
        <v>0.22</v>
      </c>
      <c r="L584" s="6">
        <v>0.93</v>
      </c>
      <c r="M584" s="6">
        <v>0.19700000000000001</v>
      </c>
      <c r="N584" s="6">
        <v>0.32840000000000003</v>
      </c>
      <c r="O584" s="6">
        <v>4</v>
      </c>
      <c r="P584" s="6">
        <v>43</v>
      </c>
      <c r="Q584" s="6">
        <v>47</v>
      </c>
      <c r="R584" s="8"/>
      <c r="S584" s="8"/>
      <c r="T584" s="8"/>
      <c r="V584">
        <v>8</v>
      </c>
      <c r="W584">
        <v>95</v>
      </c>
    </row>
    <row r="585" spans="1:23">
      <c r="A585" s="3">
        <v>584</v>
      </c>
      <c r="B585" s="4">
        <v>40569</v>
      </c>
      <c r="C585" s="3">
        <v>1</v>
      </c>
      <c r="D585" s="3">
        <v>0</v>
      </c>
      <c r="E585" s="3" t="str">
        <f t="shared" si="31"/>
        <v>January</v>
      </c>
      <c r="F585" s="3">
        <v>14</v>
      </c>
      <c r="G585" s="3" t="b">
        <v>0</v>
      </c>
      <c r="H585" s="3" t="str">
        <f t="shared" ref="H585:H648" si="33">TEXT(B585,"dddd")</f>
        <v>Wednesday</v>
      </c>
      <c r="I585" s="3">
        <v>3</v>
      </c>
      <c r="J585" s="3" t="str">
        <f t="shared" si="32"/>
        <v>Foggy</v>
      </c>
      <c r="K585" s="3">
        <v>0.22</v>
      </c>
      <c r="L585" s="6">
        <v>0.93</v>
      </c>
      <c r="M585" s="6">
        <v>0.19700000000000001</v>
      </c>
      <c r="N585" s="6">
        <v>0.35820000000000002</v>
      </c>
      <c r="O585" s="6">
        <v>0</v>
      </c>
      <c r="P585" s="6">
        <v>36</v>
      </c>
      <c r="Q585" s="6">
        <v>36</v>
      </c>
      <c r="R585" s="8"/>
      <c r="S585" s="8"/>
      <c r="T585" s="8"/>
      <c r="V585">
        <v>10</v>
      </c>
      <c r="W585">
        <v>93</v>
      </c>
    </row>
    <row r="586" spans="1:23">
      <c r="A586" s="3">
        <v>585</v>
      </c>
      <c r="B586" s="4">
        <v>40569</v>
      </c>
      <c r="C586" s="3">
        <v>1</v>
      </c>
      <c r="D586" s="3">
        <v>0</v>
      </c>
      <c r="E586" s="3" t="str">
        <f t="shared" si="31"/>
        <v>January</v>
      </c>
      <c r="F586" s="3">
        <v>15</v>
      </c>
      <c r="G586" s="3" t="b">
        <v>0</v>
      </c>
      <c r="H586" s="3" t="str">
        <f t="shared" si="33"/>
        <v>Wednesday</v>
      </c>
      <c r="I586" s="3">
        <v>3</v>
      </c>
      <c r="J586" s="3" t="str">
        <f t="shared" si="32"/>
        <v>Foggy</v>
      </c>
      <c r="K586" s="3">
        <v>0.22</v>
      </c>
      <c r="L586" s="6">
        <v>0.93</v>
      </c>
      <c r="M586" s="6">
        <v>0.18179999999999999</v>
      </c>
      <c r="N586" s="6">
        <v>0.4627</v>
      </c>
      <c r="O586" s="6">
        <v>1</v>
      </c>
      <c r="P586" s="6">
        <v>42</v>
      </c>
      <c r="Q586" s="6">
        <v>43</v>
      </c>
      <c r="R586" s="8"/>
      <c r="S586" s="8"/>
      <c r="T586" s="8"/>
      <c r="U586">
        <v>104</v>
      </c>
      <c r="W586">
        <v>270</v>
      </c>
    </row>
    <row r="587" spans="1:23">
      <c r="A587" s="3">
        <v>586</v>
      </c>
      <c r="B587" s="4">
        <v>40569</v>
      </c>
      <c r="C587" s="3">
        <v>1</v>
      </c>
      <c r="D587" s="3">
        <v>0</v>
      </c>
      <c r="E587" s="3" t="str">
        <f t="shared" si="31"/>
        <v>January</v>
      </c>
      <c r="F587" s="3">
        <v>16</v>
      </c>
      <c r="G587" s="3" t="b">
        <v>0</v>
      </c>
      <c r="H587" s="3" t="str">
        <f t="shared" si="33"/>
        <v>Wednesday</v>
      </c>
      <c r="I587" s="3">
        <v>3</v>
      </c>
      <c r="J587" s="3" t="str">
        <f t="shared" si="32"/>
        <v>Foggy</v>
      </c>
      <c r="K587" s="3">
        <v>0.22</v>
      </c>
      <c r="L587" s="6">
        <v>0.93</v>
      </c>
      <c r="M587" s="6">
        <v>0.19700000000000001</v>
      </c>
      <c r="N587" s="6">
        <v>0.32840000000000003</v>
      </c>
      <c r="O587" s="6">
        <v>1</v>
      </c>
      <c r="P587" s="6">
        <v>35</v>
      </c>
      <c r="Q587" s="6">
        <v>36</v>
      </c>
      <c r="R587" s="8"/>
      <c r="S587" s="8"/>
      <c r="T587" s="8"/>
      <c r="V587">
        <v>3</v>
      </c>
      <c r="W587">
        <v>101</v>
      </c>
    </row>
    <row r="588" spans="1:23">
      <c r="A588" s="3">
        <v>587</v>
      </c>
      <c r="B588" s="4">
        <v>40569</v>
      </c>
      <c r="C588" s="3">
        <v>1</v>
      </c>
      <c r="D588" s="3">
        <v>0</v>
      </c>
      <c r="E588" s="3" t="str">
        <f t="shared" si="31"/>
        <v>January</v>
      </c>
      <c r="F588" s="3">
        <v>17</v>
      </c>
      <c r="G588" s="3" t="b">
        <v>0</v>
      </c>
      <c r="H588" s="3" t="str">
        <f t="shared" si="33"/>
        <v>Wednesday</v>
      </c>
      <c r="I588" s="3">
        <v>3</v>
      </c>
      <c r="J588" s="3" t="str">
        <f t="shared" si="32"/>
        <v>Foggy</v>
      </c>
      <c r="K588" s="3">
        <v>0.2</v>
      </c>
      <c r="L588" s="6">
        <v>0.93</v>
      </c>
      <c r="M588" s="6">
        <v>0.18179999999999999</v>
      </c>
      <c r="N588" s="6">
        <v>0.35820000000000002</v>
      </c>
      <c r="O588" s="6">
        <v>0</v>
      </c>
      <c r="P588" s="6">
        <v>26</v>
      </c>
      <c r="Q588" s="6">
        <v>26</v>
      </c>
      <c r="R588" s="8"/>
      <c r="S588" s="8"/>
      <c r="T588" s="8"/>
      <c r="V588">
        <v>10</v>
      </c>
      <c r="W588">
        <v>94</v>
      </c>
    </row>
    <row r="589" spans="1:23">
      <c r="A589" s="3">
        <v>588</v>
      </c>
      <c r="B589" s="4">
        <v>40570</v>
      </c>
      <c r="C589" s="3">
        <v>1</v>
      </c>
      <c r="D589" s="3">
        <v>0</v>
      </c>
      <c r="E589" s="3" t="str">
        <f t="shared" si="31"/>
        <v>January</v>
      </c>
      <c r="F589" s="3">
        <v>16</v>
      </c>
      <c r="G589" s="3" t="b">
        <v>0</v>
      </c>
      <c r="H589" s="3" t="str">
        <f t="shared" si="33"/>
        <v>Thursday</v>
      </c>
      <c r="I589" s="3">
        <v>4</v>
      </c>
      <c r="J589" s="3" t="str">
        <f t="shared" si="32"/>
        <v>Foggy</v>
      </c>
      <c r="K589" s="3">
        <v>0.22</v>
      </c>
      <c r="L589" s="6">
        <v>0.55000000000000004</v>
      </c>
      <c r="M589" s="6">
        <v>0.2273</v>
      </c>
      <c r="N589" s="6">
        <v>0.19400000000000001</v>
      </c>
      <c r="O589" s="6">
        <v>1</v>
      </c>
      <c r="P589" s="6">
        <v>23</v>
      </c>
      <c r="Q589" s="6">
        <v>24</v>
      </c>
      <c r="R589" s="8"/>
      <c r="S589" s="8"/>
      <c r="T589" s="8"/>
      <c r="V589">
        <v>29</v>
      </c>
      <c r="W589">
        <v>75</v>
      </c>
    </row>
    <row r="590" spans="1:23">
      <c r="A590" s="3">
        <v>589</v>
      </c>
      <c r="B590" s="4">
        <v>40570</v>
      </c>
      <c r="C590" s="3">
        <v>1</v>
      </c>
      <c r="D590" s="3">
        <v>0</v>
      </c>
      <c r="E590" s="3" t="str">
        <f t="shared" si="31"/>
        <v>January</v>
      </c>
      <c r="F590" s="3">
        <v>17</v>
      </c>
      <c r="G590" s="3" t="b">
        <v>0</v>
      </c>
      <c r="H590" s="3" t="str">
        <f t="shared" si="33"/>
        <v>Thursday</v>
      </c>
      <c r="I590" s="3">
        <v>4</v>
      </c>
      <c r="J590" s="3" t="str">
        <f t="shared" si="32"/>
        <v>Foggy</v>
      </c>
      <c r="K590" s="3">
        <v>0.22</v>
      </c>
      <c r="L590" s="6">
        <v>0.55000000000000004</v>
      </c>
      <c r="M590" s="6">
        <v>0.2424</v>
      </c>
      <c r="N590" s="6">
        <v>0.1045</v>
      </c>
      <c r="O590" s="6">
        <v>2</v>
      </c>
      <c r="P590" s="6">
        <v>82</v>
      </c>
      <c r="Q590" s="6">
        <v>84</v>
      </c>
      <c r="R590" s="8"/>
      <c r="S590" s="8"/>
      <c r="T590" s="8"/>
      <c r="U590">
        <v>105</v>
      </c>
      <c r="W590">
        <v>168</v>
      </c>
    </row>
    <row r="591" spans="1:23">
      <c r="A591" s="3">
        <v>590</v>
      </c>
      <c r="B591" s="4">
        <v>40570</v>
      </c>
      <c r="C591" s="3">
        <v>1</v>
      </c>
      <c r="D591" s="3">
        <v>0</v>
      </c>
      <c r="E591" s="3" t="str">
        <f t="shared" si="31"/>
        <v>January</v>
      </c>
      <c r="F591" s="3">
        <v>18</v>
      </c>
      <c r="G591" s="3" t="b">
        <v>0</v>
      </c>
      <c r="H591" s="3" t="str">
        <f t="shared" si="33"/>
        <v>Thursday</v>
      </c>
      <c r="I591" s="3">
        <v>4</v>
      </c>
      <c r="J591" s="3" t="str">
        <f t="shared" si="32"/>
        <v>Foggy</v>
      </c>
      <c r="K591" s="3">
        <v>0.2</v>
      </c>
      <c r="L591" s="6">
        <v>0.69</v>
      </c>
      <c r="M591" s="6">
        <v>0.2273</v>
      </c>
      <c r="N591" s="6">
        <v>8.9599999999999999E-2</v>
      </c>
      <c r="O591" s="6">
        <v>3</v>
      </c>
      <c r="P591" s="6">
        <v>101</v>
      </c>
      <c r="Q591" s="6">
        <v>104</v>
      </c>
      <c r="R591" s="8"/>
      <c r="S591" s="8"/>
      <c r="T591" s="8"/>
      <c r="V591">
        <v>19</v>
      </c>
      <c r="W591">
        <v>86</v>
      </c>
    </row>
    <row r="592" spans="1:23">
      <c r="A592" s="3">
        <v>591</v>
      </c>
      <c r="B592" s="4">
        <v>40570</v>
      </c>
      <c r="C592" s="3">
        <v>1</v>
      </c>
      <c r="D592" s="3">
        <v>0</v>
      </c>
      <c r="E592" s="3" t="str">
        <f t="shared" si="31"/>
        <v>January</v>
      </c>
      <c r="F592" s="3">
        <v>19</v>
      </c>
      <c r="G592" s="3" t="b">
        <v>0</v>
      </c>
      <c r="H592" s="3" t="str">
        <f t="shared" si="33"/>
        <v>Thursday</v>
      </c>
      <c r="I592" s="3">
        <v>4</v>
      </c>
      <c r="J592" s="3" t="str">
        <f t="shared" si="32"/>
        <v>Foggy</v>
      </c>
      <c r="K592" s="3">
        <v>0.2</v>
      </c>
      <c r="L592" s="6">
        <v>0.69</v>
      </c>
      <c r="M592" s="6">
        <v>0.2273</v>
      </c>
      <c r="N592" s="6">
        <v>8.9599999999999999E-2</v>
      </c>
      <c r="O592" s="6">
        <v>3</v>
      </c>
      <c r="P592" s="6">
        <v>76</v>
      </c>
      <c r="Q592" s="6">
        <v>79</v>
      </c>
      <c r="R592" s="8"/>
      <c r="S592" s="8"/>
      <c r="T592" s="8"/>
      <c r="V592">
        <v>23</v>
      </c>
      <c r="W592">
        <v>82</v>
      </c>
    </row>
    <row r="593" spans="1:23">
      <c r="A593" s="3">
        <v>592</v>
      </c>
      <c r="B593" s="4">
        <v>40570</v>
      </c>
      <c r="C593" s="3">
        <v>1</v>
      </c>
      <c r="D593" s="3">
        <v>0</v>
      </c>
      <c r="E593" s="3" t="str">
        <f t="shared" si="31"/>
        <v>January</v>
      </c>
      <c r="F593" s="3">
        <v>20</v>
      </c>
      <c r="G593" s="3" t="b">
        <v>0</v>
      </c>
      <c r="H593" s="3" t="str">
        <f t="shared" si="33"/>
        <v>Thursday</v>
      </c>
      <c r="I593" s="3">
        <v>4</v>
      </c>
      <c r="J593" s="3" t="str">
        <f t="shared" si="32"/>
        <v>Foggy</v>
      </c>
      <c r="K593" s="3">
        <v>0.18</v>
      </c>
      <c r="L593" s="6">
        <v>0.74</v>
      </c>
      <c r="M593" s="6">
        <v>0.21210000000000001</v>
      </c>
      <c r="N593" s="6">
        <v>8.9599999999999999E-2</v>
      </c>
      <c r="O593" s="6">
        <v>4</v>
      </c>
      <c r="P593" s="6">
        <v>55</v>
      </c>
      <c r="Q593" s="6">
        <v>59</v>
      </c>
      <c r="R593" s="8"/>
      <c r="S593" s="8"/>
      <c r="T593" s="8"/>
      <c r="U593">
        <v>106</v>
      </c>
      <c r="W593">
        <v>257</v>
      </c>
    </row>
    <row r="594" spans="1:23">
      <c r="A594" s="3">
        <v>593</v>
      </c>
      <c r="B594" s="4">
        <v>40570</v>
      </c>
      <c r="C594" s="3">
        <v>1</v>
      </c>
      <c r="D594" s="3">
        <v>0</v>
      </c>
      <c r="E594" s="3" t="str">
        <f t="shared" si="31"/>
        <v>January</v>
      </c>
      <c r="F594" s="3">
        <v>21</v>
      </c>
      <c r="G594" s="3" t="b">
        <v>0</v>
      </c>
      <c r="H594" s="3" t="str">
        <f t="shared" si="33"/>
        <v>Thursday</v>
      </c>
      <c r="I594" s="3">
        <v>4</v>
      </c>
      <c r="J594" s="3" t="str">
        <f t="shared" si="32"/>
        <v>Foggy</v>
      </c>
      <c r="K594" s="3">
        <v>0.18</v>
      </c>
      <c r="L594" s="6">
        <v>0.74</v>
      </c>
      <c r="M594" s="6">
        <v>0.21210000000000001</v>
      </c>
      <c r="N594" s="6">
        <v>8.9599999999999999E-2</v>
      </c>
      <c r="O594" s="6">
        <v>2</v>
      </c>
      <c r="P594" s="6">
        <v>36</v>
      </c>
      <c r="Q594" s="6">
        <v>38</v>
      </c>
      <c r="R594" s="8"/>
      <c r="S594" s="8"/>
      <c r="T594" s="8"/>
      <c r="V594">
        <v>5</v>
      </c>
      <c r="W594">
        <v>101</v>
      </c>
    </row>
    <row r="595" spans="1:23">
      <c r="A595" s="3">
        <v>594</v>
      </c>
      <c r="B595" s="4">
        <v>40570</v>
      </c>
      <c r="C595" s="3">
        <v>1</v>
      </c>
      <c r="D595" s="3">
        <v>0</v>
      </c>
      <c r="E595" s="3" t="str">
        <f t="shared" si="31"/>
        <v>January</v>
      </c>
      <c r="F595" s="3">
        <v>22</v>
      </c>
      <c r="G595" s="3" t="b">
        <v>0</v>
      </c>
      <c r="H595" s="3" t="str">
        <f t="shared" si="33"/>
        <v>Thursday</v>
      </c>
      <c r="I595" s="3">
        <v>4</v>
      </c>
      <c r="J595" s="3" t="str">
        <f t="shared" si="32"/>
        <v>Foggy</v>
      </c>
      <c r="K595" s="3">
        <v>0.18</v>
      </c>
      <c r="L595" s="6">
        <v>0.74</v>
      </c>
      <c r="M595" s="6">
        <v>0.21210000000000001</v>
      </c>
      <c r="N595" s="6">
        <v>8.9599999999999999E-2</v>
      </c>
      <c r="O595" s="6">
        <v>0</v>
      </c>
      <c r="P595" s="6">
        <v>27</v>
      </c>
      <c r="Q595" s="6">
        <v>27</v>
      </c>
      <c r="R595" s="8"/>
      <c r="S595" s="8"/>
      <c r="T595" s="8"/>
      <c r="V595">
        <v>21</v>
      </c>
      <c r="W595">
        <v>85</v>
      </c>
    </row>
    <row r="596" spans="1:23">
      <c r="A596" s="3">
        <v>595</v>
      </c>
      <c r="B596" s="4">
        <v>40570</v>
      </c>
      <c r="C596" s="3">
        <v>1</v>
      </c>
      <c r="D596" s="3">
        <v>0</v>
      </c>
      <c r="E596" s="3" t="str">
        <f t="shared" si="31"/>
        <v>January</v>
      </c>
      <c r="F596" s="3">
        <v>23</v>
      </c>
      <c r="G596" s="3" t="b">
        <v>0</v>
      </c>
      <c r="H596" s="3" t="str">
        <f t="shared" si="33"/>
        <v>Thursday</v>
      </c>
      <c r="I596" s="3">
        <v>4</v>
      </c>
      <c r="J596" s="3" t="str">
        <f t="shared" si="32"/>
        <v>Foggy</v>
      </c>
      <c r="K596" s="3">
        <v>0.18</v>
      </c>
      <c r="L596" s="6">
        <v>0.8</v>
      </c>
      <c r="M596" s="6">
        <v>0.19700000000000001</v>
      </c>
      <c r="N596" s="6">
        <v>0.16420000000000001</v>
      </c>
      <c r="O596" s="6">
        <v>0</v>
      </c>
      <c r="P596" s="6">
        <v>16</v>
      </c>
      <c r="Q596" s="6">
        <v>16</v>
      </c>
      <c r="R596" s="8"/>
      <c r="S596" s="8"/>
      <c r="T596" s="8"/>
      <c r="V596">
        <v>35</v>
      </c>
      <c r="W596">
        <v>71</v>
      </c>
    </row>
    <row r="597" spans="1:23">
      <c r="A597" s="3">
        <v>596</v>
      </c>
      <c r="B597" s="4">
        <v>40571</v>
      </c>
      <c r="C597" s="3">
        <v>1</v>
      </c>
      <c r="D597" s="3">
        <v>0</v>
      </c>
      <c r="E597" s="3" t="str">
        <f t="shared" si="31"/>
        <v>January</v>
      </c>
      <c r="F597" s="3">
        <v>0</v>
      </c>
      <c r="G597" s="3" t="b">
        <v>0</v>
      </c>
      <c r="H597" s="3" t="str">
        <f t="shared" si="33"/>
        <v>Friday</v>
      </c>
      <c r="I597" s="3">
        <v>5</v>
      </c>
      <c r="J597" s="3" t="str">
        <f t="shared" si="32"/>
        <v>Foggy</v>
      </c>
      <c r="K597" s="3">
        <v>0.2</v>
      </c>
      <c r="L597" s="6">
        <v>0.75</v>
      </c>
      <c r="M597" s="6">
        <v>0.21210000000000001</v>
      </c>
      <c r="N597" s="6">
        <v>0.1343</v>
      </c>
      <c r="O597" s="6">
        <v>0</v>
      </c>
      <c r="P597" s="6">
        <v>9</v>
      </c>
      <c r="Q597" s="6">
        <v>9</v>
      </c>
      <c r="R597" s="8"/>
      <c r="S597" s="8"/>
      <c r="T597" s="8"/>
      <c r="U597">
        <v>107</v>
      </c>
      <c r="W597">
        <v>88</v>
      </c>
    </row>
    <row r="598" spans="1:23">
      <c r="A598" s="3">
        <v>597</v>
      </c>
      <c r="B598" s="4">
        <v>40571</v>
      </c>
      <c r="C598" s="3">
        <v>1</v>
      </c>
      <c r="D598" s="3">
        <v>0</v>
      </c>
      <c r="E598" s="3" t="str">
        <f t="shared" si="31"/>
        <v>January</v>
      </c>
      <c r="F598" s="3">
        <v>1</v>
      </c>
      <c r="G598" s="3" t="b">
        <v>0</v>
      </c>
      <c r="H598" s="3" t="str">
        <f t="shared" si="33"/>
        <v>Friday</v>
      </c>
      <c r="I598" s="3">
        <v>5</v>
      </c>
      <c r="J598" s="3" t="str">
        <f t="shared" si="32"/>
        <v>Foggy</v>
      </c>
      <c r="K598" s="3">
        <v>0.2</v>
      </c>
      <c r="L598" s="6">
        <v>0.75</v>
      </c>
      <c r="M598" s="6">
        <v>0.21210000000000001</v>
      </c>
      <c r="N598" s="6">
        <v>0.1343</v>
      </c>
      <c r="O598" s="6">
        <v>1</v>
      </c>
      <c r="P598" s="6">
        <v>2</v>
      </c>
      <c r="Q598" s="6">
        <v>3</v>
      </c>
      <c r="R598" s="8"/>
      <c r="S598" s="8"/>
      <c r="T598" s="8"/>
      <c r="V598">
        <v>19</v>
      </c>
      <c r="W598">
        <v>88</v>
      </c>
    </row>
    <row r="599" spans="1:23">
      <c r="A599" s="3">
        <v>598</v>
      </c>
      <c r="B599" s="4">
        <v>40571</v>
      </c>
      <c r="C599" s="3">
        <v>1</v>
      </c>
      <c r="D599" s="3">
        <v>0</v>
      </c>
      <c r="E599" s="3" t="str">
        <f t="shared" si="31"/>
        <v>January</v>
      </c>
      <c r="F599" s="3">
        <v>2</v>
      </c>
      <c r="G599" s="3" t="b">
        <v>0</v>
      </c>
      <c r="H599" s="3" t="str">
        <f t="shared" si="33"/>
        <v>Friday</v>
      </c>
      <c r="I599" s="3">
        <v>5</v>
      </c>
      <c r="J599" s="3" t="str">
        <f t="shared" si="32"/>
        <v>Foggy</v>
      </c>
      <c r="K599" s="3">
        <v>0.2</v>
      </c>
      <c r="L599" s="6">
        <v>0.75</v>
      </c>
      <c r="M599" s="6">
        <v>0.21210000000000001</v>
      </c>
      <c r="N599" s="6">
        <v>0.16420000000000001</v>
      </c>
      <c r="O599" s="6">
        <v>0</v>
      </c>
      <c r="P599" s="6">
        <v>2</v>
      </c>
      <c r="Q599" s="6">
        <v>2</v>
      </c>
      <c r="R599" s="8"/>
      <c r="S599" s="8"/>
      <c r="T599" s="8"/>
      <c r="U599">
        <v>108</v>
      </c>
      <c r="W599">
        <v>208</v>
      </c>
    </row>
    <row r="600" spans="1:23">
      <c r="A600" s="3">
        <v>599</v>
      </c>
      <c r="B600" s="4">
        <v>40571</v>
      </c>
      <c r="C600" s="3">
        <v>1</v>
      </c>
      <c r="D600" s="3">
        <v>0</v>
      </c>
      <c r="E600" s="3" t="str">
        <f t="shared" si="31"/>
        <v>January</v>
      </c>
      <c r="F600" s="3">
        <v>3</v>
      </c>
      <c r="G600" s="3" t="b">
        <v>0</v>
      </c>
      <c r="H600" s="3" t="str">
        <f t="shared" si="33"/>
        <v>Friday</v>
      </c>
      <c r="I600" s="3">
        <v>5</v>
      </c>
      <c r="J600" s="3" t="str">
        <f t="shared" si="32"/>
        <v>Foggy</v>
      </c>
      <c r="K600" s="3">
        <v>0.2</v>
      </c>
      <c r="L600" s="6">
        <v>0.75</v>
      </c>
      <c r="M600" s="6">
        <v>0.2273</v>
      </c>
      <c r="N600" s="6">
        <v>0.1045</v>
      </c>
      <c r="O600" s="6">
        <v>1</v>
      </c>
      <c r="P600" s="6">
        <v>0</v>
      </c>
      <c r="Q600" s="6">
        <v>1</v>
      </c>
      <c r="R600" s="8"/>
      <c r="S600" s="8"/>
      <c r="T600" s="8"/>
      <c r="V600">
        <v>3</v>
      </c>
      <c r="W600">
        <v>105</v>
      </c>
    </row>
    <row r="601" spans="1:23">
      <c r="A601" s="3">
        <v>600</v>
      </c>
      <c r="B601" s="4">
        <v>40571</v>
      </c>
      <c r="C601" s="3">
        <v>1</v>
      </c>
      <c r="D601" s="3">
        <v>0</v>
      </c>
      <c r="E601" s="3" t="str">
        <f t="shared" si="31"/>
        <v>January</v>
      </c>
      <c r="F601" s="3">
        <v>5</v>
      </c>
      <c r="G601" s="3" t="b">
        <v>0</v>
      </c>
      <c r="H601" s="3" t="str">
        <f t="shared" si="33"/>
        <v>Friday</v>
      </c>
      <c r="I601" s="3">
        <v>5</v>
      </c>
      <c r="J601" s="3" t="str">
        <f t="shared" si="32"/>
        <v>Foggy</v>
      </c>
      <c r="K601" s="3">
        <v>0.18</v>
      </c>
      <c r="L601" s="6">
        <v>0.8</v>
      </c>
      <c r="M601" s="6">
        <v>0.21210000000000001</v>
      </c>
      <c r="N601" s="6">
        <v>0.1045</v>
      </c>
      <c r="O601" s="6">
        <v>0</v>
      </c>
      <c r="P601" s="6">
        <v>4</v>
      </c>
      <c r="Q601" s="6">
        <v>4</v>
      </c>
      <c r="R601" s="8"/>
      <c r="S601" s="8"/>
      <c r="T601" s="8"/>
      <c r="V601">
        <v>5</v>
      </c>
      <c r="W601">
        <v>103</v>
      </c>
    </row>
    <row r="602" spans="1:23">
      <c r="A602" s="3">
        <v>601</v>
      </c>
      <c r="B602" s="4">
        <v>40571</v>
      </c>
      <c r="C602" s="3">
        <v>1</v>
      </c>
      <c r="D602" s="3">
        <v>0</v>
      </c>
      <c r="E602" s="3" t="str">
        <f t="shared" si="31"/>
        <v>January</v>
      </c>
      <c r="F602" s="3">
        <v>6</v>
      </c>
      <c r="G602" s="3" t="b">
        <v>0</v>
      </c>
      <c r="H602" s="3" t="str">
        <f t="shared" si="33"/>
        <v>Friday</v>
      </c>
      <c r="I602" s="3">
        <v>5</v>
      </c>
      <c r="J602" s="3" t="str">
        <f t="shared" si="32"/>
        <v>Foggy</v>
      </c>
      <c r="K602" s="3">
        <v>0.18</v>
      </c>
      <c r="L602" s="6">
        <v>0.8</v>
      </c>
      <c r="M602" s="6">
        <v>0.19700000000000001</v>
      </c>
      <c r="N602" s="6">
        <v>0.1343</v>
      </c>
      <c r="O602" s="6">
        <v>0</v>
      </c>
      <c r="P602" s="6">
        <v>16</v>
      </c>
      <c r="Q602" s="6">
        <v>16</v>
      </c>
      <c r="R602" s="8"/>
      <c r="S602" s="8"/>
      <c r="T602" s="8"/>
      <c r="U602">
        <v>109</v>
      </c>
      <c r="W602">
        <v>417</v>
      </c>
    </row>
    <row r="603" spans="1:23">
      <c r="A603" s="3">
        <v>602</v>
      </c>
      <c r="B603" s="4">
        <v>40571</v>
      </c>
      <c r="C603" s="3">
        <v>1</v>
      </c>
      <c r="D603" s="3">
        <v>0</v>
      </c>
      <c r="E603" s="3" t="str">
        <f t="shared" si="31"/>
        <v>January</v>
      </c>
      <c r="F603" s="3">
        <v>7</v>
      </c>
      <c r="G603" s="3" t="b">
        <v>0</v>
      </c>
      <c r="H603" s="3" t="str">
        <f t="shared" si="33"/>
        <v>Friday</v>
      </c>
      <c r="I603" s="3">
        <v>5</v>
      </c>
      <c r="J603" s="3" t="str">
        <f t="shared" si="32"/>
        <v>Foggy</v>
      </c>
      <c r="K603" s="3">
        <v>0.16</v>
      </c>
      <c r="L603" s="6">
        <v>0.86</v>
      </c>
      <c r="M603" s="6">
        <v>0.19700000000000001</v>
      </c>
      <c r="N603" s="6">
        <v>8.9599999999999999E-2</v>
      </c>
      <c r="O603" s="6">
        <v>2</v>
      </c>
      <c r="P603" s="6">
        <v>58</v>
      </c>
      <c r="Q603" s="6">
        <v>60</v>
      </c>
      <c r="R603" s="8"/>
      <c r="S603" s="8"/>
      <c r="T603" s="8"/>
      <c r="V603">
        <v>1</v>
      </c>
      <c r="W603">
        <v>108</v>
      </c>
    </row>
    <row r="604" spans="1:23">
      <c r="A604" s="3">
        <v>603</v>
      </c>
      <c r="B604" s="4">
        <v>40571</v>
      </c>
      <c r="C604" s="3">
        <v>1</v>
      </c>
      <c r="D604" s="3">
        <v>0</v>
      </c>
      <c r="E604" s="3" t="str">
        <f t="shared" si="31"/>
        <v>January</v>
      </c>
      <c r="F604" s="3">
        <v>8</v>
      </c>
      <c r="G604" s="3" t="b">
        <v>0</v>
      </c>
      <c r="H604" s="3" t="str">
        <f t="shared" si="33"/>
        <v>Friday</v>
      </c>
      <c r="I604" s="3">
        <v>5</v>
      </c>
      <c r="J604" s="3" t="str">
        <f t="shared" si="32"/>
        <v>Foggy</v>
      </c>
      <c r="K604" s="3">
        <v>0.16</v>
      </c>
      <c r="L604" s="6">
        <v>0.86</v>
      </c>
      <c r="M604" s="6">
        <v>0.19700000000000001</v>
      </c>
      <c r="N604" s="6">
        <v>8.9599999999999999E-2</v>
      </c>
      <c r="O604" s="6">
        <v>2</v>
      </c>
      <c r="P604" s="6">
        <v>155</v>
      </c>
      <c r="Q604" s="6">
        <v>157</v>
      </c>
      <c r="R604" s="8"/>
      <c r="S604" s="8"/>
      <c r="T604" s="8"/>
      <c r="V604">
        <v>2</v>
      </c>
      <c r="W604">
        <v>214</v>
      </c>
    </row>
    <row r="605" spans="1:23">
      <c r="A605" s="3">
        <v>604</v>
      </c>
      <c r="B605" s="4">
        <v>40571</v>
      </c>
      <c r="C605" s="3">
        <v>1</v>
      </c>
      <c r="D605" s="3">
        <v>0</v>
      </c>
      <c r="E605" s="3" t="str">
        <f t="shared" si="31"/>
        <v>January</v>
      </c>
      <c r="F605" s="3">
        <v>9</v>
      </c>
      <c r="G605" s="3" t="b">
        <v>0</v>
      </c>
      <c r="H605" s="3" t="str">
        <f t="shared" si="33"/>
        <v>Friday</v>
      </c>
      <c r="I605" s="3">
        <v>5</v>
      </c>
      <c r="J605" s="3" t="str">
        <f t="shared" si="32"/>
        <v>Foggy</v>
      </c>
      <c r="K605" s="3">
        <v>0.18</v>
      </c>
      <c r="L605" s="6">
        <v>0.86</v>
      </c>
      <c r="M605" s="6">
        <v>0.21210000000000001</v>
      </c>
      <c r="N605" s="6">
        <v>8.9599999999999999E-2</v>
      </c>
      <c r="O605" s="6">
        <v>6</v>
      </c>
      <c r="P605" s="6">
        <v>95</v>
      </c>
      <c r="Q605" s="6">
        <v>101</v>
      </c>
      <c r="R605" s="8"/>
      <c r="S605" s="8"/>
      <c r="T605" s="8"/>
      <c r="V605">
        <v>14</v>
      </c>
      <c r="W605">
        <v>95</v>
      </c>
    </row>
    <row r="606" spans="1:23">
      <c r="A606" s="3">
        <v>605</v>
      </c>
      <c r="B606" s="4">
        <v>40571</v>
      </c>
      <c r="C606" s="3">
        <v>1</v>
      </c>
      <c r="D606" s="3">
        <v>0</v>
      </c>
      <c r="E606" s="3" t="str">
        <f t="shared" si="31"/>
        <v>January</v>
      </c>
      <c r="F606" s="3">
        <v>10</v>
      </c>
      <c r="G606" s="3" t="b">
        <v>0</v>
      </c>
      <c r="H606" s="3" t="str">
        <f t="shared" si="33"/>
        <v>Friday</v>
      </c>
      <c r="I606" s="3">
        <v>5</v>
      </c>
      <c r="J606" s="3" t="str">
        <f t="shared" si="32"/>
        <v>Foggy</v>
      </c>
      <c r="K606" s="3">
        <v>0.18</v>
      </c>
      <c r="L606" s="6">
        <v>0.86</v>
      </c>
      <c r="M606" s="6">
        <v>0.21210000000000001</v>
      </c>
      <c r="N606" s="6">
        <v>0.1045</v>
      </c>
      <c r="O606" s="6">
        <v>0</v>
      </c>
      <c r="P606" s="6">
        <v>49</v>
      </c>
      <c r="Q606" s="6">
        <v>49</v>
      </c>
      <c r="R606" s="8"/>
      <c r="S606" s="8"/>
      <c r="T606" s="8"/>
      <c r="U606">
        <v>110</v>
      </c>
      <c r="W606">
        <v>354</v>
      </c>
    </row>
    <row r="607" spans="1:23">
      <c r="A607" s="3">
        <v>606</v>
      </c>
      <c r="B607" s="4">
        <v>40571</v>
      </c>
      <c r="C607" s="3">
        <v>1</v>
      </c>
      <c r="D607" s="3">
        <v>0</v>
      </c>
      <c r="E607" s="3" t="str">
        <f t="shared" si="31"/>
        <v>January</v>
      </c>
      <c r="F607" s="3">
        <v>11</v>
      </c>
      <c r="G607" s="3" t="b">
        <v>0</v>
      </c>
      <c r="H607" s="3" t="str">
        <f t="shared" si="33"/>
        <v>Friday</v>
      </c>
      <c r="I607" s="3">
        <v>5</v>
      </c>
      <c r="J607" s="3" t="str">
        <f t="shared" si="32"/>
        <v>Foggy</v>
      </c>
      <c r="K607" s="3">
        <v>0.18</v>
      </c>
      <c r="L607" s="6">
        <v>0.93</v>
      </c>
      <c r="M607" s="6">
        <v>0.21210000000000001</v>
      </c>
      <c r="N607" s="6">
        <v>0.1045</v>
      </c>
      <c r="O607" s="6">
        <v>0</v>
      </c>
      <c r="P607" s="6">
        <v>30</v>
      </c>
      <c r="Q607" s="6">
        <v>30</v>
      </c>
      <c r="R607" s="8"/>
      <c r="S607" s="8"/>
      <c r="T607" s="8"/>
      <c r="V607">
        <v>8</v>
      </c>
      <c r="W607">
        <v>102</v>
      </c>
    </row>
    <row r="608" spans="1:23">
      <c r="A608" s="3">
        <v>607</v>
      </c>
      <c r="B608" s="4">
        <v>40571</v>
      </c>
      <c r="C608" s="3">
        <v>1</v>
      </c>
      <c r="D608" s="3">
        <v>0</v>
      </c>
      <c r="E608" s="3" t="str">
        <f t="shared" si="31"/>
        <v>January</v>
      </c>
      <c r="F608" s="3">
        <v>12</v>
      </c>
      <c r="G608" s="3" t="b">
        <v>0</v>
      </c>
      <c r="H608" s="3" t="str">
        <f t="shared" si="33"/>
        <v>Friday</v>
      </c>
      <c r="I608" s="3">
        <v>5</v>
      </c>
      <c r="J608" s="3" t="str">
        <f t="shared" si="32"/>
        <v>Foggy</v>
      </c>
      <c r="K608" s="3">
        <v>0.18</v>
      </c>
      <c r="L608" s="6">
        <v>0.93</v>
      </c>
      <c r="M608" s="6">
        <v>0.21210000000000001</v>
      </c>
      <c r="N608" s="6">
        <v>0.1045</v>
      </c>
      <c r="O608" s="6">
        <v>1</v>
      </c>
      <c r="P608" s="6">
        <v>28</v>
      </c>
      <c r="Q608" s="6">
        <v>29</v>
      </c>
      <c r="R608" s="8"/>
      <c r="S608" s="8"/>
      <c r="T608" s="8"/>
      <c r="V608">
        <v>17</v>
      </c>
      <c r="W608">
        <v>93</v>
      </c>
    </row>
    <row r="609" spans="1:23">
      <c r="A609" s="3">
        <v>608</v>
      </c>
      <c r="B609" s="4">
        <v>40571</v>
      </c>
      <c r="C609" s="3">
        <v>1</v>
      </c>
      <c r="D609" s="3">
        <v>0</v>
      </c>
      <c r="E609" s="3" t="str">
        <f t="shared" si="31"/>
        <v>January</v>
      </c>
      <c r="F609" s="3">
        <v>13</v>
      </c>
      <c r="G609" s="3" t="b">
        <v>0</v>
      </c>
      <c r="H609" s="3" t="str">
        <f t="shared" si="33"/>
        <v>Friday</v>
      </c>
      <c r="I609" s="3">
        <v>5</v>
      </c>
      <c r="J609" s="3" t="str">
        <f t="shared" si="32"/>
        <v>Foggy</v>
      </c>
      <c r="K609" s="3">
        <v>0.18</v>
      </c>
      <c r="L609" s="6">
        <v>0.93</v>
      </c>
      <c r="M609" s="6">
        <v>0.21210000000000001</v>
      </c>
      <c r="N609" s="6">
        <v>0.1045</v>
      </c>
      <c r="O609" s="6">
        <v>0</v>
      </c>
      <c r="P609" s="6">
        <v>31</v>
      </c>
      <c r="Q609" s="6">
        <v>31</v>
      </c>
      <c r="R609" s="8"/>
      <c r="S609" s="8"/>
      <c r="T609" s="8"/>
      <c r="V609">
        <v>21</v>
      </c>
      <c r="W609">
        <v>89</v>
      </c>
    </row>
    <row r="610" spans="1:23">
      <c r="A610" s="3">
        <v>609</v>
      </c>
      <c r="B610" s="4">
        <v>40571</v>
      </c>
      <c r="C610" s="3">
        <v>1</v>
      </c>
      <c r="D610" s="3">
        <v>0</v>
      </c>
      <c r="E610" s="3" t="str">
        <f t="shared" si="31"/>
        <v>January</v>
      </c>
      <c r="F610" s="3">
        <v>14</v>
      </c>
      <c r="G610" s="3" t="b">
        <v>0</v>
      </c>
      <c r="H610" s="3" t="str">
        <f t="shared" si="33"/>
        <v>Friday</v>
      </c>
      <c r="I610" s="3">
        <v>5</v>
      </c>
      <c r="J610" s="3" t="str">
        <f t="shared" si="32"/>
        <v>Foggy</v>
      </c>
      <c r="K610" s="3">
        <v>0.22</v>
      </c>
      <c r="L610" s="6">
        <v>0.8</v>
      </c>
      <c r="M610" s="6">
        <v>0.2727</v>
      </c>
      <c r="N610" s="6">
        <v>0</v>
      </c>
      <c r="O610" s="6">
        <v>2</v>
      </c>
      <c r="P610" s="6">
        <v>36</v>
      </c>
      <c r="Q610" s="6">
        <v>38</v>
      </c>
      <c r="R610" s="8"/>
      <c r="S610" s="8"/>
      <c r="T610" s="8"/>
      <c r="V610">
        <v>40</v>
      </c>
      <c r="W610">
        <v>70</v>
      </c>
    </row>
    <row r="611" spans="1:23">
      <c r="A611" s="3">
        <v>610</v>
      </c>
      <c r="B611" s="4">
        <v>40571</v>
      </c>
      <c r="C611" s="3">
        <v>1</v>
      </c>
      <c r="D611" s="3">
        <v>0</v>
      </c>
      <c r="E611" s="3" t="str">
        <f t="shared" si="31"/>
        <v>January</v>
      </c>
      <c r="F611" s="3">
        <v>15</v>
      </c>
      <c r="G611" s="3" t="b">
        <v>0</v>
      </c>
      <c r="H611" s="3" t="str">
        <f t="shared" si="33"/>
        <v>Friday</v>
      </c>
      <c r="I611" s="3">
        <v>5</v>
      </c>
      <c r="J611" s="3" t="str">
        <f t="shared" si="32"/>
        <v>Foggy</v>
      </c>
      <c r="K611" s="3">
        <v>0.2</v>
      </c>
      <c r="L611" s="6">
        <v>0.86</v>
      </c>
      <c r="M611" s="6">
        <v>0.2576</v>
      </c>
      <c r="N611" s="6">
        <v>0</v>
      </c>
      <c r="O611" s="6">
        <v>1</v>
      </c>
      <c r="P611" s="6">
        <v>40</v>
      </c>
      <c r="Q611" s="6">
        <v>41</v>
      </c>
      <c r="R611" s="8"/>
      <c r="S611" s="8"/>
      <c r="T611" s="8"/>
      <c r="U611">
        <v>111</v>
      </c>
      <c r="W611">
        <v>108</v>
      </c>
    </row>
    <row r="612" spans="1:23">
      <c r="A612" s="9">
        <v>611</v>
      </c>
      <c r="B612" s="10">
        <v>40571</v>
      </c>
      <c r="C612" s="9">
        <v>1</v>
      </c>
      <c r="D612" s="9">
        <v>0</v>
      </c>
      <c r="E612" s="3" t="str">
        <f t="shared" si="31"/>
        <v>January</v>
      </c>
      <c r="F612" s="9">
        <v>16</v>
      </c>
      <c r="G612" s="3" t="b">
        <v>0</v>
      </c>
      <c r="H612" s="3" t="str">
        <f t="shared" si="33"/>
        <v>Friday</v>
      </c>
      <c r="I612" s="9">
        <v>5</v>
      </c>
      <c r="J612" s="3" t="str">
        <f t="shared" si="32"/>
        <v>Foggy</v>
      </c>
      <c r="K612" s="9">
        <v>0.22</v>
      </c>
      <c r="L612" s="9">
        <v>0.2727</v>
      </c>
      <c r="M612" s="9">
        <v>0.8</v>
      </c>
      <c r="N612" s="9">
        <v>0</v>
      </c>
      <c r="O612" s="9">
        <v>10</v>
      </c>
      <c r="P612" s="9">
        <v>70</v>
      </c>
      <c r="Q612" s="9">
        <v>80</v>
      </c>
      <c r="R612" s="8"/>
      <c r="S612" s="8"/>
      <c r="T612" s="8"/>
      <c r="V612">
        <v>3</v>
      </c>
      <c r="W612">
        <v>108</v>
      </c>
    </row>
    <row r="613" spans="1:23">
      <c r="A613" s="9">
        <v>612</v>
      </c>
      <c r="B613" s="10">
        <v>40571</v>
      </c>
      <c r="C613" s="9">
        <v>1</v>
      </c>
      <c r="D613" s="9">
        <v>0</v>
      </c>
      <c r="E613" s="3" t="str">
        <f t="shared" si="31"/>
        <v>January</v>
      </c>
      <c r="F613" s="9">
        <v>17</v>
      </c>
      <c r="G613" s="3" t="b">
        <v>0</v>
      </c>
      <c r="H613" s="3" t="str">
        <f t="shared" si="33"/>
        <v>Friday</v>
      </c>
      <c r="I613" s="9">
        <v>5</v>
      </c>
      <c r="J613" s="3" t="str">
        <f t="shared" si="32"/>
        <v>Foggy</v>
      </c>
      <c r="K613" s="9">
        <v>0.24</v>
      </c>
      <c r="L613" s="9">
        <v>0.2424</v>
      </c>
      <c r="M613" s="9">
        <v>0.75</v>
      </c>
      <c r="N613" s="9">
        <v>0.1343</v>
      </c>
      <c r="O613" s="9">
        <v>2</v>
      </c>
      <c r="P613" s="9">
        <v>147</v>
      </c>
      <c r="Q613" s="9">
        <v>149</v>
      </c>
      <c r="U613">
        <v>112</v>
      </c>
      <c r="W613">
        <v>635</v>
      </c>
    </row>
    <row r="614" spans="1:23">
      <c r="A614" s="9">
        <v>613</v>
      </c>
      <c r="B614" s="10">
        <v>40571</v>
      </c>
      <c r="C614" s="9">
        <v>1</v>
      </c>
      <c r="D614" s="9">
        <v>0</v>
      </c>
      <c r="E614" s="3" t="str">
        <f t="shared" si="31"/>
        <v>January</v>
      </c>
      <c r="F614" s="9">
        <v>18</v>
      </c>
      <c r="G614" s="3" t="b">
        <v>0</v>
      </c>
      <c r="H614" s="3" t="str">
        <f t="shared" si="33"/>
        <v>Friday</v>
      </c>
      <c r="I614" s="9">
        <v>5</v>
      </c>
      <c r="J614" s="3" t="str">
        <f t="shared" si="32"/>
        <v>Foggy</v>
      </c>
      <c r="K614" s="9">
        <v>0.24</v>
      </c>
      <c r="L614" s="9">
        <v>0.2273</v>
      </c>
      <c r="M614" s="9">
        <v>0.75</v>
      </c>
      <c r="N614" s="9">
        <v>0.19400000000000001</v>
      </c>
      <c r="O614" s="9">
        <v>2</v>
      </c>
      <c r="P614" s="9">
        <v>107</v>
      </c>
      <c r="Q614" s="9">
        <v>109</v>
      </c>
      <c r="V614">
        <v>0</v>
      </c>
      <c r="W614">
        <v>112</v>
      </c>
    </row>
    <row r="615" spans="1:23">
      <c r="A615" s="9">
        <v>614</v>
      </c>
      <c r="B615" s="10">
        <v>40571</v>
      </c>
      <c r="C615" s="9">
        <v>1</v>
      </c>
      <c r="D615" s="9">
        <v>0</v>
      </c>
      <c r="E615" s="3" t="str">
        <f t="shared" si="31"/>
        <v>January</v>
      </c>
      <c r="F615" s="9">
        <v>19</v>
      </c>
      <c r="G615" s="3" t="b">
        <v>0</v>
      </c>
      <c r="H615" s="3" t="str">
        <f t="shared" si="33"/>
        <v>Friday</v>
      </c>
      <c r="I615" s="9">
        <v>5</v>
      </c>
      <c r="J615" s="3" t="str">
        <f t="shared" si="32"/>
        <v>Foggy</v>
      </c>
      <c r="K615" s="9">
        <v>0.24</v>
      </c>
      <c r="L615" s="9">
        <v>0.2424</v>
      </c>
      <c r="M615" s="9">
        <v>0.75</v>
      </c>
      <c r="N615" s="9">
        <v>0.1343</v>
      </c>
      <c r="O615" s="9">
        <v>5</v>
      </c>
      <c r="P615" s="9">
        <v>84</v>
      </c>
      <c r="Q615" s="9">
        <v>89</v>
      </c>
      <c r="V615">
        <v>2</v>
      </c>
      <c r="W615">
        <v>220</v>
      </c>
    </row>
    <row r="616" spans="1:23">
      <c r="A616" s="9">
        <v>615</v>
      </c>
      <c r="B616" s="10">
        <v>40571</v>
      </c>
      <c r="C616" s="9">
        <v>1</v>
      </c>
      <c r="D616" s="9">
        <v>0</v>
      </c>
      <c r="E616" s="3" t="str">
        <f t="shared" si="31"/>
        <v>January</v>
      </c>
      <c r="F616" s="9">
        <v>20</v>
      </c>
      <c r="G616" s="3" t="b">
        <v>0</v>
      </c>
      <c r="H616" s="3" t="str">
        <f t="shared" si="33"/>
        <v>Friday</v>
      </c>
      <c r="I616" s="9">
        <v>5</v>
      </c>
      <c r="J616" s="3" t="str">
        <f t="shared" si="32"/>
        <v>Foggy</v>
      </c>
      <c r="K616" s="9">
        <v>0.24</v>
      </c>
      <c r="L616" s="9">
        <v>0.2273</v>
      </c>
      <c r="M616" s="9">
        <v>0.7</v>
      </c>
      <c r="N616" s="9">
        <v>0.19400000000000001</v>
      </c>
      <c r="O616" s="9">
        <v>1</v>
      </c>
      <c r="P616" s="9">
        <v>61</v>
      </c>
      <c r="Q616" s="9">
        <v>62</v>
      </c>
      <c r="V616">
        <v>3</v>
      </c>
      <c r="W616">
        <v>109</v>
      </c>
    </row>
    <row r="617" spans="1:23">
      <c r="A617" s="9">
        <v>616</v>
      </c>
      <c r="B617" s="10">
        <v>40571</v>
      </c>
      <c r="C617" s="9">
        <v>1</v>
      </c>
      <c r="D617" s="9">
        <v>0</v>
      </c>
      <c r="E617" s="3" t="str">
        <f t="shared" si="31"/>
        <v>January</v>
      </c>
      <c r="F617" s="9">
        <v>21</v>
      </c>
      <c r="G617" s="3" t="b">
        <v>0</v>
      </c>
      <c r="H617" s="3" t="str">
        <f t="shared" si="33"/>
        <v>Friday</v>
      </c>
      <c r="I617" s="9">
        <v>5</v>
      </c>
      <c r="J617" s="3" t="str">
        <f t="shared" si="32"/>
        <v>Foggy</v>
      </c>
      <c r="K617" s="9">
        <v>0.22</v>
      </c>
      <c r="L617" s="9">
        <v>0.2273</v>
      </c>
      <c r="M617" s="9">
        <v>0.75</v>
      </c>
      <c r="N617" s="9">
        <v>0.1343</v>
      </c>
      <c r="O617" s="9">
        <v>1</v>
      </c>
      <c r="P617" s="9">
        <v>57</v>
      </c>
      <c r="Q617" s="9">
        <v>58</v>
      </c>
      <c r="V617">
        <v>4</v>
      </c>
      <c r="W617">
        <v>108</v>
      </c>
    </row>
    <row r="618" spans="1:23">
      <c r="A618" s="9">
        <v>617</v>
      </c>
      <c r="B618" s="10">
        <v>40571</v>
      </c>
      <c r="C618" s="9">
        <v>1</v>
      </c>
      <c r="D618" s="9">
        <v>0</v>
      </c>
      <c r="E618" s="3" t="str">
        <f t="shared" si="31"/>
        <v>January</v>
      </c>
      <c r="F618" s="9">
        <v>22</v>
      </c>
      <c r="G618" s="3" t="b">
        <v>0</v>
      </c>
      <c r="H618" s="3" t="str">
        <f t="shared" si="33"/>
        <v>Friday</v>
      </c>
      <c r="I618" s="9">
        <v>5</v>
      </c>
      <c r="J618" s="3" t="str">
        <f t="shared" si="32"/>
        <v>Foggy</v>
      </c>
      <c r="K618" s="9">
        <v>0.24</v>
      </c>
      <c r="L618" s="9">
        <v>0.21210000000000001</v>
      </c>
      <c r="M618" s="9">
        <v>0.65</v>
      </c>
      <c r="N618" s="9">
        <v>0.35820000000000002</v>
      </c>
      <c r="O618" s="9">
        <v>0</v>
      </c>
      <c r="P618" s="9">
        <v>26</v>
      </c>
      <c r="Q618" s="9">
        <v>26</v>
      </c>
      <c r="V618">
        <v>26</v>
      </c>
      <c r="W618">
        <v>86</v>
      </c>
    </row>
    <row r="619" spans="1:23">
      <c r="A619" s="9">
        <v>618</v>
      </c>
      <c r="B619" s="10">
        <v>40571</v>
      </c>
      <c r="C619" s="9">
        <v>1</v>
      </c>
      <c r="D619" s="9">
        <v>0</v>
      </c>
      <c r="E619" s="3" t="str">
        <f t="shared" si="31"/>
        <v>January</v>
      </c>
      <c r="F619" s="9">
        <v>23</v>
      </c>
      <c r="G619" s="3" t="b">
        <v>0</v>
      </c>
      <c r="H619" s="3" t="str">
        <f t="shared" si="33"/>
        <v>Friday</v>
      </c>
      <c r="I619" s="9">
        <v>5</v>
      </c>
      <c r="J619" s="3" t="str">
        <f t="shared" si="32"/>
        <v>Foggy</v>
      </c>
      <c r="K619" s="9">
        <v>0.24</v>
      </c>
      <c r="L619" s="9">
        <v>0.2273</v>
      </c>
      <c r="M619" s="9">
        <v>0.6</v>
      </c>
      <c r="N619" s="9">
        <v>0.22389999999999999</v>
      </c>
      <c r="O619" s="9">
        <v>1</v>
      </c>
      <c r="P619" s="9">
        <v>22</v>
      </c>
      <c r="Q619" s="9">
        <v>23</v>
      </c>
      <c r="U619">
        <v>113</v>
      </c>
      <c r="W619">
        <v>78</v>
      </c>
    </row>
    <row r="620" spans="1:23">
      <c r="A620" s="9">
        <v>619</v>
      </c>
      <c r="B620" s="10">
        <v>40572</v>
      </c>
      <c r="C620" s="9">
        <v>1</v>
      </c>
      <c r="D620" s="9">
        <v>0</v>
      </c>
      <c r="E620" s="3" t="str">
        <f t="shared" si="31"/>
        <v>January</v>
      </c>
      <c r="F620" s="9">
        <v>0</v>
      </c>
      <c r="G620" s="3" t="b">
        <v>0</v>
      </c>
      <c r="H620" s="3" t="str">
        <f t="shared" si="33"/>
        <v>Saturday</v>
      </c>
      <c r="I620" s="9">
        <v>6</v>
      </c>
      <c r="J620" s="3" t="str">
        <f t="shared" si="32"/>
        <v>Foggy</v>
      </c>
      <c r="K620" s="9">
        <v>0.22</v>
      </c>
      <c r="L620" s="9">
        <v>0.19700000000000001</v>
      </c>
      <c r="M620" s="9">
        <v>0.64</v>
      </c>
      <c r="N620" s="9">
        <v>0.35820000000000002</v>
      </c>
      <c r="O620" s="9">
        <v>2</v>
      </c>
      <c r="P620" s="9">
        <v>26</v>
      </c>
      <c r="Q620" s="9">
        <v>28</v>
      </c>
      <c r="V620">
        <v>35</v>
      </c>
      <c r="W620">
        <v>78</v>
      </c>
    </row>
    <row r="621" spans="1:23">
      <c r="A621" s="9">
        <v>620</v>
      </c>
      <c r="B621" s="10">
        <v>40572</v>
      </c>
      <c r="C621" s="9">
        <v>1</v>
      </c>
      <c r="D621" s="9">
        <v>0</v>
      </c>
      <c r="E621" s="3" t="str">
        <f t="shared" si="31"/>
        <v>January</v>
      </c>
      <c r="F621" s="9">
        <v>1</v>
      </c>
      <c r="G621" s="3" t="b">
        <v>0</v>
      </c>
      <c r="H621" s="3" t="str">
        <f t="shared" si="33"/>
        <v>Saturday</v>
      </c>
      <c r="I621" s="9">
        <v>6</v>
      </c>
      <c r="J621" s="3" t="str">
        <f t="shared" si="32"/>
        <v>Foggy</v>
      </c>
      <c r="K621" s="9">
        <v>0.22</v>
      </c>
      <c r="L621" s="9">
        <v>0.2273</v>
      </c>
      <c r="M621" s="9">
        <v>0.64</v>
      </c>
      <c r="N621" s="9">
        <v>0.19400000000000001</v>
      </c>
      <c r="O621" s="9">
        <v>0</v>
      </c>
      <c r="P621" s="9">
        <v>20</v>
      </c>
      <c r="Q621" s="9">
        <v>20</v>
      </c>
      <c r="U621">
        <v>114</v>
      </c>
      <c r="W621">
        <v>182</v>
      </c>
    </row>
    <row r="622" spans="1:23">
      <c r="A622" s="9">
        <v>621</v>
      </c>
      <c r="B622" s="10">
        <v>40572</v>
      </c>
      <c r="C622" s="9">
        <v>1</v>
      </c>
      <c r="D622" s="9">
        <v>0</v>
      </c>
      <c r="E622" s="3" t="str">
        <f t="shared" si="31"/>
        <v>January</v>
      </c>
      <c r="F622" s="9">
        <v>2</v>
      </c>
      <c r="G622" s="3" t="b">
        <v>0</v>
      </c>
      <c r="H622" s="3" t="str">
        <f t="shared" si="33"/>
        <v>Saturday</v>
      </c>
      <c r="I622" s="9">
        <v>6</v>
      </c>
      <c r="J622" s="3" t="str">
        <f t="shared" si="32"/>
        <v>Foggy</v>
      </c>
      <c r="K622" s="9">
        <v>0.22</v>
      </c>
      <c r="L622" s="9">
        <v>0.2273</v>
      </c>
      <c r="M622" s="9">
        <v>0.64</v>
      </c>
      <c r="N622" s="9">
        <v>0.16420000000000001</v>
      </c>
      <c r="O622" s="9">
        <v>0</v>
      </c>
      <c r="P622" s="9">
        <v>15</v>
      </c>
      <c r="Q622" s="9">
        <v>15</v>
      </c>
      <c r="V622">
        <v>16</v>
      </c>
      <c r="W622">
        <v>98</v>
      </c>
    </row>
    <row r="623" spans="1:23">
      <c r="A623" s="9">
        <v>622</v>
      </c>
      <c r="B623" s="10">
        <v>40572</v>
      </c>
      <c r="C623" s="9">
        <v>1</v>
      </c>
      <c r="D623" s="9">
        <v>0</v>
      </c>
      <c r="E623" s="3" t="str">
        <f t="shared" si="31"/>
        <v>January</v>
      </c>
      <c r="F623" s="9">
        <v>3</v>
      </c>
      <c r="G623" s="3" t="b">
        <v>0</v>
      </c>
      <c r="H623" s="3" t="str">
        <f t="shared" si="33"/>
        <v>Saturday</v>
      </c>
      <c r="I623" s="9">
        <v>6</v>
      </c>
      <c r="J623" s="3" t="str">
        <f t="shared" si="32"/>
        <v>Foggy</v>
      </c>
      <c r="K623" s="9">
        <v>0.2</v>
      </c>
      <c r="L623" s="9">
        <v>0.21210000000000001</v>
      </c>
      <c r="M623" s="9">
        <v>0.64</v>
      </c>
      <c r="N623" s="9">
        <v>0.1343</v>
      </c>
      <c r="O623" s="9">
        <v>3</v>
      </c>
      <c r="P623" s="9">
        <v>5</v>
      </c>
      <c r="Q623" s="9">
        <v>8</v>
      </c>
      <c r="V623">
        <v>30</v>
      </c>
      <c r="W623">
        <v>84</v>
      </c>
    </row>
    <row r="624" spans="1:23">
      <c r="A624" s="9">
        <v>623</v>
      </c>
      <c r="B624" s="10">
        <v>40572</v>
      </c>
      <c r="C624" s="9">
        <v>1</v>
      </c>
      <c r="D624" s="9">
        <v>0</v>
      </c>
      <c r="E624" s="3" t="str">
        <f t="shared" si="31"/>
        <v>January</v>
      </c>
      <c r="F624" s="9">
        <v>4</v>
      </c>
      <c r="G624" s="3" t="b">
        <v>0</v>
      </c>
      <c r="H624" s="3" t="str">
        <f t="shared" si="33"/>
        <v>Saturday</v>
      </c>
      <c r="I624" s="9">
        <v>6</v>
      </c>
      <c r="J624" s="3" t="str">
        <f t="shared" si="32"/>
        <v>Foggy</v>
      </c>
      <c r="K624" s="9">
        <v>0.16</v>
      </c>
      <c r="L624" s="9">
        <v>0.18179999999999999</v>
      </c>
      <c r="M624" s="9">
        <v>0.69</v>
      </c>
      <c r="N624" s="9">
        <v>0.1045</v>
      </c>
      <c r="O624" s="9">
        <v>1</v>
      </c>
      <c r="P624" s="9">
        <v>2</v>
      </c>
      <c r="Q624" s="9">
        <v>3</v>
      </c>
      <c r="U624">
        <v>115</v>
      </c>
      <c r="W624">
        <v>109</v>
      </c>
    </row>
    <row r="625" spans="1:23">
      <c r="A625" s="9">
        <v>624</v>
      </c>
      <c r="B625" s="10">
        <v>40572</v>
      </c>
      <c r="C625" s="9">
        <v>1</v>
      </c>
      <c r="D625" s="9">
        <v>0</v>
      </c>
      <c r="E625" s="3" t="str">
        <f t="shared" si="31"/>
        <v>January</v>
      </c>
      <c r="F625" s="9">
        <v>6</v>
      </c>
      <c r="G625" s="3" t="b">
        <v>0</v>
      </c>
      <c r="H625" s="3" t="str">
        <f t="shared" si="33"/>
        <v>Saturday</v>
      </c>
      <c r="I625" s="9">
        <v>6</v>
      </c>
      <c r="J625" s="3" t="str">
        <f t="shared" si="32"/>
        <v>Foggy</v>
      </c>
      <c r="K625" s="9">
        <v>0.16</v>
      </c>
      <c r="L625" s="9">
        <v>0.18179999999999999</v>
      </c>
      <c r="M625" s="9">
        <v>0.64</v>
      </c>
      <c r="N625" s="9">
        <v>0.1343</v>
      </c>
      <c r="O625" s="9">
        <v>0</v>
      </c>
      <c r="P625" s="9">
        <v>2</v>
      </c>
      <c r="Q625" s="9">
        <v>2</v>
      </c>
      <c r="V625">
        <v>6</v>
      </c>
      <c r="W625">
        <v>109</v>
      </c>
    </row>
    <row r="626" spans="1:23">
      <c r="A626" s="9">
        <v>625</v>
      </c>
      <c r="B626" s="10">
        <v>40572</v>
      </c>
      <c r="C626" s="9">
        <v>1</v>
      </c>
      <c r="D626" s="9">
        <v>0</v>
      </c>
      <c r="E626" s="3" t="str">
        <f t="shared" si="31"/>
        <v>January</v>
      </c>
      <c r="F626" s="9">
        <v>7</v>
      </c>
      <c r="G626" s="3" t="b">
        <v>0</v>
      </c>
      <c r="H626" s="3" t="str">
        <f t="shared" si="33"/>
        <v>Saturday</v>
      </c>
      <c r="I626" s="9">
        <v>6</v>
      </c>
      <c r="J626" s="3" t="str">
        <f t="shared" si="32"/>
        <v>Foggy</v>
      </c>
      <c r="K626" s="9">
        <v>0.16</v>
      </c>
      <c r="L626" s="9">
        <v>0.18179999999999999</v>
      </c>
      <c r="M626" s="9">
        <v>0.59</v>
      </c>
      <c r="N626" s="9">
        <v>0.1045</v>
      </c>
      <c r="O626" s="9">
        <v>1</v>
      </c>
      <c r="P626" s="9">
        <v>4</v>
      </c>
      <c r="Q626" s="9">
        <v>5</v>
      </c>
      <c r="U626">
        <v>116</v>
      </c>
      <c r="W626">
        <v>308</v>
      </c>
    </row>
    <row r="627" spans="1:23">
      <c r="A627" s="9">
        <v>626</v>
      </c>
      <c r="B627" s="10">
        <v>40572</v>
      </c>
      <c r="C627" s="9">
        <v>1</v>
      </c>
      <c r="D627" s="9">
        <v>0</v>
      </c>
      <c r="E627" s="3" t="str">
        <f t="shared" si="31"/>
        <v>January</v>
      </c>
      <c r="F627" s="9">
        <v>8</v>
      </c>
      <c r="G627" s="3" t="b">
        <v>0</v>
      </c>
      <c r="H627" s="3" t="str">
        <f t="shared" si="33"/>
        <v>Saturday</v>
      </c>
      <c r="I627" s="9">
        <v>6</v>
      </c>
      <c r="J627" s="3" t="str">
        <f t="shared" si="32"/>
        <v>Foggy</v>
      </c>
      <c r="K627" s="9">
        <v>0.18</v>
      </c>
      <c r="L627" s="9">
        <v>0.19700000000000001</v>
      </c>
      <c r="M627" s="9">
        <v>0.55000000000000004</v>
      </c>
      <c r="N627" s="9">
        <v>0.16420000000000001</v>
      </c>
      <c r="O627" s="9">
        <v>3</v>
      </c>
      <c r="P627" s="9">
        <v>31</v>
      </c>
      <c r="Q627" s="9">
        <v>34</v>
      </c>
      <c r="V627">
        <v>2</v>
      </c>
      <c r="W627">
        <v>114</v>
      </c>
    </row>
    <row r="628" spans="1:23">
      <c r="A628" s="9">
        <v>627</v>
      </c>
      <c r="B628" s="10">
        <v>40572</v>
      </c>
      <c r="C628" s="9">
        <v>1</v>
      </c>
      <c r="D628" s="9">
        <v>0</v>
      </c>
      <c r="E628" s="3" t="str">
        <f t="shared" si="31"/>
        <v>January</v>
      </c>
      <c r="F628" s="9">
        <v>9</v>
      </c>
      <c r="G628" s="3" t="b">
        <v>0</v>
      </c>
      <c r="H628" s="3" t="str">
        <f t="shared" si="33"/>
        <v>Saturday</v>
      </c>
      <c r="I628" s="9">
        <v>6</v>
      </c>
      <c r="J628" s="3" t="str">
        <f t="shared" si="32"/>
        <v>Foggy</v>
      </c>
      <c r="K628" s="9">
        <v>0.18</v>
      </c>
      <c r="L628" s="9">
        <v>0.21210000000000001</v>
      </c>
      <c r="M628" s="9">
        <v>0.59</v>
      </c>
      <c r="N628" s="9">
        <v>8.9599999999999999E-2</v>
      </c>
      <c r="O628" s="9">
        <v>0</v>
      </c>
      <c r="P628" s="9">
        <v>34</v>
      </c>
      <c r="Q628" s="9">
        <v>34</v>
      </c>
      <c r="V628">
        <v>14</v>
      </c>
      <c r="W628">
        <v>102</v>
      </c>
    </row>
    <row r="629" spans="1:23">
      <c r="A629" s="9">
        <v>628</v>
      </c>
      <c r="B629" s="10">
        <v>40572</v>
      </c>
      <c r="C629" s="9">
        <v>1</v>
      </c>
      <c r="D629" s="9">
        <v>0</v>
      </c>
      <c r="E629" s="3" t="str">
        <f t="shared" si="31"/>
        <v>January</v>
      </c>
      <c r="F629" s="9">
        <v>10</v>
      </c>
      <c r="G629" s="3" t="b">
        <v>0</v>
      </c>
      <c r="H629" s="3" t="str">
        <f t="shared" si="33"/>
        <v>Saturday</v>
      </c>
      <c r="I629" s="9">
        <v>6</v>
      </c>
      <c r="J629" s="3" t="str">
        <f t="shared" si="32"/>
        <v>Foggy</v>
      </c>
      <c r="K629" s="9">
        <v>0.18</v>
      </c>
      <c r="L629" s="9">
        <v>0.21210000000000001</v>
      </c>
      <c r="M629" s="9">
        <v>0.64</v>
      </c>
      <c r="N629" s="9">
        <v>0.1045</v>
      </c>
      <c r="O629" s="9">
        <v>4</v>
      </c>
      <c r="P629" s="9">
        <v>51</v>
      </c>
      <c r="Q629" s="9">
        <v>55</v>
      </c>
      <c r="V629">
        <v>24</v>
      </c>
      <c r="W629">
        <v>92</v>
      </c>
    </row>
    <row r="630" spans="1:23">
      <c r="A630" s="9">
        <v>629</v>
      </c>
      <c r="B630" s="10">
        <v>40572</v>
      </c>
      <c r="C630" s="9">
        <v>1</v>
      </c>
      <c r="D630" s="9">
        <v>0</v>
      </c>
      <c r="E630" s="3" t="str">
        <f t="shared" si="31"/>
        <v>January</v>
      </c>
      <c r="F630" s="9">
        <v>11</v>
      </c>
      <c r="G630" s="3" t="b">
        <v>0</v>
      </c>
      <c r="H630" s="3" t="str">
        <f t="shared" si="33"/>
        <v>Saturday</v>
      </c>
      <c r="I630" s="9">
        <v>6</v>
      </c>
      <c r="J630" s="3" t="str">
        <f t="shared" si="32"/>
        <v>Foggy</v>
      </c>
      <c r="K630" s="9">
        <v>0.18</v>
      </c>
      <c r="L630" s="9">
        <v>0.19700000000000001</v>
      </c>
      <c r="M630" s="9">
        <v>0.64</v>
      </c>
      <c r="N630" s="9">
        <v>0.1343</v>
      </c>
      <c r="O630" s="9">
        <v>4</v>
      </c>
      <c r="P630" s="9">
        <v>60</v>
      </c>
      <c r="Q630" s="9">
        <v>64</v>
      </c>
      <c r="U630">
        <v>117</v>
      </c>
      <c r="W630">
        <v>206</v>
      </c>
    </row>
    <row r="631" spans="1:23">
      <c r="A631" s="9">
        <v>630</v>
      </c>
      <c r="B631" s="10">
        <v>40572</v>
      </c>
      <c r="C631" s="9">
        <v>1</v>
      </c>
      <c r="D631" s="9">
        <v>0</v>
      </c>
      <c r="E631" s="3" t="str">
        <f t="shared" si="31"/>
        <v>January</v>
      </c>
      <c r="F631" s="9">
        <v>12</v>
      </c>
      <c r="G631" s="3" t="b">
        <v>0</v>
      </c>
      <c r="H631" s="3" t="str">
        <f t="shared" si="33"/>
        <v>Saturday</v>
      </c>
      <c r="I631" s="9">
        <v>6</v>
      </c>
      <c r="J631" s="3" t="str">
        <f t="shared" si="32"/>
        <v>Foggy</v>
      </c>
      <c r="K631" s="9">
        <v>0.2</v>
      </c>
      <c r="L631" s="9">
        <v>0.19700000000000001</v>
      </c>
      <c r="M631" s="9">
        <v>0.59</v>
      </c>
      <c r="N631" s="9">
        <v>0.19400000000000001</v>
      </c>
      <c r="O631" s="9">
        <v>12</v>
      </c>
      <c r="P631" s="9">
        <v>66</v>
      </c>
      <c r="Q631" s="9">
        <v>78</v>
      </c>
      <c r="V631">
        <v>0</v>
      </c>
      <c r="W631">
        <v>117</v>
      </c>
    </row>
    <row r="632" spans="1:23">
      <c r="A632" s="9">
        <v>631</v>
      </c>
      <c r="B632" s="10">
        <v>40572</v>
      </c>
      <c r="C632" s="9">
        <v>1</v>
      </c>
      <c r="D632" s="9">
        <v>0</v>
      </c>
      <c r="E632" s="3" t="str">
        <f t="shared" si="31"/>
        <v>January</v>
      </c>
      <c r="F632" s="9">
        <v>13</v>
      </c>
      <c r="G632" s="3" t="b">
        <v>0</v>
      </c>
      <c r="H632" s="3" t="str">
        <f t="shared" si="33"/>
        <v>Saturday</v>
      </c>
      <c r="I632" s="9">
        <v>6</v>
      </c>
      <c r="J632" s="3" t="str">
        <f t="shared" si="32"/>
        <v>Foggy</v>
      </c>
      <c r="K632" s="9">
        <v>0.22</v>
      </c>
      <c r="L632" s="9">
        <v>0.2273</v>
      </c>
      <c r="M632" s="9">
        <v>0.55000000000000004</v>
      </c>
      <c r="N632" s="9">
        <v>0.16420000000000001</v>
      </c>
      <c r="O632" s="9">
        <v>9</v>
      </c>
      <c r="P632" s="9">
        <v>56</v>
      </c>
      <c r="Q632" s="9">
        <v>65</v>
      </c>
      <c r="V632">
        <v>28</v>
      </c>
      <c r="W632">
        <v>89</v>
      </c>
    </row>
    <row r="633" spans="1:23">
      <c r="A633" s="9">
        <v>632</v>
      </c>
      <c r="B633" s="10">
        <v>40572</v>
      </c>
      <c r="C633" s="9">
        <v>1</v>
      </c>
      <c r="D633" s="9">
        <v>0</v>
      </c>
      <c r="E633" s="3" t="str">
        <f t="shared" si="31"/>
        <v>January</v>
      </c>
      <c r="F633" s="9">
        <v>14</v>
      </c>
      <c r="G633" s="3" t="b">
        <v>0</v>
      </c>
      <c r="H633" s="3" t="str">
        <f t="shared" si="33"/>
        <v>Saturday</v>
      </c>
      <c r="I633" s="9">
        <v>6</v>
      </c>
      <c r="J633" s="3" t="str">
        <f t="shared" si="32"/>
        <v>Foggy</v>
      </c>
      <c r="K633" s="9">
        <v>0.22</v>
      </c>
      <c r="L633" s="9">
        <v>0.2273</v>
      </c>
      <c r="M633" s="9">
        <v>0.6</v>
      </c>
      <c r="N633" s="9">
        <v>0.1343</v>
      </c>
      <c r="O633" s="9">
        <v>10</v>
      </c>
      <c r="P633" s="9">
        <v>89</v>
      </c>
      <c r="Q633" s="9">
        <v>99</v>
      </c>
      <c r="U633">
        <v>118</v>
      </c>
      <c r="W633">
        <v>302</v>
      </c>
    </row>
    <row r="634" spans="1:23">
      <c r="A634" s="9">
        <v>633</v>
      </c>
      <c r="B634" s="10">
        <v>40572</v>
      </c>
      <c r="C634" s="9">
        <v>1</v>
      </c>
      <c r="D634" s="9">
        <v>0</v>
      </c>
      <c r="E634" s="3" t="str">
        <f t="shared" si="31"/>
        <v>January</v>
      </c>
      <c r="F634" s="9">
        <v>15</v>
      </c>
      <c r="G634" s="3" t="b">
        <v>0</v>
      </c>
      <c r="H634" s="3" t="str">
        <f t="shared" si="33"/>
        <v>Saturday</v>
      </c>
      <c r="I634" s="9">
        <v>6</v>
      </c>
      <c r="J634" s="3" t="str">
        <f t="shared" si="32"/>
        <v>Foggy</v>
      </c>
      <c r="K634" s="9">
        <v>0.22</v>
      </c>
      <c r="L634" s="9">
        <v>0.21210000000000001</v>
      </c>
      <c r="M634" s="9">
        <v>0.69</v>
      </c>
      <c r="N634" s="9">
        <v>0.25369999999999998</v>
      </c>
      <c r="O634" s="9">
        <v>22</v>
      </c>
      <c r="P634" s="9">
        <v>98</v>
      </c>
      <c r="Q634" s="9">
        <v>120</v>
      </c>
      <c r="V634">
        <v>3</v>
      </c>
      <c r="W634">
        <v>115</v>
      </c>
    </row>
    <row r="635" spans="1:23">
      <c r="A635" s="9">
        <v>634</v>
      </c>
      <c r="B635" s="10">
        <v>40572</v>
      </c>
      <c r="C635" s="9">
        <v>1</v>
      </c>
      <c r="D635" s="9">
        <v>0</v>
      </c>
      <c r="E635" s="3" t="str">
        <f t="shared" si="31"/>
        <v>January</v>
      </c>
      <c r="F635" s="9">
        <v>16</v>
      </c>
      <c r="G635" s="3" t="b">
        <v>0</v>
      </c>
      <c r="H635" s="3" t="str">
        <f t="shared" si="33"/>
        <v>Saturday</v>
      </c>
      <c r="I635" s="9">
        <v>6</v>
      </c>
      <c r="J635" s="3" t="str">
        <f t="shared" si="32"/>
        <v>Foggy</v>
      </c>
      <c r="K635" s="9">
        <v>0.24</v>
      </c>
      <c r="L635" s="9">
        <v>0.2424</v>
      </c>
      <c r="M635" s="9">
        <v>0.6</v>
      </c>
      <c r="N635" s="9">
        <v>0.16420000000000001</v>
      </c>
      <c r="O635" s="9">
        <v>19</v>
      </c>
      <c r="P635" s="9">
        <v>88</v>
      </c>
      <c r="Q635" s="9">
        <v>107</v>
      </c>
      <c r="V635">
        <v>23</v>
      </c>
      <c r="W635">
        <v>95</v>
      </c>
    </row>
    <row r="636" spans="1:23">
      <c r="A636" s="9">
        <v>635</v>
      </c>
      <c r="B636" s="10">
        <v>40572</v>
      </c>
      <c r="C636" s="9">
        <v>1</v>
      </c>
      <c r="D636" s="9">
        <v>0</v>
      </c>
      <c r="E636" s="3" t="str">
        <f t="shared" si="31"/>
        <v>January</v>
      </c>
      <c r="F636" s="9">
        <v>17</v>
      </c>
      <c r="G636" s="3" t="b">
        <v>0</v>
      </c>
      <c r="H636" s="3" t="str">
        <f t="shared" si="33"/>
        <v>Saturday</v>
      </c>
      <c r="I636" s="9">
        <v>6</v>
      </c>
      <c r="J636" s="3" t="str">
        <f t="shared" si="32"/>
        <v>Foggy</v>
      </c>
      <c r="K636" s="9">
        <v>0.24</v>
      </c>
      <c r="L636" s="9">
        <v>0.28789999999999999</v>
      </c>
      <c r="M636" s="9">
        <v>0.6</v>
      </c>
      <c r="N636" s="9">
        <v>0</v>
      </c>
      <c r="O636" s="9">
        <v>9</v>
      </c>
      <c r="P636" s="9">
        <v>82</v>
      </c>
      <c r="Q636" s="9">
        <v>91</v>
      </c>
      <c r="V636">
        <v>26</v>
      </c>
      <c r="W636">
        <v>92</v>
      </c>
    </row>
    <row r="637" spans="1:23">
      <c r="A637" s="9">
        <v>636</v>
      </c>
      <c r="B637" s="10">
        <v>40572</v>
      </c>
      <c r="C637" s="9">
        <v>1</v>
      </c>
      <c r="D637" s="9">
        <v>0</v>
      </c>
      <c r="E637" s="3" t="str">
        <f t="shared" si="31"/>
        <v>January</v>
      </c>
      <c r="F637" s="9">
        <v>18</v>
      </c>
      <c r="G637" s="3" t="b">
        <v>0</v>
      </c>
      <c r="H637" s="3" t="str">
        <f t="shared" si="33"/>
        <v>Saturday</v>
      </c>
      <c r="I637" s="9">
        <v>6</v>
      </c>
      <c r="J637" s="3" t="str">
        <f t="shared" si="32"/>
        <v>Foggy</v>
      </c>
      <c r="K637" s="9">
        <v>0.22</v>
      </c>
      <c r="L637" s="9">
        <v>0.2273</v>
      </c>
      <c r="M637" s="9">
        <v>0.69</v>
      </c>
      <c r="N637" s="9">
        <v>0.1343</v>
      </c>
      <c r="O637" s="9">
        <v>9</v>
      </c>
      <c r="P637" s="9">
        <v>59</v>
      </c>
      <c r="Q637" s="9">
        <v>68</v>
      </c>
      <c r="U637">
        <v>119</v>
      </c>
      <c r="W637">
        <v>103</v>
      </c>
    </row>
    <row r="638" spans="1:23">
      <c r="A638" s="9">
        <v>637</v>
      </c>
      <c r="B638" s="10">
        <v>40572</v>
      </c>
      <c r="C638" s="9">
        <v>1</v>
      </c>
      <c r="D638" s="9">
        <v>0</v>
      </c>
      <c r="E638" s="3" t="str">
        <f t="shared" si="31"/>
        <v>January</v>
      </c>
      <c r="F638" s="9">
        <v>19</v>
      </c>
      <c r="G638" s="3" t="b">
        <v>0</v>
      </c>
      <c r="H638" s="3" t="str">
        <f t="shared" si="33"/>
        <v>Saturday</v>
      </c>
      <c r="I638" s="9">
        <v>6</v>
      </c>
      <c r="J638" s="3" t="str">
        <f t="shared" si="32"/>
        <v>Foggy</v>
      </c>
      <c r="K638" s="9">
        <v>0.22</v>
      </c>
      <c r="L638" s="9">
        <v>0.21210000000000001</v>
      </c>
      <c r="M638" s="9">
        <v>0.69</v>
      </c>
      <c r="N638" s="9">
        <v>0.25369999999999998</v>
      </c>
      <c r="O638" s="9">
        <v>6</v>
      </c>
      <c r="P638" s="9">
        <v>52</v>
      </c>
      <c r="Q638" s="9">
        <v>58</v>
      </c>
      <c r="V638">
        <v>16</v>
      </c>
      <c r="W638">
        <v>103</v>
      </c>
    </row>
    <row r="639" spans="1:23">
      <c r="A639" s="9">
        <v>638</v>
      </c>
      <c r="B639" s="10">
        <v>40572</v>
      </c>
      <c r="C639" s="9">
        <v>1</v>
      </c>
      <c r="D639" s="9">
        <v>0</v>
      </c>
      <c r="E639" s="3" t="str">
        <f t="shared" si="31"/>
        <v>January</v>
      </c>
      <c r="F639" s="9">
        <v>20</v>
      </c>
      <c r="G639" s="3" t="b">
        <v>0</v>
      </c>
      <c r="H639" s="3" t="str">
        <f t="shared" si="33"/>
        <v>Saturday</v>
      </c>
      <c r="I639" s="9">
        <v>6</v>
      </c>
      <c r="J639" s="3" t="str">
        <f t="shared" si="32"/>
        <v>Foggy</v>
      </c>
      <c r="K639" s="9">
        <v>0.18</v>
      </c>
      <c r="L639" s="9">
        <v>0.21210000000000001</v>
      </c>
      <c r="M639" s="9">
        <v>0.74</v>
      </c>
      <c r="N639" s="9">
        <v>8.9599999999999999E-2</v>
      </c>
      <c r="O639" s="9">
        <v>1</v>
      </c>
      <c r="P639" s="9">
        <v>42</v>
      </c>
      <c r="Q639" s="9">
        <v>43</v>
      </c>
      <c r="U639">
        <v>120</v>
      </c>
      <c r="W639">
        <v>400</v>
      </c>
    </row>
    <row r="640" spans="1:23">
      <c r="A640" s="9">
        <v>639</v>
      </c>
      <c r="B640" s="10">
        <v>40572</v>
      </c>
      <c r="C640" s="9">
        <v>1</v>
      </c>
      <c r="D640" s="9">
        <v>0</v>
      </c>
      <c r="E640" s="3" t="str">
        <f t="shared" si="31"/>
        <v>January</v>
      </c>
      <c r="F640" s="9">
        <v>21</v>
      </c>
      <c r="G640" s="3" t="b">
        <v>0</v>
      </c>
      <c r="H640" s="3" t="str">
        <f t="shared" si="33"/>
        <v>Saturday</v>
      </c>
      <c r="I640" s="9">
        <v>6</v>
      </c>
      <c r="J640" s="3" t="str">
        <f t="shared" si="32"/>
        <v>Foggy</v>
      </c>
      <c r="K640" s="9">
        <v>0.18</v>
      </c>
      <c r="L640" s="9">
        <v>0.21210000000000001</v>
      </c>
      <c r="M640" s="9">
        <v>0.74</v>
      </c>
      <c r="N640" s="9">
        <v>8.9599999999999999E-2</v>
      </c>
      <c r="O640" s="9">
        <v>1</v>
      </c>
      <c r="P640" s="9">
        <v>35</v>
      </c>
      <c r="Q640" s="9">
        <v>36</v>
      </c>
      <c r="V640">
        <v>1</v>
      </c>
      <c r="W640">
        <v>119</v>
      </c>
    </row>
    <row r="641" spans="1:23">
      <c r="A641" s="9">
        <v>640</v>
      </c>
      <c r="B641" s="10">
        <v>40572</v>
      </c>
      <c r="C641" s="9">
        <v>1</v>
      </c>
      <c r="D641" s="9">
        <v>0</v>
      </c>
      <c r="E641" s="3" t="str">
        <f t="shared" si="31"/>
        <v>January</v>
      </c>
      <c r="F641" s="9">
        <v>22</v>
      </c>
      <c r="G641" s="3" t="b">
        <v>0</v>
      </c>
      <c r="H641" s="3" t="str">
        <f t="shared" si="33"/>
        <v>Saturday</v>
      </c>
      <c r="I641" s="9">
        <v>6</v>
      </c>
      <c r="J641" s="3" t="str">
        <f t="shared" si="32"/>
        <v>Foggy</v>
      </c>
      <c r="K641" s="9">
        <v>0.16</v>
      </c>
      <c r="L641" s="9">
        <v>0.19700000000000001</v>
      </c>
      <c r="M641" s="9">
        <v>0.8</v>
      </c>
      <c r="N641" s="9">
        <v>8.9599999999999999E-2</v>
      </c>
      <c r="O641" s="9">
        <v>4</v>
      </c>
      <c r="P641" s="9">
        <v>28</v>
      </c>
      <c r="Q641" s="9">
        <v>32</v>
      </c>
      <c r="V641">
        <v>22</v>
      </c>
      <c r="W641">
        <v>98</v>
      </c>
    </row>
    <row r="642" spans="1:23">
      <c r="A642" s="9">
        <v>641</v>
      </c>
      <c r="B642" s="10">
        <v>40572</v>
      </c>
      <c r="C642" s="9">
        <v>1</v>
      </c>
      <c r="D642" s="9">
        <v>0</v>
      </c>
      <c r="E642" s="3" t="str">
        <f t="shared" si="31"/>
        <v>January</v>
      </c>
      <c r="F642" s="9">
        <v>23</v>
      </c>
      <c r="G642" s="3" t="b">
        <v>0</v>
      </c>
      <c r="H642" s="3" t="str">
        <f t="shared" si="33"/>
        <v>Saturday</v>
      </c>
      <c r="I642" s="9">
        <v>6</v>
      </c>
      <c r="J642" s="3" t="str">
        <f t="shared" si="32"/>
        <v>Foggy</v>
      </c>
      <c r="K642" s="9">
        <v>0.16</v>
      </c>
      <c r="L642" s="9">
        <v>0.19700000000000001</v>
      </c>
      <c r="M642" s="9">
        <v>0.8</v>
      </c>
      <c r="N642" s="9">
        <v>8.9599999999999999E-2</v>
      </c>
      <c r="O642" s="9">
        <v>3</v>
      </c>
      <c r="P642" s="9">
        <v>30</v>
      </c>
      <c r="Q642" s="9">
        <v>33</v>
      </c>
      <c r="V642">
        <v>27</v>
      </c>
      <c r="W642">
        <v>93</v>
      </c>
    </row>
    <row r="643" spans="1:23">
      <c r="A643" s="9">
        <v>642</v>
      </c>
      <c r="B643" s="10">
        <v>40573</v>
      </c>
      <c r="C643" s="9">
        <v>1</v>
      </c>
      <c r="D643" s="9">
        <v>0</v>
      </c>
      <c r="E643" s="3" t="str">
        <f t="shared" ref="E643:E706" si="34">TEXT(B643,"MMMM")</f>
        <v>January</v>
      </c>
      <c r="F643" s="9">
        <v>0</v>
      </c>
      <c r="G643" s="3" t="b">
        <v>0</v>
      </c>
      <c r="H643" s="3" t="str">
        <f t="shared" si="33"/>
        <v>Sunday</v>
      </c>
      <c r="I643" s="9">
        <v>0</v>
      </c>
      <c r="J643" s="3" t="str">
        <f t="shared" si="32"/>
        <v>Foggy</v>
      </c>
      <c r="K643" s="9">
        <v>0.16</v>
      </c>
      <c r="L643" s="9">
        <v>0.18179999999999999</v>
      </c>
      <c r="M643" s="9">
        <v>0.8</v>
      </c>
      <c r="N643" s="9">
        <v>0.1045</v>
      </c>
      <c r="O643" s="9">
        <v>0</v>
      </c>
      <c r="P643" s="9">
        <v>33</v>
      </c>
      <c r="Q643" s="9">
        <v>33</v>
      </c>
      <c r="V643">
        <v>30</v>
      </c>
      <c r="W643">
        <v>90</v>
      </c>
    </row>
    <row r="644" spans="1:23">
      <c r="A644" s="9">
        <v>643</v>
      </c>
      <c r="B644" s="10">
        <v>40573</v>
      </c>
      <c r="C644" s="9">
        <v>1</v>
      </c>
      <c r="D644" s="9">
        <v>0</v>
      </c>
      <c r="E644" s="3" t="str">
        <f t="shared" si="34"/>
        <v>January</v>
      </c>
      <c r="F644" s="9">
        <v>1</v>
      </c>
      <c r="G644" s="3" t="b">
        <v>0</v>
      </c>
      <c r="H644" s="3" t="str">
        <f t="shared" si="33"/>
        <v>Sunday</v>
      </c>
      <c r="I644" s="9">
        <v>0</v>
      </c>
      <c r="J644" s="3" t="str">
        <f t="shared" si="32"/>
        <v>Foggy</v>
      </c>
      <c r="K644" s="9">
        <v>0.14000000000000001</v>
      </c>
      <c r="L644" s="9">
        <v>0.21210000000000001</v>
      </c>
      <c r="M644" s="9">
        <v>0.8</v>
      </c>
      <c r="N644" s="9">
        <v>0</v>
      </c>
      <c r="O644" s="9">
        <v>7</v>
      </c>
      <c r="P644" s="9">
        <v>22</v>
      </c>
      <c r="Q644" s="9">
        <v>29</v>
      </c>
      <c r="U644">
        <v>121</v>
      </c>
      <c r="W644">
        <v>97</v>
      </c>
    </row>
    <row r="645" spans="1:23">
      <c r="A645" s="9">
        <v>644</v>
      </c>
      <c r="B645" s="10">
        <v>40573</v>
      </c>
      <c r="C645" s="9">
        <v>1</v>
      </c>
      <c r="D645" s="9">
        <v>0</v>
      </c>
      <c r="E645" s="3" t="str">
        <f t="shared" si="34"/>
        <v>January</v>
      </c>
      <c r="F645" s="9">
        <v>2</v>
      </c>
      <c r="G645" s="3" t="b">
        <v>0</v>
      </c>
      <c r="H645" s="3" t="str">
        <f t="shared" si="33"/>
        <v>Sunday</v>
      </c>
      <c r="I645" s="9">
        <v>0</v>
      </c>
      <c r="J645" s="3" t="str">
        <f t="shared" si="32"/>
        <v>Foggy</v>
      </c>
      <c r="K645" s="9">
        <v>0.16</v>
      </c>
      <c r="L645" s="9">
        <v>0.2273</v>
      </c>
      <c r="M645" s="9">
        <v>0.8</v>
      </c>
      <c r="N645" s="9">
        <v>0</v>
      </c>
      <c r="O645" s="9">
        <v>1</v>
      </c>
      <c r="P645" s="9">
        <v>10</v>
      </c>
      <c r="Q645" s="9">
        <v>11</v>
      </c>
      <c r="V645">
        <v>24</v>
      </c>
      <c r="W645">
        <v>97</v>
      </c>
    </row>
    <row r="646" spans="1:23">
      <c r="A646" s="9">
        <v>645</v>
      </c>
      <c r="B646" s="10">
        <v>40573</v>
      </c>
      <c r="C646" s="9">
        <v>1</v>
      </c>
      <c r="D646" s="9">
        <v>0</v>
      </c>
      <c r="E646" s="3" t="str">
        <f t="shared" si="34"/>
        <v>January</v>
      </c>
      <c r="F646" s="9">
        <v>3</v>
      </c>
      <c r="G646" s="3" t="b">
        <v>0</v>
      </c>
      <c r="H646" s="3" t="str">
        <f t="shared" si="33"/>
        <v>Sunday</v>
      </c>
      <c r="I646" s="9">
        <v>0</v>
      </c>
      <c r="J646" s="3" t="str">
        <f t="shared" si="32"/>
        <v>Foggy</v>
      </c>
      <c r="K646" s="9">
        <v>0.14000000000000001</v>
      </c>
      <c r="L646" s="9">
        <v>0.21210000000000001</v>
      </c>
      <c r="M646" s="9">
        <v>0.93</v>
      </c>
      <c r="N646" s="9">
        <v>0</v>
      </c>
      <c r="O646" s="9">
        <v>1</v>
      </c>
      <c r="P646" s="9">
        <v>7</v>
      </c>
      <c r="Q646" s="9">
        <v>8</v>
      </c>
      <c r="U646">
        <v>122</v>
      </c>
      <c r="W646">
        <v>341</v>
      </c>
    </row>
    <row r="647" spans="1:23">
      <c r="A647" s="9">
        <v>646</v>
      </c>
      <c r="B647" s="10">
        <v>40573</v>
      </c>
      <c r="C647" s="9">
        <v>1</v>
      </c>
      <c r="D647" s="9">
        <v>0</v>
      </c>
      <c r="E647" s="3" t="str">
        <f t="shared" si="34"/>
        <v>January</v>
      </c>
      <c r="F647" s="9">
        <v>4</v>
      </c>
      <c r="G647" s="3" t="b">
        <v>0</v>
      </c>
      <c r="H647" s="3" t="str">
        <f t="shared" si="33"/>
        <v>Sunday</v>
      </c>
      <c r="I647" s="9">
        <v>0</v>
      </c>
      <c r="J647" s="3" t="str">
        <f t="shared" ref="J647:J710" si="35">IF($K647&lt;=0.24,"Foggy",IF($K647&gt;0.24,"Clear"))</f>
        <v>Foggy</v>
      </c>
      <c r="K647" s="9">
        <v>0.14000000000000001</v>
      </c>
      <c r="L647" s="9">
        <v>0.21210000000000001</v>
      </c>
      <c r="M647" s="9">
        <v>0.93</v>
      </c>
      <c r="N647" s="9">
        <v>0</v>
      </c>
      <c r="O647" s="9">
        <v>0</v>
      </c>
      <c r="P647" s="9">
        <v>1</v>
      </c>
      <c r="Q647" s="9">
        <v>1</v>
      </c>
      <c r="V647">
        <v>1</v>
      </c>
      <c r="W647">
        <v>121</v>
      </c>
    </row>
    <row r="648" spans="1:23">
      <c r="A648" s="9">
        <v>647</v>
      </c>
      <c r="B648" s="10">
        <v>40573</v>
      </c>
      <c r="C648" s="9">
        <v>1</v>
      </c>
      <c r="D648" s="9">
        <v>0</v>
      </c>
      <c r="E648" s="3" t="str">
        <f t="shared" si="34"/>
        <v>January</v>
      </c>
      <c r="F648" s="9">
        <v>5</v>
      </c>
      <c r="G648" s="3" t="b">
        <v>0</v>
      </c>
      <c r="H648" s="3" t="str">
        <f t="shared" si="33"/>
        <v>Sunday</v>
      </c>
      <c r="I648" s="9">
        <v>0</v>
      </c>
      <c r="J648" s="3" t="str">
        <f t="shared" si="35"/>
        <v>Foggy</v>
      </c>
      <c r="K648" s="9">
        <v>0.14000000000000001</v>
      </c>
      <c r="L648" s="9">
        <v>0.21210000000000001</v>
      </c>
      <c r="M648" s="9">
        <v>0.86</v>
      </c>
      <c r="N648" s="9">
        <v>0</v>
      </c>
      <c r="O648" s="9">
        <v>0</v>
      </c>
      <c r="P648" s="9">
        <v>3</v>
      </c>
      <c r="Q648" s="9">
        <v>3</v>
      </c>
      <c r="V648">
        <v>6</v>
      </c>
      <c r="W648">
        <v>116</v>
      </c>
    </row>
    <row r="649" spans="1:23">
      <c r="A649" s="9">
        <v>648</v>
      </c>
      <c r="B649" s="10">
        <v>40573</v>
      </c>
      <c r="C649" s="9">
        <v>1</v>
      </c>
      <c r="D649" s="9">
        <v>0</v>
      </c>
      <c r="E649" s="3" t="str">
        <f t="shared" si="34"/>
        <v>January</v>
      </c>
      <c r="F649" s="9">
        <v>7</v>
      </c>
      <c r="G649" s="3" t="b">
        <v>0</v>
      </c>
      <c r="H649" s="3" t="str">
        <f t="shared" ref="H649:H712" si="36">TEXT(B649,"dddd")</f>
        <v>Sunday</v>
      </c>
      <c r="I649" s="9">
        <v>0</v>
      </c>
      <c r="J649" s="3" t="str">
        <f t="shared" si="35"/>
        <v>Foggy</v>
      </c>
      <c r="K649" s="9">
        <v>0.14000000000000001</v>
      </c>
      <c r="L649" s="9">
        <v>0.21210000000000001</v>
      </c>
      <c r="M649" s="9">
        <v>0.86</v>
      </c>
      <c r="N649" s="9">
        <v>0</v>
      </c>
      <c r="O649" s="9">
        <v>0</v>
      </c>
      <c r="P649" s="9">
        <v>3</v>
      </c>
      <c r="Q649" s="9">
        <v>3</v>
      </c>
      <c r="V649">
        <v>18</v>
      </c>
      <c r="W649">
        <v>104</v>
      </c>
    </row>
    <row r="650" spans="1:23">
      <c r="A650" s="9">
        <v>649</v>
      </c>
      <c r="B650" s="10">
        <v>40573</v>
      </c>
      <c r="C650" s="9">
        <v>1</v>
      </c>
      <c r="D650" s="9">
        <v>0</v>
      </c>
      <c r="E650" s="3" t="str">
        <f t="shared" si="34"/>
        <v>January</v>
      </c>
      <c r="F650" s="9">
        <v>8</v>
      </c>
      <c r="G650" s="3" t="b">
        <v>0</v>
      </c>
      <c r="H650" s="3" t="str">
        <f t="shared" si="36"/>
        <v>Sunday</v>
      </c>
      <c r="I650" s="9">
        <v>0</v>
      </c>
      <c r="J650" s="3" t="str">
        <f t="shared" si="35"/>
        <v>Foggy</v>
      </c>
      <c r="K650" s="9">
        <v>0.14000000000000001</v>
      </c>
      <c r="L650" s="9">
        <v>0.21210000000000001</v>
      </c>
      <c r="M650" s="9">
        <v>0.86</v>
      </c>
      <c r="N650" s="9">
        <v>0</v>
      </c>
      <c r="O650" s="9">
        <v>1</v>
      </c>
      <c r="P650" s="9">
        <v>11</v>
      </c>
      <c r="Q650" s="9">
        <v>12</v>
      </c>
      <c r="U650">
        <v>123</v>
      </c>
      <c r="W650">
        <v>458</v>
      </c>
    </row>
    <row r="651" spans="1:23">
      <c r="A651" s="9">
        <v>650</v>
      </c>
      <c r="B651" s="10">
        <v>40573</v>
      </c>
      <c r="C651" s="9">
        <v>1</v>
      </c>
      <c r="D651" s="9">
        <v>0</v>
      </c>
      <c r="E651" s="3" t="str">
        <f t="shared" si="34"/>
        <v>January</v>
      </c>
      <c r="F651" s="9">
        <v>9</v>
      </c>
      <c r="G651" s="3" t="b">
        <v>0</v>
      </c>
      <c r="H651" s="3" t="str">
        <f t="shared" si="36"/>
        <v>Sunday</v>
      </c>
      <c r="I651" s="9">
        <v>0</v>
      </c>
      <c r="J651" s="3" t="str">
        <f t="shared" si="35"/>
        <v>Foggy</v>
      </c>
      <c r="K651" s="9">
        <v>0.16</v>
      </c>
      <c r="L651" s="9">
        <v>0.2273</v>
      </c>
      <c r="M651" s="9">
        <v>0.8</v>
      </c>
      <c r="N651" s="9">
        <v>0</v>
      </c>
      <c r="O651" s="9">
        <v>4</v>
      </c>
      <c r="P651" s="9">
        <v>34</v>
      </c>
      <c r="Q651" s="9">
        <v>38</v>
      </c>
      <c r="V651">
        <v>4</v>
      </c>
      <c r="W651">
        <v>238</v>
      </c>
    </row>
    <row r="652" spans="1:23">
      <c r="A652" s="9">
        <v>651</v>
      </c>
      <c r="B652" s="10">
        <v>40573</v>
      </c>
      <c r="C652" s="9">
        <v>1</v>
      </c>
      <c r="D652" s="9">
        <v>0</v>
      </c>
      <c r="E652" s="3" t="str">
        <f t="shared" si="34"/>
        <v>January</v>
      </c>
      <c r="F652" s="9">
        <v>10</v>
      </c>
      <c r="G652" s="3" t="b">
        <v>0</v>
      </c>
      <c r="H652" s="3" t="str">
        <f t="shared" si="36"/>
        <v>Sunday</v>
      </c>
      <c r="I652" s="9">
        <v>0</v>
      </c>
      <c r="J652" s="3" t="str">
        <f t="shared" si="35"/>
        <v>Foggy</v>
      </c>
      <c r="K652" s="9">
        <v>0.18</v>
      </c>
      <c r="L652" s="9">
        <v>0.2424</v>
      </c>
      <c r="M652" s="9">
        <v>0.8</v>
      </c>
      <c r="N652" s="9">
        <v>0</v>
      </c>
      <c r="O652" s="9">
        <v>7</v>
      </c>
      <c r="P652" s="9">
        <v>57</v>
      </c>
      <c r="Q652" s="9">
        <v>64</v>
      </c>
      <c r="V652">
        <v>7</v>
      </c>
      <c r="W652">
        <v>116</v>
      </c>
    </row>
    <row r="653" spans="1:23">
      <c r="A653" s="9">
        <v>652</v>
      </c>
      <c r="B653" s="10">
        <v>40573</v>
      </c>
      <c r="C653" s="9">
        <v>1</v>
      </c>
      <c r="D653" s="9">
        <v>0</v>
      </c>
      <c r="E653" s="3" t="str">
        <f t="shared" si="34"/>
        <v>January</v>
      </c>
      <c r="F653" s="9">
        <v>11</v>
      </c>
      <c r="G653" s="3" t="b">
        <v>0</v>
      </c>
      <c r="H653" s="3" t="str">
        <f t="shared" si="36"/>
        <v>Sunday</v>
      </c>
      <c r="I653" s="9">
        <v>0</v>
      </c>
      <c r="J653" s="3" t="str">
        <f t="shared" si="35"/>
        <v>Foggy</v>
      </c>
      <c r="K653" s="9">
        <v>0.22</v>
      </c>
      <c r="L653" s="9">
        <v>0.2727</v>
      </c>
      <c r="M653" s="9">
        <v>0.75</v>
      </c>
      <c r="N653" s="9">
        <v>0</v>
      </c>
      <c r="O653" s="9">
        <v>9</v>
      </c>
      <c r="P653" s="9">
        <v>50</v>
      </c>
      <c r="Q653" s="9">
        <v>59</v>
      </c>
      <c r="V653">
        <v>19</v>
      </c>
      <c r="W653">
        <v>104</v>
      </c>
    </row>
    <row r="654" spans="1:23">
      <c r="A654" s="9">
        <v>653</v>
      </c>
      <c r="B654" s="10">
        <v>40573</v>
      </c>
      <c r="C654" s="9">
        <v>1</v>
      </c>
      <c r="D654" s="9">
        <v>0</v>
      </c>
      <c r="E654" s="3" t="str">
        <f t="shared" si="34"/>
        <v>January</v>
      </c>
      <c r="F654" s="9">
        <v>12</v>
      </c>
      <c r="G654" s="3" t="b">
        <v>0</v>
      </c>
      <c r="H654" s="3" t="str">
        <f t="shared" si="36"/>
        <v>Sunday</v>
      </c>
      <c r="I654" s="9">
        <v>0</v>
      </c>
      <c r="J654" s="3" t="str">
        <f t="shared" si="35"/>
        <v>Clear</v>
      </c>
      <c r="K654" s="9">
        <v>0.3</v>
      </c>
      <c r="L654" s="9">
        <v>0.31819999999999998</v>
      </c>
      <c r="M654" s="9">
        <v>0.52</v>
      </c>
      <c r="N654" s="9">
        <v>0.1045</v>
      </c>
      <c r="O654" s="9">
        <v>10</v>
      </c>
      <c r="P654" s="9">
        <v>87</v>
      </c>
      <c r="Q654" s="9">
        <v>97</v>
      </c>
      <c r="U654">
        <v>125</v>
      </c>
      <c r="W654">
        <v>330</v>
      </c>
    </row>
    <row r="655" spans="1:23">
      <c r="A655" s="9">
        <v>654</v>
      </c>
      <c r="B655" s="10">
        <v>40573</v>
      </c>
      <c r="C655" s="9">
        <v>1</v>
      </c>
      <c r="D655" s="9">
        <v>0</v>
      </c>
      <c r="E655" s="3" t="str">
        <f t="shared" si="34"/>
        <v>January</v>
      </c>
      <c r="F655" s="9">
        <v>13</v>
      </c>
      <c r="G655" s="3" t="b">
        <v>0</v>
      </c>
      <c r="H655" s="3" t="str">
        <f t="shared" si="36"/>
        <v>Sunday</v>
      </c>
      <c r="I655" s="9">
        <v>0</v>
      </c>
      <c r="J655" s="3" t="str">
        <f t="shared" si="35"/>
        <v>Clear</v>
      </c>
      <c r="K655" s="9">
        <v>0.28000000000000003</v>
      </c>
      <c r="L655" s="9">
        <v>0.28789999999999999</v>
      </c>
      <c r="M655" s="9">
        <v>0.61</v>
      </c>
      <c r="N655" s="9">
        <v>0.1045</v>
      </c>
      <c r="O655" s="9">
        <v>13</v>
      </c>
      <c r="P655" s="9">
        <v>71</v>
      </c>
      <c r="Q655" s="9">
        <v>84</v>
      </c>
      <c r="V655">
        <v>1</v>
      </c>
      <c r="W655">
        <v>124</v>
      </c>
    </row>
    <row r="656" spans="1:23">
      <c r="A656" s="9">
        <v>655</v>
      </c>
      <c r="B656" s="10">
        <v>40573</v>
      </c>
      <c r="C656" s="9">
        <v>1</v>
      </c>
      <c r="D656" s="9">
        <v>0</v>
      </c>
      <c r="E656" s="3" t="str">
        <f t="shared" si="34"/>
        <v>January</v>
      </c>
      <c r="F656" s="9">
        <v>14</v>
      </c>
      <c r="G656" s="3" t="b">
        <v>0</v>
      </c>
      <c r="H656" s="3" t="str">
        <f t="shared" si="36"/>
        <v>Sunday</v>
      </c>
      <c r="I656" s="9">
        <v>0</v>
      </c>
      <c r="J656" s="3" t="str">
        <f t="shared" si="35"/>
        <v>Clear</v>
      </c>
      <c r="K656" s="9">
        <v>0.28000000000000003</v>
      </c>
      <c r="L656" s="9">
        <v>0.30299999999999999</v>
      </c>
      <c r="M656" s="9">
        <v>0.61</v>
      </c>
      <c r="N656" s="9">
        <v>8.9599999999999999E-2</v>
      </c>
      <c r="O656" s="9">
        <v>18</v>
      </c>
      <c r="P656" s="9">
        <v>104</v>
      </c>
      <c r="Q656" s="9">
        <v>122</v>
      </c>
      <c r="V656">
        <v>14</v>
      </c>
      <c r="W656">
        <v>111</v>
      </c>
    </row>
    <row r="657" spans="1:23">
      <c r="A657" s="9">
        <v>656</v>
      </c>
      <c r="B657" s="10">
        <v>40573</v>
      </c>
      <c r="C657" s="9">
        <v>1</v>
      </c>
      <c r="D657" s="9">
        <v>0</v>
      </c>
      <c r="E657" s="3" t="str">
        <f t="shared" si="34"/>
        <v>January</v>
      </c>
      <c r="F657" s="9">
        <v>15</v>
      </c>
      <c r="G657" s="3" t="b">
        <v>0</v>
      </c>
      <c r="H657" s="3" t="str">
        <f t="shared" si="36"/>
        <v>Sunday</v>
      </c>
      <c r="I657" s="9">
        <v>0</v>
      </c>
      <c r="J657" s="3" t="str">
        <f t="shared" si="35"/>
        <v>Clear</v>
      </c>
      <c r="K657" s="9">
        <v>0.3</v>
      </c>
      <c r="L657" s="9">
        <v>0.33329999999999999</v>
      </c>
      <c r="M657" s="9">
        <v>0.56000000000000005</v>
      </c>
      <c r="N657" s="9">
        <v>0</v>
      </c>
      <c r="O657" s="9">
        <v>14</v>
      </c>
      <c r="P657" s="9">
        <v>95</v>
      </c>
      <c r="Q657" s="9">
        <v>109</v>
      </c>
      <c r="V657">
        <v>30</v>
      </c>
      <c r="W657">
        <v>95</v>
      </c>
    </row>
    <row r="658" spans="1:23">
      <c r="A658" s="9">
        <v>657</v>
      </c>
      <c r="B658" s="10">
        <v>40573</v>
      </c>
      <c r="C658" s="9">
        <v>1</v>
      </c>
      <c r="D658" s="9">
        <v>0</v>
      </c>
      <c r="E658" s="3" t="str">
        <f t="shared" si="34"/>
        <v>January</v>
      </c>
      <c r="F658" s="9">
        <v>16</v>
      </c>
      <c r="G658" s="3" t="b">
        <v>0</v>
      </c>
      <c r="H658" s="3" t="str">
        <f t="shared" si="36"/>
        <v>Sunday</v>
      </c>
      <c r="I658" s="9">
        <v>0</v>
      </c>
      <c r="J658" s="3" t="str">
        <f t="shared" si="35"/>
        <v>Clear</v>
      </c>
      <c r="K658" s="9">
        <v>0.3</v>
      </c>
      <c r="L658" s="9">
        <v>0.33329999999999999</v>
      </c>
      <c r="M658" s="9">
        <v>0.56000000000000005</v>
      </c>
      <c r="N658" s="9">
        <v>0</v>
      </c>
      <c r="O658" s="9">
        <v>19</v>
      </c>
      <c r="P658" s="9">
        <v>104</v>
      </c>
      <c r="Q658" s="9">
        <v>123</v>
      </c>
      <c r="U658">
        <v>126</v>
      </c>
      <c r="W658">
        <v>124</v>
      </c>
    </row>
    <row r="659" spans="1:23">
      <c r="A659" s="9">
        <v>658</v>
      </c>
      <c r="B659" s="10">
        <v>40573</v>
      </c>
      <c r="C659" s="9">
        <v>1</v>
      </c>
      <c r="D659" s="9">
        <v>0</v>
      </c>
      <c r="E659" s="3" t="str">
        <f t="shared" si="34"/>
        <v>January</v>
      </c>
      <c r="F659" s="9">
        <v>17</v>
      </c>
      <c r="G659" s="3" t="b">
        <v>0</v>
      </c>
      <c r="H659" s="3" t="str">
        <f t="shared" si="36"/>
        <v>Sunday</v>
      </c>
      <c r="I659" s="9">
        <v>0</v>
      </c>
      <c r="J659" s="3" t="str">
        <f t="shared" si="35"/>
        <v>Clear</v>
      </c>
      <c r="K659" s="9">
        <v>0.3</v>
      </c>
      <c r="L659" s="9">
        <v>0.28789999999999999</v>
      </c>
      <c r="M659" s="9">
        <v>0.56000000000000005</v>
      </c>
      <c r="N659" s="9">
        <v>0.19400000000000001</v>
      </c>
      <c r="O659" s="9">
        <v>6</v>
      </c>
      <c r="P659" s="9">
        <v>71</v>
      </c>
      <c r="Q659" s="9">
        <v>77</v>
      </c>
      <c r="V659">
        <v>2</v>
      </c>
      <c r="W659">
        <v>124</v>
      </c>
    </row>
    <row r="660" spans="1:23">
      <c r="A660" s="9">
        <v>659</v>
      </c>
      <c r="B660" s="10">
        <v>40573</v>
      </c>
      <c r="C660" s="9">
        <v>1</v>
      </c>
      <c r="D660" s="9">
        <v>0</v>
      </c>
      <c r="E660" s="3" t="str">
        <f t="shared" si="34"/>
        <v>January</v>
      </c>
      <c r="F660" s="9">
        <v>18</v>
      </c>
      <c r="G660" s="3" t="b">
        <v>0</v>
      </c>
      <c r="H660" s="3" t="str">
        <f t="shared" si="36"/>
        <v>Sunday</v>
      </c>
      <c r="I660" s="9">
        <v>0</v>
      </c>
      <c r="J660" s="3" t="str">
        <f t="shared" si="35"/>
        <v>Clear</v>
      </c>
      <c r="K660" s="9">
        <v>0.26</v>
      </c>
      <c r="L660" s="9">
        <v>0.2576</v>
      </c>
      <c r="M660" s="9">
        <v>0.65</v>
      </c>
      <c r="N660" s="9">
        <v>0.16420000000000001</v>
      </c>
      <c r="O660" s="9">
        <v>8</v>
      </c>
      <c r="P660" s="9">
        <v>57</v>
      </c>
      <c r="Q660" s="9">
        <v>65</v>
      </c>
      <c r="U660">
        <v>127</v>
      </c>
      <c r="W660">
        <v>124</v>
      </c>
    </row>
    <row r="661" spans="1:23">
      <c r="A661" s="9">
        <v>660</v>
      </c>
      <c r="B661" s="10">
        <v>40573</v>
      </c>
      <c r="C661" s="9">
        <v>1</v>
      </c>
      <c r="D661" s="9">
        <v>0</v>
      </c>
      <c r="E661" s="3" t="str">
        <f t="shared" si="34"/>
        <v>January</v>
      </c>
      <c r="F661" s="9">
        <v>19</v>
      </c>
      <c r="G661" s="3" t="b">
        <v>0</v>
      </c>
      <c r="H661" s="3" t="str">
        <f t="shared" si="36"/>
        <v>Sunday</v>
      </c>
      <c r="I661" s="9">
        <v>0</v>
      </c>
      <c r="J661" s="3" t="str">
        <f t="shared" si="35"/>
        <v>Clear</v>
      </c>
      <c r="K661" s="9">
        <v>0.26</v>
      </c>
      <c r="L661" s="9">
        <v>0.2576</v>
      </c>
      <c r="M661" s="9">
        <v>0.65</v>
      </c>
      <c r="N661" s="9">
        <v>0.19400000000000001</v>
      </c>
      <c r="O661" s="9">
        <v>9</v>
      </c>
      <c r="P661" s="9">
        <v>46</v>
      </c>
      <c r="Q661" s="9">
        <v>55</v>
      </c>
      <c r="V661">
        <v>3</v>
      </c>
      <c r="W661">
        <v>124</v>
      </c>
    </row>
    <row r="662" spans="1:23">
      <c r="A662" s="9">
        <v>661</v>
      </c>
      <c r="B662" s="10">
        <v>40573</v>
      </c>
      <c r="C662" s="9">
        <v>1</v>
      </c>
      <c r="D662" s="9">
        <v>0</v>
      </c>
      <c r="E662" s="3" t="str">
        <f t="shared" si="34"/>
        <v>January</v>
      </c>
      <c r="F662" s="9">
        <v>20</v>
      </c>
      <c r="G662" s="3" t="b">
        <v>0</v>
      </c>
      <c r="H662" s="3" t="str">
        <f t="shared" si="36"/>
        <v>Sunday</v>
      </c>
      <c r="I662" s="9">
        <v>0</v>
      </c>
      <c r="J662" s="3" t="str">
        <f t="shared" si="35"/>
        <v>Clear</v>
      </c>
      <c r="K662" s="9">
        <v>0.26</v>
      </c>
      <c r="L662" s="9">
        <v>0.2727</v>
      </c>
      <c r="M662" s="9">
        <v>0.65</v>
      </c>
      <c r="N662" s="9">
        <v>0.1045</v>
      </c>
      <c r="O662" s="9">
        <v>3</v>
      </c>
      <c r="P662" s="9">
        <v>30</v>
      </c>
      <c r="Q662" s="9">
        <v>33</v>
      </c>
      <c r="U662">
        <v>128</v>
      </c>
      <c r="W662">
        <v>343</v>
      </c>
    </row>
    <row r="663" spans="1:23">
      <c r="A663" s="9">
        <v>662</v>
      </c>
      <c r="B663" s="10">
        <v>40573</v>
      </c>
      <c r="C663" s="9">
        <v>1</v>
      </c>
      <c r="D663" s="9">
        <v>0</v>
      </c>
      <c r="E663" s="3" t="str">
        <f t="shared" si="34"/>
        <v>January</v>
      </c>
      <c r="F663" s="9">
        <v>21</v>
      </c>
      <c r="G663" s="3" t="b">
        <v>0</v>
      </c>
      <c r="H663" s="3" t="str">
        <f t="shared" si="36"/>
        <v>Sunday</v>
      </c>
      <c r="I663" s="9">
        <v>0</v>
      </c>
      <c r="J663" s="3" t="str">
        <f t="shared" si="35"/>
        <v>Foggy</v>
      </c>
      <c r="K663" s="9">
        <v>0.24</v>
      </c>
      <c r="L663" s="9">
        <v>0.2424</v>
      </c>
      <c r="M663" s="9">
        <v>0.7</v>
      </c>
      <c r="N663" s="9">
        <v>0.16420000000000001</v>
      </c>
      <c r="O663" s="9">
        <v>3</v>
      </c>
      <c r="P663" s="9">
        <v>25</v>
      </c>
      <c r="Q663" s="9">
        <v>28</v>
      </c>
      <c r="V663">
        <v>3</v>
      </c>
      <c r="W663">
        <v>125</v>
      </c>
    </row>
    <row r="664" spans="1:23">
      <c r="A664" s="9">
        <v>663</v>
      </c>
      <c r="B664" s="10">
        <v>40573</v>
      </c>
      <c r="C664" s="9">
        <v>1</v>
      </c>
      <c r="D664" s="9">
        <v>0</v>
      </c>
      <c r="E664" s="3" t="str">
        <f t="shared" si="34"/>
        <v>January</v>
      </c>
      <c r="F664" s="9">
        <v>22</v>
      </c>
      <c r="G664" s="3" t="b">
        <v>0</v>
      </c>
      <c r="H664" s="3" t="str">
        <f t="shared" si="36"/>
        <v>Sunday</v>
      </c>
      <c r="I664" s="9">
        <v>0</v>
      </c>
      <c r="J664" s="3" t="str">
        <f t="shared" si="35"/>
        <v>Foggy</v>
      </c>
      <c r="K664" s="9">
        <v>0.24</v>
      </c>
      <c r="L664" s="9">
        <v>0.2273</v>
      </c>
      <c r="M664" s="9">
        <v>0.7</v>
      </c>
      <c r="N664" s="9">
        <v>0.19400000000000001</v>
      </c>
      <c r="O664" s="9">
        <v>2</v>
      </c>
      <c r="P664" s="9">
        <v>19</v>
      </c>
      <c r="Q664" s="9">
        <v>21</v>
      </c>
      <c r="V664">
        <v>5</v>
      </c>
      <c r="W664">
        <v>123</v>
      </c>
    </row>
    <row r="665" spans="1:23">
      <c r="A665" s="9">
        <v>664</v>
      </c>
      <c r="B665" s="10">
        <v>40573</v>
      </c>
      <c r="C665" s="9">
        <v>1</v>
      </c>
      <c r="D665" s="9">
        <v>0</v>
      </c>
      <c r="E665" s="3" t="str">
        <f t="shared" si="34"/>
        <v>January</v>
      </c>
      <c r="F665" s="9">
        <v>23</v>
      </c>
      <c r="G665" s="3" t="b">
        <v>0</v>
      </c>
      <c r="H665" s="3" t="str">
        <f t="shared" si="36"/>
        <v>Sunday</v>
      </c>
      <c r="I665" s="9">
        <v>0</v>
      </c>
      <c r="J665" s="3" t="str">
        <f t="shared" si="35"/>
        <v>Foggy</v>
      </c>
      <c r="K665" s="9">
        <v>0.24</v>
      </c>
      <c r="L665" s="9">
        <v>0.21210000000000001</v>
      </c>
      <c r="M665" s="9">
        <v>0.65</v>
      </c>
      <c r="N665" s="9">
        <v>0.28360000000000002</v>
      </c>
      <c r="O665" s="9">
        <v>5</v>
      </c>
      <c r="P665" s="9">
        <v>16</v>
      </c>
      <c r="Q665" s="9">
        <v>21</v>
      </c>
      <c r="V665">
        <v>33</v>
      </c>
      <c r="W665">
        <v>95</v>
      </c>
    </row>
    <row r="666" spans="1:23">
      <c r="A666" s="9">
        <v>665</v>
      </c>
      <c r="B666" s="10">
        <v>40574</v>
      </c>
      <c r="C666" s="9">
        <v>1</v>
      </c>
      <c r="D666" s="9">
        <v>0</v>
      </c>
      <c r="E666" s="3" t="str">
        <f t="shared" si="34"/>
        <v>January</v>
      </c>
      <c r="F666" s="9">
        <v>0</v>
      </c>
      <c r="G666" s="3" t="b">
        <v>0</v>
      </c>
      <c r="H666" s="3" t="str">
        <f t="shared" si="36"/>
        <v>Monday</v>
      </c>
      <c r="I666" s="9">
        <v>1</v>
      </c>
      <c r="J666" s="3" t="str">
        <f t="shared" si="35"/>
        <v>Foggy</v>
      </c>
      <c r="K666" s="9">
        <v>0.24</v>
      </c>
      <c r="L666" s="9">
        <v>0.2273</v>
      </c>
      <c r="M666" s="9">
        <v>0.65</v>
      </c>
      <c r="N666" s="9">
        <v>0.22389999999999999</v>
      </c>
      <c r="O666" s="9">
        <v>1</v>
      </c>
      <c r="P666" s="9">
        <v>6</v>
      </c>
      <c r="Q666" s="9">
        <v>7</v>
      </c>
      <c r="U666">
        <v>129</v>
      </c>
      <c r="W666">
        <v>108</v>
      </c>
    </row>
    <row r="667" spans="1:23">
      <c r="A667" s="9">
        <v>666</v>
      </c>
      <c r="B667" s="10">
        <v>40574</v>
      </c>
      <c r="C667" s="9">
        <v>1</v>
      </c>
      <c r="D667" s="9">
        <v>0</v>
      </c>
      <c r="E667" s="3" t="str">
        <f t="shared" si="34"/>
        <v>January</v>
      </c>
      <c r="F667" s="9">
        <v>1</v>
      </c>
      <c r="G667" s="3" t="b">
        <v>0</v>
      </c>
      <c r="H667" s="3" t="str">
        <f t="shared" si="36"/>
        <v>Monday</v>
      </c>
      <c r="I667" s="9">
        <v>1</v>
      </c>
      <c r="J667" s="3" t="str">
        <f t="shared" si="35"/>
        <v>Foggy</v>
      </c>
      <c r="K667" s="9">
        <v>0.22</v>
      </c>
      <c r="L667" s="9">
        <v>0.21210000000000001</v>
      </c>
      <c r="M667" s="9">
        <v>0.64</v>
      </c>
      <c r="N667" s="9">
        <v>0.25369999999999998</v>
      </c>
      <c r="O667" s="9">
        <v>2</v>
      </c>
      <c r="P667" s="9">
        <v>5</v>
      </c>
      <c r="Q667" s="9">
        <v>7</v>
      </c>
      <c r="V667">
        <v>21</v>
      </c>
      <c r="W667">
        <v>108</v>
      </c>
    </row>
    <row r="668" spans="1:23">
      <c r="A668" s="9">
        <v>667</v>
      </c>
      <c r="B668" s="10">
        <v>40574</v>
      </c>
      <c r="C668" s="9">
        <v>1</v>
      </c>
      <c r="D668" s="9">
        <v>0</v>
      </c>
      <c r="E668" s="3" t="str">
        <f t="shared" si="34"/>
        <v>January</v>
      </c>
      <c r="F668" s="9">
        <v>2</v>
      </c>
      <c r="G668" s="3" t="b">
        <v>0</v>
      </c>
      <c r="H668" s="3" t="str">
        <f t="shared" si="36"/>
        <v>Monday</v>
      </c>
      <c r="I668" s="9">
        <v>1</v>
      </c>
      <c r="J668" s="3" t="str">
        <f t="shared" si="35"/>
        <v>Foggy</v>
      </c>
      <c r="K668" s="9">
        <v>0.22</v>
      </c>
      <c r="L668" s="9">
        <v>0.2273</v>
      </c>
      <c r="M668" s="9">
        <v>0.64</v>
      </c>
      <c r="N668" s="9">
        <v>0.19400000000000001</v>
      </c>
      <c r="O668" s="9">
        <v>0</v>
      </c>
      <c r="P668" s="9">
        <v>1</v>
      </c>
      <c r="Q668" s="9">
        <v>1</v>
      </c>
      <c r="U668">
        <v>130</v>
      </c>
      <c r="W668">
        <v>127</v>
      </c>
    </row>
    <row r="669" spans="1:23">
      <c r="A669" s="9">
        <v>668</v>
      </c>
      <c r="B669" s="10">
        <v>40574</v>
      </c>
      <c r="C669" s="9">
        <v>1</v>
      </c>
      <c r="D669" s="9">
        <v>0</v>
      </c>
      <c r="E669" s="3" t="str">
        <f t="shared" si="34"/>
        <v>January</v>
      </c>
      <c r="F669" s="9">
        <v>3</v>
      </c>
      <c r="G669" s="3" t="b">
        <v>0</v>
      </c>
      <c r="H669" s="3" t="str">
        <f t="shared" si="36"/>
        <v>Monday</v>
      </c>
      <c r="I669" s="9">
        <v>1</v>
      </c>
      <c r="J669" s="3" t="str">
        <f t="shared" si="35"/>
        <v>Foggy</v>
      </c>
      <c r="K669" s="9">
        <v>0.22</v>
      </c>
      <c r="L669" s="9">
        <v>0.2273</v>
      </c>
      <c r="M669" s="9">
        <v>0.64</v>
      </c>
      <c r="N669" s="9">
        <v>0.19400000000000001</v>
      </c>
      <c r="O669" s="9">
        <v>0</v>
      </c>
      <c r="P669" s="9">
        <v>2</v>
      </c>
      <c r="Q669" s="9">
        <v>2</v>
      </c>
      <c r="V669">
        <v>3</v>
      </c>
      <c r="W669">
        <v>127</v>
      </c>
    </row>
    <row r="670" spans="1:23">
      <c r="A670" s="9">
        <v>669</v>
      </c>
      <c r="B670" s="10">
        <v>40574</v>
      </c>
      <c r="C670" s="9">
        <v>1</v>
      </c>
      <c r="D670" s="9">
        <v>0</v>
      </c>
      <c r="E670" s="3" t="str">
        <f t="shared" si="34"/>
        <v>January</v>
      </c>
      <c r="F670" s="9">
        <v>4</v>
      </c>
      <c r="G670" s="3" t="b">
        <v>0</v>
      </c>
      <c r="H670" s="3" t="str">
        <f t="shared" si="36"/>
        <v>Monday</v>
      </c>
      <c r="I670" s="9">
        <v>1</v>
      </c>
      <c r="J670" s="3" t="str">
        <f t="shared" si="35"/>
        <v>Foggy</v>
      </c>
      <c r="K670" s="9">
        <v>0.2</v>
      </c>
      <c r="L670" s="9">
        <v>0.19700000000000001</v>
      </c>
      <c r="M670" s="9">
        <v>0.59</v>
      </c>
      <c r="N670" s="9">
        <v>0.22389999999999999</v>
      </c>
      <c r="O670" s="9">
        <v>0</v>
      </c>
      <c r="P670" s="9">
        <v>2</v>
      </c>
      <c r="Q670" s="9">
        <v>2</v>
      </c>
      <c r="U670">
        <v>132</v>
      </c>
      <c r="W670">
        <v>127</v>
      </c>
    </row>
    <row r="671" spans="1:23">
      <c r="A671" s="9">
        <v>670</v>
      </c>
      <c r="B671" s="10">
        <v>40574</v>
      </c>
      <c r="C671" s="9">
        <v>1</v>
      </c>
      <c r="D671" s="9">
        <v>0</v>
      </c>
      <c r="E671" s="3" t="str">
        <f t="shared" si="34"/>
        <v>January</v>
      </c>
      <c r="F671" s="9">
        <v>5</v>
      </c>
      <c r="G671" s="3" t="b">
        <v>0</v>
      </c>
      <c r="H671" s="3" t="str">
        <f t="shared" si="36"/>
        <v>Monday</v>
      </c>
      <c r="I671" s="9">
        <v>1</v>
      </c>
      <c r="J671" s="3" t="str">
        <f t="shared" si="35"/>
        <v>Foggy</v>
      </c>
      <c r="K671" s="9">
        <v>0.18</v>
      </c>
      <c r="L671" s="9">
        <v>0.16669999999999999</v>
      </c>
      <c r="M671" s="9">
        <v>0.64</v>
      </c>
      <c r="N671" s="9">
        <v>0.28360000000000002</v>
      </c>
      <c r="O671" s="9">
        <v>0</v>
      </c>
      <c r="P671" s="9">
        <v>8</v>
      </c>
      <c r="Q671" s="9">
        <v>8</v>
      </c>
      <c r="V671">
        <v>5</v>
      </c>
      <c r="W671">
        <v>127</v>
      </c>
    </row>
    <row r="672" spans="1:23">
      <c r="A672" s="9">
        <v>671</v>
      </c>
      <c r="B672" s="10">
        <v>40574</v>
      </c>
      <c r="C672" s="9">
        <v>1</v>
      </c>
      <c r="D672" s="9">
        <v>0</v>
      </c>
      <c r="E672" s="3" t="str">
        <f t="shared" si="34"/>
        <v>January</v>
      </c>
      <c r="F672" s="9">
        <v>6</v>
      </c>
      <c r="G672" s="3" t="b">
        <v>0</v>
      </c>
      <c r="H672" s="3" t="str">
        <f t="shared" si="36"/>
        <v>Monday</v>
      </c>
      <c r="I672" s="9">
        <v>1</v>
      </c>
      <c r="J672" s="3" t="str">
        <f t="shared" si="35"/>
        <v>Foggy</v>
      </c>
      <c r="K672" s="9">
        <v>0.16</v>
      </c>
      <c r="L672" s="9">
        <v>0.13639999999999999</v>
      </c>
      <c r="M672" s="9">
        <v>0.69</v>
      </c>
      <c r="N672" s="9">
        <v>0.32840000000000003</v>
      </c>
      <c r="O672" s="9">
        <v>0</v>
      </c>
      <c r="P672" s="9">
        <v>37</v>
      </c>
      <c r="Q672" s="9">
        <v>37</v>
      </c>
      <c r="U672">
        <v>133</v>
      </c>
      <c r="W672">
        <v>259</v>
      </c>
    </row>
    <row r="673" spans="1:23">
      <c r="A673" s="9">
        <v>672</v>
      </c>
      <c r="B673" s="10">
        <v>40574</v>
      </c>
      <c r="C673" s="9">
        <v>1</v>
      </c>
      <c r="D673" s="9">
        <v>0</v>
      </c>
      <c r="E673" s="3" t="str">
        <f t="shared" si="34"/>
        <v>January</v>
      </c>
      <c r="F673" s="9">
        <v>7</v>
      </c>
      <c r="G673" s="3" t="b">
        <v>0</v>
      </c>
      <c r="H673" s="3" t="str">
        <f t="shared" si="36"/>
        <v>Monday</v>
      </c>
      <c r="I673" s="9">
        <v>1</v>
      </c>
      <c r="J673" s="3" t="str">
        <f t="shared" si="35"/>
        <v>Foggy</v>
      </c>
      <c r="K673" s="9">
        <v>0.16</v>
      </c>
      <c r="L673" s="9">
        <v>0.13639999999999999</v>
      </c>
      <c r="M673" s="9">
        <v>0.64</v>
      </c>
      <c r="N673" s="9">
        <v>0.28360000000000002</v>
      </c>
      <c r="O673" s="9">
        <v>1</v>
      </c>
      <c r="P673" s="9">
        <v>71</v>
      </c>
      <c r="Q673" s="9">
        <v>72</v>
      </c>
      <c r="V673">
        <v>1</v>
      </c>
      <c r="W673">
        <v>132</v>
      </c>
    </row>
    <row r="674" spans="1:23">
      <c r="A674" s="9">
        <v>673</v>
      </c>
      <c r="B674" s="10">
        <v>40574</v>
      </c>
      <c r="C674" s="9">
        <v>1</v>
      </c>
      <c r="D674" s="9">
        <v>0</v>
      </c>
      <c r="E674" s="3" t="str">
        <f t="shared" si="34"/>
        <v>January</v>
      </c>
      <c r="F674" s="9">
        <v>8</v>
      </c>
      <c r="G674" s="3" t="b">
        <v>0</v>
      </c>
      <c r="H674" s="3" t="str">
        <f t="shared" si="36"/>
        <v>Monday</v>
      </c>
      <c r="I674" s="9">
        <v>1</v>
      </c>
      <c r="J674" s="3" t="str">
        <f t="shared" si="35"/>
        <v>Foggy</v>
      </c>
      <c r="K674" s="9">
        <v>0.16</v>
      </c>
      <c r="L674" s="9">
        <v>0.13639999999999999</v>
      </c>
      <c r="M674" s="9">
        <v>0.59</v>
      </c>
      <c r="N674" s="9">
        <v>0.28360000000000002</v>
      </c>
      <c r="O674" s="9">
        <v>3</v>
      </c>
      <c r="P674" s="9">
        <v>182</v>
      </c>
      <c r="Q674" s="9">
        <v>185</v>
      </c>
      <c r="V674">
        <v>6</v>
      </c>
      <c r="W674">
        <v>127</v>
      </c>
    </row>
    <row r="675" spans="1:23">
      <c r="A675" s="9">
        <v>674</v>
      </c>
      <c r="B675" s="10">
        <v>40574</v>
      </c>
      <c r="C675" s="9">
        <v>1</v>
      </c>
      <c r="D675" s="9">
        <v>0</v>
      </c>
      <c r="E675" s="3" t="str">
        <f t="shared" si="34"/>
        <v>January</v>
      </c>
      <c r="F675" s="9">
        <v>9</v>
      </c>
      <c r="G675" s="3" t="b">
        <v>0</v>
      </c>
      <c r="H675" s="3" t="str">
        <f t="shared" si="36"/>
        <v>Monday</v>
      </c>
      <c r="I675" s="9">
        <v>1</v>
      </c>
      <c r="J675" s="3" t="str">
        <f t="shared" si="35"/>
        <v>Foggy</v>
      </c>
      <c r="K675" s="9">
        <v>0.16</v>
      </c>
      <c r="L675" s="9">
        <v>0.13639999999999999</v>
      </c>
      <c r="M675" s="9">
        <v>0.59</v>
      </c>
      <c r="N675" s="9">
        <v>0.29849999999999999</v>
      </c>
      <c r="O675" s="9">
        <v>0</v>
      </c>
      <c r="P675" s="9">
        <v>112</v>
      </c>
      <c r="Q675" s="9">
        <v>112</v>
      </c>
      <c r="U675">
        <v>134</v>
      </c>
      <c r="W675">
        <v>231</v>
      </c>
    </row>
    <row r="676" spans="1:23">
      <c r="A676" s="9">
        <v>675</v>
      </c>
      <c r="B676" s="10">
        <v>40574</v>
      </c>
      <c r="C676" s="9">
        <v>1</v>
      </c>
      <c r="D676" s="9">
        <v>0</v>
      </c>
      <c r="E676" s="3" t="str">
        <f t="shared" si="34"/>
        <v>January</v>
      </c>
      <c r="F676" s="9">
        <v>10</v>
      </c>
      <c r="G676" s="3" t="b">
        <v>0</v>
      </c>
      <c r="H676" s="3" t="str">
        <f t="shared" si="36"/>
        <v>Monday</v>
      </c>
      <c r="I676" s="9">
        <v>1</v>
      </c>
      <c r="J676" s="3" t="str">
        <f t="shared" si="35"/>
        <v>Foggy</v>
      </c>
      <c r="K676" s="9">
        <v>0.16</v>
      </c>
      <c r="L676" s="9">
        <v>0.1515</v>
      </c>
      <c r="M676" s="9">
        <v>0.59</v>
      </c>
      <c r="N676" s="9">
        <v>0.19400000000000001</v>
      </c>
      <c r="O676" s="9">
        <v>1</v>
      </c>
      <c r="P676" s="9">
        <v>68</v>
      </c>
      <c r="Q676" s="9">
        <v>69</v>
      </c>
      <c r="V676">
        <v>9</v>
      </c>
      <c r="W676">
        <v>125</v>
      </c>
    </row>
    <row r="677" spans="1:23">
      <c r="A677" s="9">
        <v>676</v>
      </c>
      <c r="B677" s="10">
        <v>40574</v>
      </c>
      <c r="C677" s="9">
        <v>1</v>
      </c>
      <c r="D677" s="9">
        <v>0</v>
      </c>
      <c r="E677" s="3" t="str">
        <f t="shared" si="34"/>
        <v>January</v>
      </c>
      <c r="F677" s="9">
        <v>11</v>
      </c>
      <c r="G677" s="3" t="b">
        <v>0</v>
      </c>
      <c r="H677" s="3" t="str">
        <f t="shared" si="36"/>
        <v>Monday</v>
      </c>
      <c r="I677" s="9">
        <v>1</v>
      </c>
      <c r="J677" s="3" t="str">
        <f t="shared" si="35"/>
        <v>Foggy</v>
      </c>
      <c r="K677" s="9">
        <v>0.16</v>
      </c>
      <c r="L677" s="9">
        <v>0.1515</v>
      </c>
      <c r="M677" s="9">
        <v>0.59</v>
      </c>
      <c r="N677" s="9">
        <v>0.19400000000000001</v>
      </c>
      <c r="O677" s="9">
        <v>2</v>
      </c>
      <c r="P677" s="9">
        <v>46</v>
      </c>
      <c r="Q677" s="9">
        <v>48</v>
      </c>
      <c r="V677">
        <v>28</v>
      </c>
      <c r="W677">
        <v>106</v>
      </c>
    </row>
    <row r="678" spans="1:23">
      <c r="A678" s="9">
        <v>677</v>
      </c>
      <c r="B678" s="10">
        <v>40574</v>
      </c>
      <c r="C678" s="9">
        <v>1</v>
      </c>
      <c r="D678" s="9">
        <v>0</v>
      </c>
      <c r="E678" s="3" t="str">
        <f t="shared" si="34"/>
        <v>January</v>
      </c>
      <c r="F678" s="9">
        <v>12</v>
      </c>
      <c r="G678" s="3" t="b">
        <v>0</v>
      </c>
      <c r="H678" s="3" t="str">
        <f t="shared" si="36"/>
        <v>Monday</v>
      </c>
      <c r="I678" s="9">
        <v>1</v>
      </c>
      <c r="J678" s="3" t="str">
        <f t="shared" si="35"/>
        <v>Foggy</v>
      </c>
      <c r="K678" s="9">
        <v>0.18</v>
      </c>
      <c r="L678" s="9">
        <v>0.21210000000000001</v>
      </c>
      <c r="M678" s="9">
        <v>0.55000000000000004</v>
      </c>
      <c r="N678" s="9">
        <v>0.1045</v>
      </c>
      <c r="O678" s="9">
        <v>6</v>
      </c>
      <c r="P678" s="9">
        <v>62</v>
      </c>
      <c r="Q678" s="9">
        <v>68</v>
      </c>
      <c r="U678">
        <v>135</v>
      </c>
      <c r="W678">
        <v>363</v>
      </c>
    </row>
    <row r="679" spans="1:23">
      <c r="A679" s="9">
        <v>678</v>
      </c>
      <c r="B679" s="10">
        <v>40574</v>
      </c>
      <c r="C679" s="9">
        <v>1</v>
      </c>
      <c r="D679" s="9">
        <v>0</v>
      </c>
      <c r="E679" s="3" t="str">
        <f t="shared" si="34"/>
        <v>January</v>
      </c>
      <c r="F679" s="9">
        <v>13</v>
      </c>
      <c r="G679" s="3" t="b">
        <v>0</v>
      </c>
      <c r="H679" s="3" t="str">
        <f t="shared" si="36"/>
        <v>Monday</v>
      </c>
      <c r="I679" s="9">
        <v>1</v>
      </c>
      <c r="J679" s="3" t="str">
        <f t="shared" si="35"/>
        <v>Foggy</v>
      </c>
      <c r="K679" s="9">
        <v>0.16</v>
      </c>
      <c r="L679" s="9">
        <v>0.2273</v>
      </c>
      <c r="M679" s="9">
        <v>0.59</v>
      </c>
      <c r="N679" s="9">
        <v>0</v>
      </c>
      <c r="O679" s="9">
        <v>2</v>
      </c>
      <c r="P679" s="9">
        <v>52</v>
      </c>
      <c r="Q679" s="9">
        <v>54</v>
      </c>
      <c r="V679">
        <v>3</v>
      </c>
      <c r="W679">
        <v>132</v>
      </c>
    </row>
    <row r="680" spans="1:23">
      <c r="A680" s="9">
        <v>679</v>
      </c>
      <c r="B680" s="10">
        <v>40574</v>
      </c>
      <c r="C680" s="9">
        <v>1</v>
      </c>
      <c r="D680" s="9">
        <v>0</v>
      </c>
      <c r="E680" s="3" t="str">
        <f t="shared" si="34"/>
        <v>January</v>
      </c>
      <c r="F680" s="9">
        <v>14</v>
      </c>
      <c r="G680" s="3" t="b">
        <v>0</v>
      </c>
      <c r="H680" s="3" t="str">
        <f t="shared" si="36"/>
        <v>Monday</v>
      </c>
      <c r="I680" s="9">
        <v>1</v>
      </c>
      <c r="J680" s="3" t="str">
        <f t="shared" si="35"/>
        <v>Foggy</v>
      </c>
      <c r="K680" s="9">
        <v>0.18</v>
      </c>
      <c r="L680" s="9">
        <v>0.19700000000000001</v>
      </c>
      <c r="M680" s="9">
        <v>0.55000000000000004</v>
      </c>
      <c r="N680" s="9">
        <v>0.1343</v>
      </c>
      <c r="O680" s="9">
        <v>1</v>
      </c>
      <c r="P680" s="9">
        <v>85</v>
      </c>
      <c r="Q680" s="9">
        <v>86</v>
      </c>
      <c r="V680">
        <v>7</v>
      </c>
      <c r="W680">
        <v>128</v>
      </c>
    </row>
    <row r="681" spans="1:23">
      <c r="A681" s="9">
        <v>680</v>
      </c>
      <c r="B681" s="10">
        <v>40574</v>
      </c>
      <c r="C681" s="9">
        <v>1</v>
      </c>
      <c r="D681" s="9">
        <v>0</v>
      </c>
      <c r="E681" s="3" t="str">
        <f t="shared" si="34"/>
        <v>January</v>
      </c>
      <c r="F681" s="9">
        <v>15</v>
      </c>
      <c r="G681" s="3" t="b">
        <v>0</v>
      </c>
      <c r="H681" s="3" t="str">
        <f t="shared" si="36"/>
        <v>Monday</v>
      </c>
      <c r="I681" s="9">
        <v>1</v>
      </c>
      <c r="J681" s="3" t="str">
        <f t="shared" si="35"/>
        <v>Foggy</v>
      </c>
      <c r="K681" s="9">
        <v>0.16</v>
      </c>
      <c r="L681" s="9">
        <v>0.18179999999999999</v>
      </c>
      <c r="M681" s="9">
        <v>0.59</v>
      </c>
      <c r="N681" s="9">
        <v>0.1343</v>
      </c>
      <c r="O681" s="9">
        <v>3</v>
      </c>
      <c r="P681" s="9">
        <v>41</v>
      </c>
      <c r="Q681" s="9">
        <v>44</v>
      </c>
      <c r="V681">
        <v>32</v>
      </c>
      <c r="W681">
        <v>103</v>
      </c>
    </row>
    <row r="682" spans="1:23">
      <c r="A682" s="9">
        <v>681</v>
      </c>
      <c r="B682" s="10">
        <v>40574</v>
      </c>
      <c r="C682" s="9">
        <v>1</v>
      </c>
      <c r="D682" s="9">
        <v>0</v>
      </c>
      <c r="E682" s="3" t="str">
        <f t="shared" si="34"/>
        <v>January</v>
      </c>
      <c r="F682" s="9">
        <v>16</v>
      </c>
      <c r="G682" s="3" t="b">
        <v>0</v>
      </c>
      <c r="H682" s="3" t="str">
        <f t="shared" si="36"/>
        <v>Monday</v>
      </c>
      <c r="I682" s="9">
        <v>1</v>
      </c>
      <c r="J682" s="3" t="str">
        <f t="shared" si="35"/>
        <v>Foggy</v>
      </c>
      <c r="K682" s="9">
        <v>0.16</v>
      </c>
      <c r="L682" s="9">
        <v>0.18179999999999999</v>
      </c>
      <c r="M682" s="9">
        <v>0.56000000000000005</v>
      </c>
      <c r="N682" s="9">
        <v>0.19400000000000001</v>
      </c>
      <c r="O682" s="9">
        <v>3</v>
      </c>
      <c r="P682" s="9">
        <v>83</v>
      </c>
      <c r="Q682" s="9">
        <v>86</v>
      </c>
      <c r="U682">
        <v>136</v>
      </c>
      <c r="W682">
        <v>130</v>
      </c>
    </row>
    <row r="683" spans="1:23">
      <c r="A683" s="9">
        <v>682</v>
      </c>
      <c r="B683" s="10">
        <v>40574</v>
      </c>
      <c r="C683" s="9">
        <v>1</v>
      </c>
      <c r="D683" s="9">
        <v>0</v>
      </c>
      <c r="E683" s="3" t="str">
        <f t="shared" si="34"/>
        <v>January</v>
      </c>
      <c r="F683" s="9">
        <v>17</v>
      </c>
      <c r="G683" s="3" t="b">
        <v>0</v>
      </c>
      <c r="H683" s="3" t="str">
        <f t="shared" si="36"/>
        <v>Monday</v>
      </c>
      <c r="I683" s="9">
        <v>1</v>
      </c>
      <c r="J683" s="3" t="str">
        <f t="shared" si="35"/>
        <v>Foggy</v>
      </c>
      <c r="K683" s="9">
        <v>0.16</v>
      </c>
      <c r="L683" s="9">
        <v>0.1515</v>
      </c>
      <c r="M683" s="9">
        <v>0.59</v>
      </c>
      <c r="N683" s="9">
        <v>0.19400000000000001</v>
      </c>
      <c r="O683" s="9">
        <v>6</v>
      </c>
      <c r="P683" s="9">
        <v>155</v>
      </c>
      <c r="Q683" s="9">
        <v>161</v>
      </c>
      <c r="V683">
        <v>6</v>
      </c>
      <c r="W683">
        <v>130</v>
      </c>
    </row>
    <row r="684" spans="1:23">
      <c r="A684" s="9">
        <v>683</v>
      </c>
      <c r="B684" s="10">
        <v>40574</v>
      </c>
      <c r="C684" s="9">
        <v>1</v>
      </c>
      <c r="D684" s="9">
        <v>0</v>
      </c>
      <c r="E684" s="3" t="str">
        <f t="shared" si="34"/>
        <v>January</v>
      </c>
      <c r="F684" s="9">
        <v>18</v>
      </c>
      <c r="G684" s="3" t="b">
        <v>0</v>
      </c>
      <c r="H684" s="3" t="str">
        <f t="shared" si="36"/>
        <v>Monday</v>
      </c>
      <c r="I684" s="9">
        <v>1</v>
      </c>
      <c r="J684" s="3" t="str">
        <f t="shared" si="35"/>
        <v>Foggy</v>
      </c>
      <c r="K684" s="9">
        <v>0.16</v>
      </c>
      <c r="L684" s="9">
        <v>0.1515</v>
      </c>
      <c r="M684" s="9">
        <v>0.55000000000000004</v>
      </c>
      <c r="N684" s="9">
        <v>0.22389999999999999</v>
      </c>
      <c r="O684" s="9">
        <v>3</v>
      </c>
      <c r="P684" s="9">
        <v>153</v>
      </c>
      <c r="Q684" s="9">
        <v>156</v>
      </c>
      <c r="U684">
        <v>137</v>
      </c>
      <c r="W684">
        <v>248</v>
      </c>
    </row>
    <row r="685" spans="1:23">
      <c r="A685" s="9">
        <v>684</v>
      </c>
      <c r="B685" s="10">
        <v>40574</v>
      </c>
      <c r="C685" s="9">
        <v>1</v>
      </c>
      <c r="D685" s="9">
        <v>0</v>
      </c>
      <c r="E685" s="3" t="str">
        <f t="shared" si="34"/>
        <v>January</v>
      </c>
      <c r="F685" s="9">
        <v>19</v>
      </c>
      <c r="G685" s="3" t="b">
        <v>0</v>
      </c>
      <c r="H685" s="3" t="str">
        <f t="shared" si="36"/>
        <v>Monday</v>
      </c>
      <c r="I685" s="9">
        <v>1</v>
      </c>
      <c r="J685" s="3" t="str">
        <f t="shared" si="35"/>
        <v>Clear</v>
      </c>
      <c r="K685" s="9">
        <v>0.3</v>
      </c>
      <c r="L685" s="9">
        <v>0.31819999999999998</v>
      </c>
      <c r="M685" s="9">
        <v>0.61</v>
      </c>
      <c r="N685" s="9">
        <v>0.1045</v>
      </c>
      <c r="O685" s="9">
        <v>3</v>
      </c>
      <c r="P685" s="9">
        <v>108</v>
      </c>
      <c r="Q685" s="9">
        <v>111</v>
      </c>
      <c r="V685">
        <v>2</v>
      </c>
      <c r="W685">
        <v>135</v>
      </c>
    </row>
    <row r="686" spans="1:23">
      <c r="A686" s="9">
        <v>685</v>
      </c>
      <c r="B686" s="10">
        <v>40574</v>
      </c>
      <c r="C686" s="9">
        <v>1</v>
      </c>
      <c r="D686" s="9">
        <v>0</v>
      </c>
      <c r="E686" s="3" t="str">
        <f t="shared" si="34"/>
        <v>January</v>
      </c>
      <c r="F686" s="9">
        <v>20</v>
      </c>
      <c r="G686" s="3" t="b">
        <v>0</v>
      </c>
      <c r="H686" s="3" t="str">
        <f t="shared" si="36"/>
        <v>Monday</v>
      </c>
      <c r="I686" s="9">
        <v>1</v>
      </c>
      <c r="J686" s="3" t="str">
        <f t="shared" si="35"/>
        <v>Foggy</v>
      </c>
      <c r="K686" s="9">
        <v>0.16</v>
      </c>
      <c r="L686" s="9">
        <v>0.16669999999999999</v>
      </c>
      <c r="M686" s="9">
        <v>0.59</v>
      </c>
      <c r="N686" s="9">
        <v>0.16420000000000001</v>
      </c>
      <c r="O686" s="9">
        <v>0</v>
      </c>
      <c r="P686" s="9">
        <v>78</v>
      </c>
      <c r="Q686" s="9">
        <v>78</v>
      </c>
      <c r="V686">
        <v>24</v>
      </c>
      <c r="W686">
        <v>113</v>
      </c>
    </row>
    <row r="687" spans="1:23">
      <c r="A687" s="9">
        <v>686</v>
      </c>
      <c r="B687" s="10">
        <v>40574</v>
      </c>
      <c r="C687" s="9">
        <v>1</v>
      </c>
      <c r="D687" s="9">
        <v>0</v>
      </c>
      <c r="E687" s="3" t="str">
        <f t="shared" si="34"/>
        <v>January</v>
      </c>
      <c r="F687" s="9">
        <v>21</v>
      </c>
      <c r="G687" s="3" t="b">
        <v>0</v>
      </c>
      <c r="H687" s="3" t="str">
        <f t="shared" si="36"/>
        <v>Monday</v>
      </c>
      <c r="I687" s="9">
        <v>1</v>
      </c>
      <c r="J687" s="3" t="str">
        <f t="shared" si="35"/>
        <v>Foggy</v>
      </c>
      <c r="K687" s="9">
        <v>0.16</v>
      </c>
      <c r="L687" s="9">
        <v>0.19700000000000001</v>
      </c>
      <c r="M687" s="9">
        <v>0.59</v>
      </c>
      <c r="N687" s="9">
        <v>8.9599999999999999E-2</v>
      </c>
      <c r="O687" s="9">
        <v>3</v>
      </c>
      <c r="P687" s="9">
        <v>53</v>
      </c>
      <c r="Q687" s="9">
        <v>56</v>
      </c>
      <c r="U687">
        <v>139</v>
      </c>
      <c r="W687">
        <v>410</v>
      </c>
    </row>
    <row r="688" spans="1:23">
      <c r="A688" s="9">
        <v>687</v>
      </c>
      <c r="B688" s="10">
        <v>40574</v>
      </c>
      <c r="C688" s="9">
        <v>1</v>
      </c>
      <c r="D688" s="9">
        <v>0</v>
      </c>
      <c r="E688" s="3" t="str">
        <f t="shared" si="34"/>
        <v>January</v>
      </c>
      <c r="F688" s="9">
        <v>22</v>
      </c>
      <c r="G688" s="3" t="b">
        <v>0</v>
      </c>
      <c r="H688" s="3" t="str">
        <f t="shared" si="36"/>
        <v>Monday</v>
      </c>
      <c r="I688" s="9">
        <v>1</v>
      </c>
      <c r="J688" s="3" t="str">
        <f t="shared" si="35"/>
        <v>Foggy</v>
      </c>
      <c r="K688" s="9">
        <v>0.16</v>
      </c>
      <c r="L688" s="9">
        <v>0.18179999999999999</v>
      </c>
      <c r="M688" s="9">
        <v>0.59</v>
      </c>
      <c r="N688" s="9">
        <v>0.1045</v>
      </c>
      <c r="O688" s="9">
        <v>0</v>
      </c>
      <c r="P688" s="9">
        <v>34</v>
      </c>
      <c r="Q688" s="9">
        <v>34</v>
      </c>
      <c r="V688">
        <v>0</v>
      </c>
      <c r="W688">
        <v>139</v>
      </c>
    </row>
    <row r="689" spans="1:23">
      <c r="A689" s="9">
        <v>688</v>
      </c>
      <c r="B689" s="10">
        <v>40574</v>
      </c>
      <c r="C689" s="9">
        <v>1</v>
      </c>
      <c r="D689" s="9">
        <v>0</v>
      </c>
      <c r="E689" s="3" t="str">
        <f t="shared" si="34"/>
        <v>January</v>
      </c>
      <c r="F689" s="9">
        <v>23</v>
      </c>
      <c r="G689" s="3" t="b">
        <v>0</v>
      </c>
      <c r="H689" s="3" t="str">
        <f t="shared" si="36"/>
        <v>Monday</v>
      </c>
      <c r="I689" s="9">
        <v>1</v>
      </c>
      <c r="J689" s="3" t="str">
        <f t="shared" si="35"/>
        <v>Foggy</v>
      </c>
      <c r="K689" s="9">
        <v>0.16</v>
      </c>
      <c r="L689" s="9">
        <v>0.19700000000000001</v>
      </c>
      <c r="M689" s="9">
        <v>0.64</v>
      </c>
      <c r="N689" s="9">
        <v>8.9599999999999999E-2</v>
      </c>
      <c r="O689" s="9">
        <v>2</v>
      </c>
      <c r="P689" s="9">
        <v>15</v>
      </c>
      <c r="Q689" s="9">
        <v>17</v>
      </c>
      <c r="V689">
        <v>2</v>
      </c>
      <c r="W689">
        <v>137</v>
      </c>
    </row>
    <row r="690" spans="1:23">
      <c r="A690" s="9">
        <v>689</v>
      </c>
      <c r="B690" s="10">
        <v>40575</v>
      </c>
      <c r="C690" s="9">
        <v>1</v>
      </c>
      <c r="D690" s="9">
        <v>0</v>
      </c>
      <c r="E690" s="3" t="str">
        <f t="shared" si="34"/>
        <v>February</v>
      </c>
      <c r="F690" s="9">
        <v>0</v>
      </c>
      <c r="G690" s="3" t="b">
        <v>0</v>
      </c>
      <c r="H690" s="3" t="str">
        <f t="shared" si="36"/>
        <v>Tuesday</v>
      </c>
      <c r="I690" s="9">
        <v>2</v>
      </c>
      <c r="J690" s="3" t="str">
        <f t="shared" si="35"/>
        <v>Foggy</v>
      </c>
      <c r="K690" s="9">
        <v>0.16</v>
      </c>
      <c r="L690" s="9">
        <v>0.18179999999999999</v>
      </c>
      <c r="M690" s="9">
        <v>0.64</v>
      </c>
      <c r="N690" s="9">
        <v>0.1045</v>
      </c>
      <c r="O690" s="9">
        <v>2</v>
      </c>
      <c r="P690" s="9">
        <v>6</v>
      </c>
      <c r="Q690" s="9">
        <v>8</v>
      </c>
      <c r="V690">
        <v>5</v>
      </c>
      <c r="W690">
        <v>134</v>
      </c>
    </row>
    <row r="691" spans="1:23">
      <c r="A691" s="9">
        <v>690</v>
      </c>
      <c r="B691" s="10">
        <v>40575</v>
      </c>
      <c r="C691" s="9">
        <v>1</v>
      </c>
      <c r="D691" s="9">
        <v>0</v>
      </c>
      <c r="E691" s="3" t="str">
        <f t="shared" si="34"/>
        <v>February</v>
      </c>
      <c r="F691" s="9">
        <v>1</v>
      </c>
      <c r="G691" s="3" t="b">
        <v>0</v>
      </c>
      <c r="H691" s="3" t="str">
        <f t="shared" si="36"/>
        <v>Tuesday</v>
      </c>
      <c r="I691" s="9">
        <v>2</v>
      </c>
      <c r="J691" s="3" t="str">
        <f t="shared" si="35"/>
        <v>Foggy</v>
      </c>
      <c r="K691" s="9">
        <v>0.16</v>
      </c>
      <c r="L691" s="9">
        <v>0.18179999999999999</v>
      </c>
      <c r="M691" s="9">
        <v>0.69</v>
      </c>
      <c r="N691" s="9">
        <v>0.1045</v>
      </c>
      <c r="O691" s="9">
        <v>0</v>
      </c>
      <c r="P691" s="9">
        <v>3</v>
      </c>
      <c r="Q691" s="9">
        <v>3</v>
      </c>
      <c r="U691">
        <v>140</v>
      </c>
      <c r="W691">
        <v>132</v>
      </c>
    </row>
    <row r="692" spans="1:23">
      <c r="A692" s="9">
        <v>691</v>
      </c>
      <c r="B692" s="10">
        <v>40575</v>
      </c>
      <c r="C692" s="9">
        <v>1</v>
      </c>
      <c r="D692" s="9">
        <v>0</v>
      </c>
      <c r="E692" s="3" t="str">
        <f t="shared" si="34"/>
        <v>February</v>
      </c>
      <c r="F692" s="9">
        <v>2</v>
      </c>
      <c r="G692" s="3" t="b">
        <v>0</v>
      </c>
      <c r="H692" s="3" t="str">
        <f t="shared" si="36"/>
        <v>Tuesday</v>
      </c>
      <c r="I692" s="9">
        <v>2</v>
      </c>
      <c r="J692" s="3" t="str">
        <f t="shared" si="35"/>
        <v>Foggy</v>
      </c>
      <c r="K692" s="9">
        <v>0.16</v>
      </c>
      <c r="L692" s="9">
        <v>0.2273</v>
      </c>
      <c r="M692" s="9">
        <v>0.69</v>
      </c>
      <c r="N692" s="9">
        <v>0</v>
      </c>
      <c r="O692" s="9">
        <v>0</v>
      </c>
      <c r="P692" s="9">
        <v>2</v>
      </c>
      <c r="Q692" s="9">
        <v>2</v>
      </c>
      <c r="V692">
        <v>8</v>
      </c>
      <c r="W692">
        <v>132</v>
      </c>
    </row>
    <row r="693" spans="1:23">
      <c r="A693" s="9">
        <v>692</v>
      </c>
      <c r="B693" s="10">
        <v>40575</v>
      </c>
      <c r="C693" s="9">
        <v>1</v>
      </c>
      <c r="D693" s="9">
        <v>0</v>
      </c>
      <c r="E693" s="3" t="str">
        <f t="shared" si="34"/>
        <v>February</v>
      </c>
      <c r="F693" s="9">
        <v>3</v>
      </c>
      <c r="G693" s="3" t="b">
        <v>0</v>
      </c>
      <c r="H693" s="3" t="str">
        <f t="shared" si="36"/>
        <v>Tuesday</v>
      </c>
      <c r="I693" s="9">
        <v>2</v>
      </c>
      <c r="J693" s="3" t="str">
        <f t="shared" si="35"/>
        <v>Foggy</v>
      </c>
      <c r="K693" s="9">
        <v>0.16</v>
      </c>
      <c r="L693" s="9">
        <v>0.2273</v>
      </c>
      <c r="M693" s="9">
        <v>0.69</v>
      </c>
      <c r="N693" s="9">
        <v>0</v>
      </c>
      <c r="O693" s="9">
        <v>0</v>
      </c>
      <c r="P693" s="9">
        <v>2</v>
      </c>
      <c r="Q693" s="9">
        <v>2</v>
      </c>
      <c r="U693">
        <v>143</v>
      </c>
      <c r="W693">
        <v>140</v>
      </c>
    </row>
    <row r="694" spans="1:23">
      <c r="A694" s="9">
        <v>693</v>
      </c>
      <c r="B694" s="10">
        <v>40575</v>
      </c>
      <c r="C694" s="9">
        <v>1</v>
      </c>
      <c r="D694" s="9">
        <v>0</v>
      </c>
      <c r="E694" s="3" t="str">
        <f t="shared" si="34"/>
        <v>February</v>
      </c>
      <c r="F694" s="9">
        <v>5</v>
      </c>
      <c r="G694" s="3" t="b">
        <v>0</v>
      </c>
      <c r="H694" s="3" t="str">
        <f t="shared" si="36"/>
        <v>Tuesday</v>
      </c>
      <c r="I694" s="9">
        <v>2</v>
      </c>
      <c r="J694" s="3" t="str">
        <f t="shared" si="35"/>
        <v>Foggy</v>
      </c>
      <c r="K694" s="9">
        <v>0.14000000000000001</v>
      </c>
      <c r="L694" s="9">
        <v>0.21210000000000001</v>
      </c>
      <c r="M694" s="9">
        <v>0.93</v>
      </c>
      <c r="N694" s="9">
        <v>0</v>
      </c>
      <c r="O694" s="9">
        <v>0</v>
      </c>
      <c r="P694" s="9">
        <v>3</v>
      </c>
      <c r="Q694" s="9">
        <v>3</v>
      </c>
      <c r="V694">
        <v>3</v>
      </c>
      <c r="W694">
        <v>140</v>
      </c>
    </row>
    <row r="695" spans="1:23">
      <c r="A695" s="9">
        <v>694</v>
      </c>
      <c r="B695" s="10">
        <v>40575</v>
      </c>
      <c r="C695" s="9">
        <v>1</v>
      </c>
      <c r="D695" s="9">
        <v>0</v>
      </c>
      <c r="E695" s="3" t="str">
        <f t="shared" si="34"/>
        <v>February</v>
      </c>
      <c r="F695" s="9">
        <v>6</v>
      </c>
      <c r="G695" s="3" t="b">
        <v>0</v>
      </c>
      <c r="H695" s="3" t="str">
        <f t="shared" si="36"/>
        <v>Tuesday</v>
      </c>
      <c r="I695" s="9">
        <v>2</v>
      </c>
      <c r="J695" s="3" t="str">
        <f t="shared" si="35"/>
        <v>Foggy</v>
      </c>
      <c r="K695" s="9">
        <v>0.14000000000000001</v>
      </c>
      <c r="L695" s="9">
        <v>0.21210000000000001</v>
      </c>
      <c r="M695" s="9">
        <v>0.93</v>
      </c>
      <c r="N695" s="9">
        <v>0</v>
      </c>
      <c r="O695" s="9">
        <v>0</v>
      </c>
      <c r="P695" s="9">
        <v>22</v>
      </c>
      <c r="Q695" s="9">
        <v>22</v>
      </c>
      <c r="U695">
        <v>144</v>
      </c>
      <c r="W695">
        <v>275</v>
      </c>
    </row>
    <row r="696" spans="1:23">
      <c r="A696" s="9">
        <v>695</v>
      </c>
      <c r="B696" s="10">
        <v>40575</v>
      </c>
      <c r="C696" s="9">
        <v>1</v>
      </c>
      <c r="D696" s="9">
        <v>0</v>
      </c>
      <c r="E696" s="3" t="str">
        <f t="shared" si="34"/>
        <v>February</v>
      </c>
      <c r="F696" s="9">
        <v>7</v>
      </c>
      <c r="G696" s="3" t="b">
        <v>0</v>
      </c>
      <c r="H696" s="3" t="str">
        <f t="shared" si="36"/>
        <v>Tuesday</v>
      </c>
      <c r="I696" s="9">
        <v>2</v>
      </c>
      <c r="J696" s="3" t="str">
        <f t="shared" si="35"/>
        <v>Foggy</v>
      </c>
      <c r="K696" s="9">
        <v>0.16</v>
      </c>
      <c r="L696" s="9">
        <v>0.2273</v>
      </c>
      <c r="M696" s="9">
        <v>0.93</v>
      </c>
      <c r="N696" s="9">
        <v>0</v>
      </c>
      <c r="O696" s="9">
        <v>0</v>
      </c>
      <c r="P696" s="9">
        <v>52</v>
      </c>
      <c r="Q696" s="9">
        <v>52</v>
      </c>
      <c r="V696">
        <v>3</v>
      </c>
      <c r="W696">
        <v>141</v>
      </c>
    </row>
    <row r="697" spans="1:23">
      <c r="A697" s="9">
        <v>696</v>
      </c>
      <c r="B697" s="10">
        <v>40575</v>
      </c>
      <c r="C697" s="9">
        <v>1</v>
      </c>
      <c r="D697" s="9">
        <v>0</v>
      </c>
      <c r="E697" s="3" t="str">
        <f t="shared" si="34"/>
        <v>February</v>
      </c>
      <c r="F697" s="9">
        <v>8</v>
      </c>
      <c r="G697" s="3" t="b">
        <v>0</v>
      </c>
      <c r="H697" s="3" t="str">
        <f t="shared" si="36"/>
        <v>Tuesday</v>
      </c>
      <c r="I697" s="9">
        <v>2</v>
      </c>
      <c r="J697" s="3" t="str">
        <f t="shared" si="35"/>
        <v>Foggy</v>
      </c>
      <c r="K697" s="9">
        <v>0.16</v>
      </c>
      <c r="L697" s="9">
        <v>0.2273</v>
      </c>
      <c r="M697" s="9">
        <v>0.93</v>
      </c>
      <c r="N697" s="9">
        <v>0</v>
      </c>
      <c r="O697" s="9">
        <v>3</v>
      </c>
      <c r="P697" s="9">
        <v>132</v>
      </c>
      <c r="Q697" s="9">
        <v>135</v>
      </c>
      <c r="V697">
        <v>10</v>
      </c>
      <c r="W697">
        <v>134</v>
      </c>
    </row>
    <row r="698" spans="1:23">
      <c r="A698" s="9">
        <v>697</v>
      </c>
      <c r="B698" s="10">
        <v>40575</v>
      </c>
      <c r="C698" s="9">
        <v>1</v>
      </c>
      <c r="D698" s="9">
        <v>0</v>
      </c>
      <c r="E698" s="3" t="str">
        <f t="shared" si="34"/>
        <v>February</v>
      </c>
      <c r="F698" s="9">
        <v>9</v>
      </c>
      <c r="G698" s="3" t="b">
        <v>0</v>
      </c>
      <c r="H698" s="3" t="str">
        <f t="shared" si="36"/>
        <v>Tuesday</v>
      </c>
      <c r="I698" s="9">
        <v>2</v>
      </c>
      <c r="J698" s="3" t="str">
        <f t="shared" si="35"/>
        <v>Foggy</v>
      </c>
      <c r="K698" s="9">
        <v>0.16</v>
      </c>
      <c r="L698" s="9">
        <v>0.2273</v>
      </c>
      <c r="M698" s="9">
        <v>0.93</v>
      </c>
      <c r="N698" s="9">
        <v>0</v>
      </c>
      <c r="O698" s="9">
        <v>2</v>
      </c>
      <c r="P698" s="9">
        <v>114</v>
      </c>
      <c r="Q698" s="9">
        <v>116</v>
      </c>
      <c r="U698">
        <v>145</v>
      </c>
      <c r="W698">
        <v>103</v>
      </c>
    </row>
    <row r="699" spans="1:23">
      <c r="A699" s="9">
        <v>698</v>
      </c>
      <c r="B699" s="10">
        <v>40575</v>
      </c>
      <c r="C699" s="9">
        <v>1</v>
      </c>
      <c r="D699" s="9">
        <v>0</v>
      </c>
      <c r="E699" s="3" t="str">
        <f t="shared" si="34"/>
        <v>February</v>
      </c>
      <c r="F699" s="9">
        <v>10</v>
      </c>
      <c r="G699" s="3" t="b">
        <v>0</v>
      </c>
      <c r="H699" s="3" t="str">
        <f t="shared" si="36"/>
        <v>Tuesday</v>
      </c>
      <c r="I699" s="9">
        <v>2</v>
      </c>
      <c r="J699" s="3" t="str">
        <f t="shared" si="35"/>
        <v>Foggy</v>
      </c>
      <c r="K699" s="9">
        <v>0.16</v>
      </c>
      <c r="L699" s="9">
        <v>0.2273</v>
      </c>
      <c r="M699" s="9">
        <v>0.93</v>
      </c>
      <c r="N699" s="9">
        <v>0</v>
      </c>
      <c r="O699" s="9">
        <v>0</v>
      </c>
      <c r="P699" s="9">
        <v>47</v>
      </c>
      <c r="Q699" s="9">
        <v>47</v>
      </c>
      <c r="V699">
        <v>42</v>
      </c>
      <c r="W699">
        <v>103</v>
      </c>
    </row>
    <row r="700" spans="1:23">
      <c r="A700" s="9">
        <v>699</v>
      </c>
      <c r="B700" s="10">
        <v>40575</v>
      </c>
      <c r="C700" s="9">
        <v>1</v>
      </c>
      <c r="D700" s="9">
        <v>0</v>
      </c>
      <c r="E700" s="3" t="str">
        <f t="shared" si="34"/>
        <v>February</v>
      </c>
      <c r="F700" s="9">
        <v>11</v>
      </c>
      <c r="G700" s="3" t="b">
        <v>0</v>
      </c>
      <c r="H700" s="3" t="str">
        <f t="shared" si="36"/>
        <v>Tuesday</v>
      </c>
      <c r="I700" s="9">
        <v>2</v>
      </c>
      <c r="J700" s="3" t="str">
        <f t="shared" si="35"/>
        <v>Foggy</v>
      </c>
      <c r="K700" s="9">
        <v>0.18</v>
      </c>
      <c r="L700" s="9">
        <v>0.2424</v>
      </c>
      <c r="M700" s="9">
        <v>0.86</v>
      </c>
      <c r="N700" s="9">
        <v>0</v>
      </c>
      <c r="O700" s="9">
        <v>2</v>
      </c>
      <c r="P700" s="9">
        <v>49</v>
      </c>
      <c r="Q700" s="9">
        <v>51</v>
      </c>
      <c r="U700">
        <v>146</v>
      </c>
      <c r="W700">
        <v>133</v>
      </c>
    </row>
    <row r="701" spans="1:23">
      <c r="A701" s="9">
        <v>700</v>
      </c>
      <c r="B701" s="10">
        <v>40575</v>
      </c>
      <c r="C701" s="9">
        <v>1</v>
      </c>
      <c r="D701" s="9">
        <v>0</v>
      </c>
      <c r="E701" s="3" t="str">
        <f t="shared" si="34"/>
        <v>February</v>
      </c>
      <c r="F701" s="9">
        <v>12</v>
      </c>
      <c r="G701" s="3" t="b">
        <v>0</v>
      </c>
      <c r="H701" s="3" t="str">
        <f t="shared" si="36"/>
        <v>Tuesday</v>
      </c>
      <c r="I701" s="9">
        <v>2</v>
      </c>
      <c r="J701" s="3" t="str">
        <f t="shared" si="35"/>
        <v>Foggy</v>
      </c>
      <c r="K701" s="9">
        <v>0.2</v>
      </c>
      <c r="L701" s="9">
        <v>0.2576</v>
      </c>
      <c r="M701" s="9">
        <v>0.86</v>
      </c>
      <c r="N701" s="9">
        <v>0</v>
      </c>
      <c r="O701" s="9">
        <v>2</v>
      </c>
      <c r="P701" s="9">
        <v>53</v>
      </c>
      <c r="Q701" s="9">
        <v>55</v>
      </c>
      <c r="V701">
        <v>13</v>
      </c>
      <c r="W701">
        <v>133</v>
      </c>
    </row>
    <row r="702" spans="1:23">
      <c r="A702" s="9">
        <v>701</v>
      </c>
      <c r="B702" s="10">
        <v>40575</v>
      </c>
      <c r="C702" s="9">
        <v>1</v>
      </c>
      <c r="D702" s="9">
        <v>0</v>
      </c>
      <c r="E702" s="3" t="str">
        <f t="shared" si="34"/>
        <v>February</v>
      </c>
      <c r="F702" s="9">
        <v>13</v>
      </c>
      <c r="G702" s="3" t="b">
        <v>0</v>
      </c>
      <c r="H702" s="3" t="str">
        <f t="shared" si="36"/>
        <v>Tuesday</v>
      </c>
      <c r="I702" s="9">
        <v>2</v>
      </c>
      <c r="J702" s="3" t="str">
        <f t="shared" si="35"/>
        <v>Foggy</v>
      </c>
      <c r="K702" s="9">
        <v>0.2</v>
      </c>
      <c r="L702" s="9">
        <v>0.2576</v>
      </c>
      <c r="M702" s="9">
        <v>0.86</v>
      </c>
      <c r="N702" s="9">
        <v>0</v>
      </c>
      <c r="O702" s="9">
        <v>3</v>
      </c>
      <c r="P702" s="9">
        <v>49</v>
      </c>
      <c r="Q702" s="9">
        <v>52</v>
      </c>
      <c r="U702">
        <v>147</v>
      </c>
      <c r="W702">
        <v>145</v>
      </c>
    </row>
    <row r="703" spans="1:23">
      <c r="A703" s="9">
        <v>702</v>
      </c>
      <c r="B703" s="10">
        <v>40575</v>
      </c>
      <c r="C703" s="9">
        <v>1</v>
      </c>
      <c r="D703" s="9">
        <v>0</v>
      </c>
      <c r="E703" s="3" t="str">
        <f t="shared" si="34"/>
        <v>February</v>
      </c>
      <c r="F703" s="9">
        <v>14</v>
      </c>
      <c r="G703" s="3" t="b">
        <v>0</v>
      </c>
      <c r="H703" s="3" t="str">
        <f t="shared" si="36"/>
        <v>Tuesday</v>
      </c>
      <c r="I703" s="9">
        <v>2</v>
      </c>
      <c r="J703" s="3" t="str">
        <f t="shared" si="35"/>
        <v>Foggy</v>
      </c>
      <c r="K703" s="9">
        <v>0.22</v>
      </c>
      <c r="L703" s="9">
        <v>0.2576</v>
      </c>
      <c r="M703" s="9">
        <v>0.8</v>
      </c>
      <c r="N703" s="9">
        <v>8.9599999999999999E-2</v>
      </c>
      <c r="O703" s="9">
        <v>5</v>
      </c>
      <c r="P703" s="9">
        <v>49</v>
      </c>
      <c r="Q703" s="9">
        <v>54</v>
      </c>
      <c r="V703">
        <v>2</v>
      </c>
      <c r="W703">
        <v>145</v>
      </c>
    </row>
    <row r="704" spans="1:23">
      <c r="A704" s="9">
        <v>703</v>
      </c>
      <c r="B704" s="10">
        <v>40575</v>
      </c>
      <c r="C704" s="9">
        <v>1</v>
      </c>
      <c r="D704" s="9">
        <v>0</v>
      </c>
      <c r="E704" s="3" t="str">
        <f t="shared" si="34"/>
        <v>February</v>
      </c>
      <c r="F704" s="9">
        <v>15</v>
      </c>
      <c r="G704" s="3" t="b">
        <v>0</v>
      </c>
      <c r="H704" s="3" t="str">
        <f t="shared" si="36"/>
        <v>Tuesday</v>
      </c>
      <c r="I704" s="9">
        <v>2</v>
      </c>
      <c r="J704" s="3" t="str">
        <f t="shared" si="35"/>
        <v>Foggy</v>
      </c>
      <c r="K704" s="9">
        <v>0.24</v>
      </c>
      <c r="L704" s="9">
        <v>0.28789999999999999</v>
      </c>
      <c r="M704" s="9">
        <v>0.75</v>
      </c>
      <c r="N704" s="9">
        <v>0</v>
      </c>
      <c r="O704" s="9">
        <v>7</v>
      </c>
      <c r="P704" s="9">
        <v>45</v>
      </c>
      <c r="Q704" s="9">
        <v>52</v>
      </c>
      <c r="U704">
        <v>149</v>
      </c>
      <c r="W704">
        <v>147</v>
      </c>
    </row>
    <row r="705" spans="1:23">
      <c r="A705" s="9">
        <v>704</v>
      </c>
      <c r="B705" s="10">
        <v>40575</v>
      </c>
      <c r="C705" s="9">
        <v>1</v>
      </c>
      <c r="D705" s="9">
        <v>0</v>
      </c>
      <c r="E705" s="3" t="str">
        <f t="shared" si="34"/>
        <v>February</v>
      </c>
      <c r="F705" s="9">
        <v>16</v>
      </c>
      <c r="G705" s="3" t="b">
        <v>0</v>
      </c>
      <c r="H705" s="3" t="str">
        <f t="shared" si="36"/>
        <v>Tuesday</v>
      </c>
      <c r="I705" s="9">
        <v>2</v>
      </c>
      <c r="J705" s="3" t="str">
        <f t="shared" si="35"/>
        <v>Foggy</v>
      </c>
      <c r="K705" s="9">
        <v>0.24</v>
      </c>
      <c r="L705" s="9">
        <v>0.2424</v>
      </c>
      <c r="M705" s="9">
        <v>0.75</v>
      </c>
      <c r="N705" s="9">
        <v>0.1343</v>
      </c>
      <c r="O705" s="9">
        <v>3</v>
      </c>
      <c r="P705" s="9">
        <v>61</v>
      </c>
      <c r="Q705" s="9">
        <v>64</v>
      </c>
      <c r="V705">
        <v>2</v>
      </c>
      <c r="W705">
        <v>147</v>
      </c>
    </row>
    <row r="706" spans="1:23">
      <c r="A706" s="9">
        <v>705</v>
      </c>
      <c r="B706" s="10">
        <v>40575</v>
      </c>
      <c r="C706" s="9">
        <v>1</v>
      </c>
      <c r="D706" s="9">
        <v>0</v>
      </c>
      <c r="E706" s="3" t="str">
        <f t="shared" si="34"/>
        <v>February</v>
      </c>
      <c r="F706" s="9">
        <v>17</v>
      </c>
      <c r="G706" s="3" t="b">
        <v>0</v>
      </c>
      <c r="H706" s="3" t="str">
        <f t="shared" si="36"/>
        <v>Tuesday</v>
      </c>
      <c r="I706" s="9">
        <v>2</v>
      </c>
      <c r="J706" s="3" t="str">
        <f t="shared" si="35"/>
        <v>Foggy</v>
      </c>
      <c r="K706" s="9">
        <v>0.24</v>
      </c>
      <c r="L706" s="9">
        <v>0.28789999999999999</v>
      </c>
      <c r="M706" s="9">
        <v>0.75</v>
      </c>
      <c r="N706" s="9">
        <v>0</v>
      </c>
      <c r="O706" s="9">
        <v>4</v>
      </c>
      <c r="P706" s="9">
        <v>172</v>
      </c>
      <c r="Q706" s="9">
        <v>176</v>
      </c>
      <c r="U706">
        <v>152</v>
      </c>
      <c r="W706">
        <v>391</v>
      </c>
    </row>
    <row r="707" spans="1:23">
      <c r="A707" s="9">
        <v>706</v>
      </c>
      <c r="B707" s="10">
        <v>40575</v>
      </c>
      <c r="C707" s="9">
        <v>1</v>
      </c>
      <c r="D707" s="9">
        <v>0</v>
      </c>
      <c r="E707" s="3" t="str">
        <f t="shared" ref="E707:E770" si="37">TEXT(B707,"MMMM")</f>
        <v>February</v>
      </c>
      <c r="F707" s="9">
        <v>18</v>
      </c>
      <c r="G707" s="3" t="b">
        <v>0</v>
      </c>
      <c r="H707" s="3" t="str">
        <f t="shared" si="36"/>
        <v>Tuesday</v>
      </c>
      <c r="I707" s="9">
        <v>2</v>
      </c>
      <c r="J707" s="3" t="str">
        <f t="shared" si="35"/>
        <v>Foggy</v>
      </c>
      <c r="K707" s="9">
        <v>0.24</v>
      </c>
      <c r="L707" s="9">
        <v>0.2576</v>
      </c>
      <c r="M707" s="9">
        <v>0.81</v>
      </c>
      <c r="N707" s="9">
        <v>0.1045</v>
      </c>
      <c r="O707" s="9">
        <v>3</v>
      </c>
      <c r="P707" s="9">
        <v>165</v>
      </c>
      <c r="Q707" s="9">
        <v>168</v>
      </c>
      <c r="V707">
        <v>1</v>
      </c>
      <c r="W707">
        <v>151</v>
      </c>
    </row>
    <row r="708" spans="1:23">
      <c r="A708" s="9">
        <v>707</v>
      </c>
      <c r="B708" s="10">
        <v>40575</v>
      </c>
      <c r="C708" s="9">
        <v>1</v>
      </c>
      <c r="D708" s="9">
        <v>0</v>
      </c>
      <c r="E708" s="3" t="str">
        <f t="shared" si="37"/>
        <v>February</v>
      </c>
      <c r="F708" s="9">
        <v>19</v>
      </c>
      <c r="G708" s="3" t="b">
        <v>0</v>
      </c>
      <c r="H708" s="3" t="str">
        <f t="shared" si="36"/>
        <v>Tuesday</v>
      </c>
      <c r="I708" s="9">
        <v>2</v>
      </c>
      <c r="J708" s="3" t="str">
        <f t="shared" si="35"/>
        <v>Foggy</v>
      </c>
      <c r="K708" s="9">
        <v>0.24</v>
      </c>
      <c r="L708" s="9">
        <v>0.2424</v>
      </c>
      <c r="M708" s="9">
        <v>0.81</v>
      </c>
      <c r="N708" s="9">
        <v>0.1343</v>
      </c>
      <c r="O708" s="9">
        <v>3</v>
      </c>
      <c r="P708" s="9">
        <v>105</v>
      </c>
      <c r="Q708" s="9">
        <v>108</v>
      </c>
      <c r="V708">
        <v>6</v>
      </c>
      <c r="W708">
        <v>146</v>
      </c>
    </row>
    <row r="709" spans="1:23">
      <c r="A709" s="9">
        <v>708</v>
      </c>
      <c r="B709" s="10">
        <v>40575</v>
      </c>
      <c r="C709" s="9">
        <v>1</v>
      </c>
      <c r="D709" s="9">
        <v>0</v>
      </c>
      <c r="E709" s="3" t="str">
        <f t="shared" si="37"/>
        <v>February</v>
      </c>
      <c r="F709" s="9">
        <v>20</v>
      </c>
      <c r="G709" s="3" t="b">
        <v>0</v>
      </c>
      <c r="H709" s="3" t="str">
        <f t="shared" si="36"/>
        <v>Tuesday</v>
      </c>
      <c r="I709" s="9">
        <v>2</v>
      </c>
      <c r="J709" s="3" t="str">
        <f t="shared" si="35"/>
        <v>Foggy</v>
      </c>
      <c r="K709" s="9">
        <v>0.22</v>
      </c>
      <c r="L709" s="9">
        <v>0.2273</v>
      </c>
      <c r="M709" s="9">
        <v>0.87</v>
      </c>
      <c r="N709" s="9">
        <v>0.1343</v>
      </c>
      <c r="O709" s="9">
        <v>5</v>
      </c>
      <c r="P709" s="9">
        <v>69</v>
      </c>
      <c r="Q709" s="9">
        <v>74</v>
      </c>
      <c r="V709">
        <v>58</v>
      </c>
      <c r="W709">
        <v>94</v>
      </c>
    </row>
    <row r="710" spans="1:23">
      <c r="A710" s="9">
        <v>709</v>
      </c>
      <c r="B710" s="10">
        <v>40575</v>
      </c>
      <c r="C710" s="9">
        <v>1</v>
      </c>
      <c r="D710" s="9">
        <v>0</v>
      </c>
      <c r="E710" s="3" t="str">
        <f t="shared" si="37"/>
        <v>February</v>
      </c>
      <c r="F710" s="9">
        <v>21</v>
      </c>
      <c r="G710" s="3" t="b">
        <v>0</v>
      </c>
      <c r="H710" s="3" t="str">
        <f t="shared" si="36"/>
        <v>Tuesday</v>
      </c>
      <c r="I710" s="9">
        <v>2</v>
      </c>
      <c r="J710" s="3" t="str">
        <f t="shared" si="35"/>
        <v>Foggy</v>
      </c>
      <c r="K710" s="9">
        <v>0.22</v>
      </c>
      <c r="L710" s="9">
        <v>0.2273</v>
      </c>
      <c r="M710" s="9">
        <v>0.87</v>
      </c>
      <c r="N710" s="9">
        <v>0.1343</v>
      </c>
      <c r="O710" s="9">
        <v>0</v>
      </c>
      <c r="P710" s="9">
        <v>64</v>
      </c>
      <c r="Q710" s="9">
        <v>64</v>
      </c>
      <c r="U710">
        <v>153</v>
      </c>
      <c r="W710">
        <v>145</v>
      </c>
    </row>
    <row r="711" spans="1:23">
      <c r="A711" s="9">
        <v>710</v>
      </c>
      <c r="B711" s="10">
        <v>40575</v>
      </c>
      <c r="C711" s="9">
        <v>1</v>
      </c>
      <c r="D711" s="9">
        <v>0</v>
      </c>
      <c r="E711" s="3" t="str">
        <f t="shared" si="37"/>
        <v>February</v>
      </c>
      <c r="F711" s="9">
        <v>22</v>
      </c>
      <c r="G711" s="3" t="b">
        <v>0</v>
      </c>
      <c r="H711" s="3" t="str">
        <f t="shared" si="36"/>
        <v>Tuesday</v>
      </c>
      <c r="I711" s="9">
        <v>2</v>
      </c>
      <c r="J711" s="3" t="str">
        <f t="shared" ref="J711:J774" si="38">IF($K711&lt;=0.24,"Foggy",IF($K711&gt;0.24,"Clear"))</f>
        <v>Foggy</v>
      </c>
      <c r="K711" s="9">
        <v>0.22</v>
      </c>
      <c r="L711" s="9">
        <v>0.2576</v>
      </c>
      <c r="M711" s="9">
        <v>0.87</v>
      </c>
      <c r="N711" s="9">
        <v>8.9599999999999999E-2</v>
      </c>
      <c r="O711" s="9">
        <v>2</v>
      </c>
      <c r="P711" s="9">
        <v>34</v>
      </c>
      <c r="Q711" s="9">
        <v>36</v>
      </c>
      <c r="V711">
        <v>8</v>
      </c>
      <c r="W711">
        <v>145</v>
      </c>
    </row>
    <row r="712" spans="1:23">
      <c r="A712" s="9">
        <v>711</v>
      </c>
      <c r="B712" s="10">
        <v>40575</v>
      </c>
      <c r="C712" s="9">
        <v>1</v>
      </c>
      <c r="D712" s="9">
        <v>0</v>
      </c>
      <c r="E712" s="3" t="str">
        <f t="shared" si="37"/>
        <v>February</v>
      </c>
      <c r="F712" s="9">
        <v>23</v>
      </c>
      <c r="G712" s="3" t="b">
        <v>0</v>
      </c>
      <c r="H712" s="3" t="str">
        <f t="shared" si="36"/>
        <v>Tuesday</v>
      </c>
      <c r="I712" s="9">
        <v>2</v>
      </c>
      <c r="J712" s="3" t="str">
        <f t="shared" si="38"/>
        <v>Foggy</v>
      </c>
      <c r="K712" s="9">
        <v>0.2</v>
      </c>
      <c r="L712" s="9">
        <v>0.19700000000000001</v>
      </c>
      <c r="M712" s="9">
        <v>0.93</v>
      </c>
      <c r="N712" s="9">
        <v>0.19400000000000001</v>
      </c>
      <c r="O712" s="9">
        <v>1</v>
      </c>
      <c r="P712" s="9">
        <v>15</v>
      </c>
      <c r="Q712" s="9">
        <v>16</v>
      </c>
      <c r="U712">
        <v>154</v>
      </c>
      <c r="W712">
        <v>245</v>
      </c>
    </row>
    <row r="713" spans="1:23">
      <c r="A713" s="9">
        <v>712</v>
      </c>
      <c r="B713" s="10">
        <v>40576</v>
      </c>
      <c r="C713" s="9">
        <v>1</v>
      </c>
      <c r="D713" s="9">
        <v>0</v>
      </c>
      <c r="E713" s="3" t="str">
        <f t="shared" si="37"/>
        <v>February</v>
      </c>
      <c r="F713" s="9">
        <v>0</v>
      </c>
      <c r="G713" s="3" t="b">
        <v>0</v>
      </c>
      <c r="H713" s="3" t="str">
        <f t="shared" ref="H713:H776" si="39">TEXT(B713,"dddd")</f>
        <v>Wednesday</v>
      </c>
      <c r="I713" s="9">
        <v>3</v>
      </c>
      <c r="J713" s="3" t="str">
        <f t="shared" si="38"/>
        <v>Foggy</v>
      </c>
      <c r="K713" s="9">
        <v>0.22</v>
      </c>
      <c r="L713" s="9">
        <v>0.2424</v>
      </c>
      <c r="M713" s="9">
        <v>0.93</v>
      </c>
      <c r="N713" s="9">
        <v>0.1045</v>
      </c>
      <c r="O713" s="9">
        <v>0</v>
      </c>
      <c r="P713" s="9">
        <v>2</v>
      </c>
      <c r="Q713" s="9">
        <v>2</v>
      </c>
      <c r="V713">
        <v>1</v>
      </c>
      <c r="W713">
        <v>153</v>
      </c>
    </row>
    <row r="714" spans="1:23">
      <c r="A714" s="9">
        <v>713</v>
      </c>
      <c r="B714" s="10">
        <v>40576</v>
      </c>
      <c r="C714" s="9">
        <v>1</v>
      </c>
      <c r="D714" s="9">
        <v>0</v>
      </c>
      <c r="E714" s="3" t="str">
        <f t="shared" si="37"/>
        <v>February</v>
      </c>
      <c r="F714" s="9">
        <v>1</v>
      </c>
      <c r="G714" s="3" t="b">
        <v>0</v>
      </c>
      <c r="H714" s="3" t="str">
        <f t="shared" si="39"/>
        <v>Wednesday</v>
      </c>
      <c r="I714" s="9">
        <v>3</v>
      </c>
      <c r="J714" s="3" t="str">
        <f t="shared" si="38"/>
        <v>Foggy</v>
      </c>
      <c r="K714" s="9">
        <v>0.22</v>
      </c>
      <c r="L714" s="9">
        <v>0.2273</v>
      </c>
      <c r="M714" s="9">
        <v>0.93</v>
      </c>
      <c r="N714" s="9">
        <v>0.19400000000000001</v>
      </c>
      <c r="O714" s="9">
        <v>0</v>
      </c>
      <c r="P714" s="9">
        <v>3</v>
      </c>
      <c r="Q714" s="9">
        <v>3</v>
      </c>
      <c r="V714">
        <v>62</v>
      </c>
      <c r="W714">
        <v>92</v>
      </c>
    </row>
    <row r="715" spans="1:23">
      <c r="A715" s="9">
        <v>714</v>
      </c>
      <c r="B715" s="10">
        <v>40576</v>
      </c>
      <c r="C715" s="9">
        <v>1</v>
      </c>
      <c r="D715" s="9">
        <v>0</v>
      </c>
      <c r="E715" s="3" t="str">
        <f t="shared" si="37"/>
        <v>February</v>
      </c>
      <c r="F715" s="9">
        <v>2</v>
      </c>
      <c r="G715" s="3" t="b">
        <v>0</v>
      </c>
      <c r="H715" s="3" t="str">
        <f t="shared" si="39"/>
        <v>Wednesday</v>
      </c>
      <c r="I715" s="9">
        <v>3</v>
      </c>
      <c r="J715" s="3" t="str">
        <f t="shared" si="38"/>
        <v>Foggy</v>
      </c>
      <c r="K715" s="9">
        <v>0.22</v>
      </c>
      <c r="L715" s="9">
        <v>0.2273</v>
      </c>
      <c r="M715" s="9">
        <v>0.93</v>
      </c>
      <c r="N715" s="9">
        <v>0.1343</v>
      </c>
      <c r="O715" s="9">
        <v>4</v>
      </c>
      <c r="P715" s="9">
        <v>0</v>
      </c>
      <c r="Q715" s="9">
        <v>4</v>
      </c>
      <c r="U715">
        <v>155</v>
      </c>
      <c r="W715">
        <v>460</v>
      </c>
    </row>
    <row r="716" spans="1:23">
      <c r="A716" s="9">
        <v>715</v>
      </c>
      <c r="B716" s="10">
        <v>40576</v>
      </c>
      <c r="C716" s="9">
        <v>1</v>
      </c>
      <c r="D716" s="9">
        <v>0</v>
      </c>
      <c r="E716" s="3" t="str">
        <f t="shared" si="37"/>
        <v>February</v>
      </c>
      <c r="F716" s="9">
        <v>3</v>
      </c>
      <c r="G716" s="3" t="b">
        <v>0</v>
      </c>
      <c r="H716" s="3" t="str">
        <f t="shared" si="39"/>
        <v>Wednesday</v>
      </c>
      <c r="I716" s="9">
        <v>3</v>
      </c>
      <c r="J716" s="3" t="str">
        <f t="shared" si="38"/>
        <v>Foggy</v>
      </c>
      <c r="K716" s="9">
        <v>0.22</v>
      </c>
      <c r="L716" s="9">
        <v>0.2273</v>
      </c>
      <c r="M716" s="9">
        <v>0.93</v>
      </c>
      <c r="N716" s="9">
        <v>0.1343</v>
      </c>
      <c r="O716" s="9">
        <v>0</v>
      </c>
      <c r="P716" s="9">
        <v>1</v>
      </c>
      <c r="Q716" s="9">
        <v>1</v>
      </c>
      <c r="V716">
        <v>1</v>
      </c>
      <c r="W716">
        <v>308</v>
      </c>
    </row>
    <row r="717" spans="1:23">
      <c r="A717" s="9">
        <v>716</v>
      </c>
      <c r="B717" s="10">
        <v>40576</v>
      </c>
      <c r="C717" s="9">
        <v>1</v>
      </c>
      <c r="D717" s="9">
        <v>0</v>
      </c>
      <c r="E717" s="3" t="str">
        <f t="shared" si="37"/>
        <v>February</v>
      </c>
      <c r="F717" s="9">
        <v>4</v>
      </c>
      <c r="G717" s="3" t="b">
        <v>0</v>
      </c>
      <c r="H717" s="3" t="str">
        <f t="shared" si="39"/>
        <v>Wednesday</v>
      </c>
      <c r="I717" s="9">
        <v>3</v>
      </c>
      <c r="J717" s="3" t="str">
        <f t="shared" si="38"/>
        <v>Foggy</v>
      </c>
      <c r="K717" s="9">
        <v>0.22</v>
      </c>
      <c r="L717" s="9">
        <v>0.21210000000000001</v>
      </c>
      <c r="M717" s="9">
        <v>0.93</v>
      </c>
      <c r="N717" s="9">
        <v>0.28360000000000002</v>
      </c>
      <c r="O717" s="9">
        <v>0</v>
      </c>
      <c r="P717" s="9">
        <v>1</v>
      </c>
      <c r="Q717" s="9">
        <v>1</v>
      </c>
      <c r="V717">
        <v>3</v>
      </c>
      <c r="W717">
        <v>152</v>
      </c>
    </row>
    <row r="718" spans="1:23">
      <c r="A718" s="9">
        <v>717</v>
      </c>
      <c r="B718" s="10">
        <v>40576</v>
      </c>
      <c r="C718" s="9">
        <v>1</v>
      </c>
      <c r="D718" s="9">
        <v>0</v>
      </c>
      <c r="E718" s="3" t="str">
        <f t="shared" si="37"/>
        <v>February</v>
      </c>
      <c r="F718" s="9">
        <v>5</v>
      </c>
      <c r="G718" s="3" t="b">
        <v>0</v>
      </c>
      <c r="H718" s="3" t="str">
        <f t="shared" si="39"/>
        <v>Wednesday</v>
      </c>
      <c r="I718" s="9">
        <v>3</v>
      </c>
      <c r="J718" s="3" t="str">
        <f t="shared" si="38"/>
        <v>Foggy</v>
      </c>
      <c r="K718" s="9">
        <v>0.22</v>
      </c>
      <c r="L718" s="9">
        <v>0.2424</v>
      </c>
      <c r="M718" s="9">
        <v>0.93</v>
      </c>
      <c r="N718" s="9">
        <v>0.1045</v>
      </c>
      <c r="O718" s="9">
        <v>0</v>
      </c>
      <c r="P718" s="9">
        <v>3</v>
      </c>
      <c r="Q718" s="9">
        <v>3</v>
      </c>
      <c r="U718">
        <v>156</v>
      </c>
      <c r="W718">
        <v>153</v>
      </c>
    </row>
    <row r="719" spans="1:23">
      <c r="A719" s="9">
        <v>718</v>
      </c>
      <c r="B719" s="10">
        <v>40576</v>
      </c>
      <c r="C719" s="9">
        <v>1</v>
      </c>
      <c r="D719" s="9">
        <v>0</v>
      </c>
      <c r="E719" s="3" t="str">
        <f t="shared" si="37"/>
        <v>February</v>
      </c>
      <c r="F719" s="9">
        <v>6</v>
      </c>
      <c r="G719" s="3" t="b">
        <v>0</v>
      </c>
      <c r="H719" s="3" t="str">
        <f t="shared" si="39"/>
        <v>Wednesday</v>
      </c>
      <c r="I719" s="9">
        <v>3</v>
      </c>
      <c r="J719" s="3" t="str">
        <f t="shared" si="38"/>
        <v>Foggy</v>
      </c>
      <c r="K719" s="9">
        <v>0.22</v>
      </c>
      <c r="L719" s="9">
        <v>0.2424</v>
      </c>
      <c r="M719" s="9">
        <v>0.93</v>
      </c>
      <c r="N719" s="9">
        <v>0.1045</v>
      </c>
      <c r="O719" s="9">
        <v>1</v>
      </c>
      <c r="P719" s="9">
        <v>17</v>
      </c>
      <c r="Q719" s="9">
        <v>18</v>
      </c>
      <c r="V719">
        <v>3</v>
      </c>
      <c r="W719">
        <v>153</v>
      </c>
    </row>
    <row r="720" spans="1:23">
      <c r="A720" s="9">
        <v>719</v>
      </c>
      <c r="B720" s="10">
        <v>40576</v>
      </c>
      <c r="C720" s="9">
        <v>1</v>
      </c>
      <c r="D720" s="9">
        <v>0</v>
      </c>
      <c r="E720" s="3" t="str">
        <f t="shared" si="37"/>
        <v>February</v>
      </c>
      <c r="F720" s="9">
        <v>7</v>
      </c>
      <c r="G720" s="3" t="b">
        <v>0</v>
      </c>
      <c r="H720" s="3" t="str">
        <f t="shared" si="39"/>
        <v>Wednesday</v>
      </c>
      <c r="I720" s="9">
        <v>3</v>
      </c>
      <c r="J720" s="3" t="str">
        <f t="shared" si="38"/>
        <v>Foggy</v>
      </c>
      <c r="K720" s="9">
        <v>0.22</v>
      </c>
      <c r="L720" s="9">
        <v>0.21210000000000001</v>
      </c>
      <c r="M720" s="9">
        <v>0.93</v>
      </c>
      <c r="N720" s="9">
        <v>0.22389999999999999</v>
      </c>
      <c r="O720" s="9">
        <v>1</v>
      </c>
      <c r="P720" s="9">
        <v>48</v>
      </c>
      <c r="Q720" s="9">
        <v>49</v>
      </c>
      <c r="U720">
        <v>157</v>
      </c>
      <c r="W720">
        <v>564</v>
      </c>
    </row>
    <row r="721" spans="1:23">
      <c r="A721" s="9">
        <v>720</v>
      </c>
      <c r="B721" s="10">
        <v>40576</v>
      </c>
      <c r="C721" s="9">
        <v>1</v>
      </c>
      <c r="D721" s="9">
        <v>0</v>
      </c>
      <c r="E721" s="3" t="str">
        <f t="shared" si="37"/>
        <v>February</v>
      </c>
      <c r="F721" s="9">
        <v>8</v>
      </c>
      <c r="G721" s="3" t="b">
        <v>0</v>
      </c>
      <c r="H721" s="3" t="str">
        <f t="shared" si="39"/>
        <v>Wednesday</v>
      </c>
      <c r="I721" s="9">
        <v>3</v>
      </c>
      <c r="J721" s="3" t="str">
        <f t="shared" si="38"/>
        <v>Foggy</v>
      </c>
      <c r="K721" s="9">
        <v>0.22</v>
      </c>
      <c r="L721" s="9">
        <v>0.21210000000000001</v>
      </c>
      <c r="M721" s="9">
        <v>0.93</v>
      </c>
      <c r="N721" s="9">
        <v>0.22389999999999999</v>
      </c>
      <c r="O721" s="9">
        <v>1</v>
      </c>
      <c r="P721" s="9">
        <v>154</v>
      </c>
      <c r="Q721" s="9">
        <v>155</v>
      </c>
      <c r="V721">
        <v>2</v>
      </c>
      <c r="W721">
        <v>155</v>
      </c>
    </row>
    <row r="722" spans="1:23">
      <c r="A722" s="9">
        <v>721</v>
      </c>
      <c r="B722" s="10">
        <v>40576</v>
      </c>
      <c r="C722" s="9">
        <v>1</v>
      </c>
      <c r="D722" s="9">
        <v>0</v>
      </c>
      <c r="E722" s="3" t="str">
        <f t="shared" si="37"/>
        <v>February</v>
      </c>
      <c r="F722" s="9">
        <v>9</v>
      </c>
      <c r="G722" s="3" t="b">
        <v>0</v>
      </c>
      <c r="H722" s="3" t="str">
        <f t="shared" si="39"/>
        <v>Wednesday</v>
      </c>
      <c r="I722" s="9">
        <v>3</v>
      </c>
      <c r="J722" s="3" t="str">
        <f t="shared" si="38"/>
        <v>Foggy</v>
      </c>
      <c r="K722" s="9">
        <v>0.24</v>
      </c>
      <c r="L722" s="9">
        <v>0.2576</v>
      </c>
      <c r="M722" s="9">
        <v>0.93</v>
      </c>
      <c r="N722" s="9">
        <v>8.9599999999999999E-2</v>
      </c>
      <c r="O722" s="9">
        <v>4</v>
      </c>
      <c r="P722" s="9">
        <v>119</v>
      </c>
      <c r="Q722" s="9">
        <v>123</v>
      </c>
      <c r="V722">
        <v>9</v>
      </c>
      <c r="W722">
        <v>148</v>
      </c>
    </row>
    <row r="723" spans="1:23">
      <c r="A723" s="9">
        <v>722</v>
      </c>
      <c r="B723" s="10">
        <v>40576</v>
      </c>
      <c r="C723" s="9">
        <v>1</v>
      </c>
      <c r="D723" s="9">
        <v>0</v>
      </c>
      <c r="E723" s="3" t="str">
        <f t="shared" si="37"/>
        <v>February</v>
      </c>
      <c r="F723" s="9">
        <v>10</v>
      </c>
      <c r="G723" s="3" t="b">
        <v>0</v>
      </c>
      <c r="H723" s="3" t="str">
        <f t="shared" si="39"/>
        <v>Wednesday</v>
      </c>
      <c r="I723" s="9">
        <v>3</v>
      </c>
      <c r="J723" s="3" t="str">
        <f t="shared" si="38"/>
        <v>Foggy</v>
      </c>
      <c r="K723" s="9">
        <v>0.22</v>
      </c>
      <c r="L723" s="9">
        <v>0.2727</v>
      </c>
      <c r="M723" s="9">
        <v>1</v>
      </c>
      <c r="N723" s="9">
        <v>0</v>
      </c>
      <c r="O723" s="9">
        <v>2</v>
      </c>
      <c r="P723" s="9">
        <v>59</v>
      </c>
      <c r="Q723" s="9">
        <v>61</v>
      </c>
      <c r="V723">
        <v>11</v>
      </c>
      <c r="W723">
        <v>146</v>
      </c>
    </row>
    <row r="724" spans="1:23">
      <c r="A724" s="9">
        <v>723</v>
      </c>
      <c r="B724" s="10">
        <v>40576</v>
      </c>
      <c r="C724" s="9">
        <v>1</v>
      </c>
      <c r="D724" s="9">
        <v>0</v>
      </c>
      <c r="E724" s="3" t="str">
        <f t="shared" si="37"/>
        <v>February</v>
      </c>
      <c r="F724" s="9">
        <v>11</v>
      </c>
      <c r="G724" s="3" t="b">
        <v>0</v>
      </c>
      <c r="H724" s="3" t="str">
        <f t="shared" si="39"/>
        <v>Wednesday</v>
      </c>
      <c r="I724" s="9">
        <v>3</v>
      </c>
      <c r="J724" s="3" t="str">
        <f t="shared" si="38"/>
        <v>Foggy</v>
      </c>
      <c r="K724" s="9">
        <v>0.24</v>
      </c>
      <c r="L724" s="9">
        <v>0.2273</v>
      </c>
      <c r="M724" s="9">
        <v>0.93</v>
      </c>
      <c r="N724" s="9">
        <v>0.19400000000000001</v>
      </c>
      <c r="O724" s="9">
        <v>5</v>
      </c>
      <c r="P724" s="9">
        <v>47</v>
      </c>
      <c r="Q724" s="9">
        <v>52</v>
      </c>
      <c r="V724">
        <v>42</v>
      </c>
      <c r="W724">
        <v>115</v>
      </c>
    </row>
    <row r="725" spans="1:23">
      <c r="A725" s="9">
        <v>724</v>
      </c>
      <c r="B725" s="10">
        <v>40576</v>
      </c>
      <c r="C725" s="9">
        <v>1</v>
      </c>
      <c r="D725" s="9">
        <v>0</v>
      </c>
      <c r="E725" s="3" t="str">
        <f t="shared" si="37"/>
        <v>February</v>
      </c>
      <c r="F725" s="9">
        <v>12</v>
      </c>
      <c r="G725" s="3" t="b">
        <v>0</v>
      </c>
      <c r="H725" s="3" t="str">
        <f t="shared" si="39"/>
        <v>Wednesday</v>
      </c>
      <c r="I725" s="9">
        <v>3</v>
      </c>
      <c r="J725" s="3" t="str">
        <f t="shared" si="38"/>
        <v>Foggy</v>
      </c>
      <c r="K725" s="9">
        <v>0.24</v>
      </c>
      <c r="L725" s="9">
        <v>0.2273</v>
      </c>
      <c r="M725" s="9">
        <v>0.93</v>
      </c>
      <c r="N725" s="9">
        <v>0.22389999999999999</v>
      </c>
      <c r="O725" s="9">
        <v>3</v>
      </c>
      <c r="P725" s="9">
        <v>61</v>
      </c>
      <c r="Q725" s="9">
        <v>64</v>
      </c>
      <c r="U725">
        <v>158</v>
      </c>
      <c r="W725">
        <v>156</v>
      </c>
    </row>
    <row r="726" spans="1:23">
      <c r="A726" s="9">
        <v>725</v>
      </c>
      <c r="B726" s="10">
        <v>40576</v>
      </c>
      <c r="C726" s="9">
        <v>1</v>
      </c>
      <c r="D726" s="9">
        <v>0</v>
      </c>
      <c r="E726" s="3" t="str">
        <f t="shared" si="37"/>
        <v>February</v>
      </c>
      <c r="F726" s="9">
        <v>13</v>
      </c>
      <c r="G726" s="3" t="b">
        <v>0</v>
      </c>
      <c r="H726" s="3" t="str">
        <f t="shared" si="39"/>
        <v>Wednesday</v>
      </c>
      <c r="I726" s="9">
        <v>3</v>
      </c>
      <c r="J726" s="3" t="str">
        <f t="shared" si="38"/>
        <v>Clear</v>
      </c>
      <c r="K726" s="9">
        <v>0.34</v>
      </c>
      <c r="L726" s="9">
        <v>0.33329999999999999</v>
      </c>
      <c r="M726" s="9">
        <v>0.93</v>
      </c>
      <c r="N726" s="9">
        <v>0.16420000000000001</v>
      </c>
      <c r="O726" s="9">
        <v>1</v>
      </c>
      <c r="P726" s="9">
        <v>74</v>
      </c>
      <c r="Q726" s="9">
        <v>75</v>
      </c>
      <c r="V726">
        <v>2</v>
      </c>
      <c r="W726">
        <v>156</v>
      </c>
    </row>
    <row r="727" spans="1:23">
      <c r="A727" s="9">
        <v>726</v>
      </c>
      <c r="B727" s="10">
        <v>40576</v>
      </c>
      <c r="C727" s="9">
        <v>1</v>
      </c>
      <c r="D727" s="9">
        <v>0</v>
      </c>
      <c r="E727" s="3" t="str">
        <f t="shared" si="37"/>
        <v>February</v>
      </c>
      <c r="F727" s="9">
        <v>14</v>
      </c>
      <c r="G727" s="3" t="b">
        <v>0</v>
      </c>
      <c r="H727" s="3" t="str">
        <f t="shared" si="39"/>
        <v>Wednesday</v>
      </c>
      <c r="I727" s="9">
        <v>3</v>
      </c>
      <c r="J727" s="3" t="str">
        <f t="shared" si="38"/>
        <v>Clear</v>
      </c>
      <c r="K727" s="9">
        <v>0.38</v>
      </c>
      <c r="L727" s="9">
        <v>0.39389999999999997</v>
      </c>
      <c r="M727" s="9">
        <v>0.82</v>
      </c>
      <c r="N727" s="9">
        <v>0.3881</v>
      </c>
      <c r="O727" s="9">
        <v>2</v>
      </c>
      <c r="P727" s="9">
        <v>61</v>
      </c>
      <c r="Q727" s="9">
        <v>63</v>
      </c>
      <c r="U727">
        <v>159</v>
      </c>
      <c r="W727">
        <v>155</v>
      </c>
    </row>
    <row r="728" spans="1:23">
      <c r="A728" s="9">
        <v>727</v>
      </c>
      <c r="B728" s="10">
        <v>40576</v>
      </c>
      <c r="C728" s="9">
        <v>1</v>
      </c>
      <c r="D728" s="9">
        <v>0</v>
      </c>
      <c r="E728" s="3" t="str">
        <f t="shared" si="37"/>
        <v>February</v>
      </c>
      <c r="F728" s="9">
        <v>15</v>
      </c>
      <c r="G728" s="3" t="b">
        <v>0</v>
      </c>
      <c r="H728" s="3" t="str">
        <f t="shared" si="39"/>
        <v>Wednesday</v>
      </c>
      <c r="I728" s="9">
        <v>3</v>
      </c>
      <c r="J728" s="3" t="str">
        <f t="shared" si="38"/>
        <v>Clear</v>
      </c>
      <c r="K728" s="9">
        <v>0.38</v>
      </c>
      <c r="L728" s="9">
        <v>0.39389999999999997</v>
      </c>
      <c r="M728" s="9">
        <v>0.76</v>
      </c>
      <c r="N728" s="9">
        <v>0.32840000000000003</v>
      </c>
      <c r="O728" s="9">
        <v>10</v>
      </c>
      <c r="P728" s="9">
        <v>66</v>
      </c>
      <c r="Q728" s="9">
        <v>76</v>
      </c>
      <c r="V728">
        <v>4</v>
      </c>
      <c r="W728">
        <v>155</v>
      </c>
    </row>
    <row r="729" spans="1:23">
      <c r="A729" s="9">
        <v>728</v>
      </c>
      <c r="B729" s="10">
        <v>40576</v>
      </c>
      <c r="C729" s="9">
        <v>1</v>
      </c>
      <c r="D729" s="9">
        <v>0</v>
      </c>
      <c r="E729" s="3" t="str">
        <f t="shared" si="37"/>
        <v>February</v>
      </c>
      <c r="F729" s="9">
        <v>16</v>
      </c>
      <c r="G729" s="3" t="b">
        <v>0</v>
      </c>
      <c r="H729" s="3" t="str">
        <f t="shared" si="39"/>
        <v>Wednesday</v>
      </c>
      <c r="I729" s="9">
        <v>3</v>
      </c>
      <c r="J729" s="3" t="str">
        <f t="shared" si="38"/>
        <v>Clear</v>
      </c>
      <c r="K729" s="9">
        <v>0.36</v>
      </c>
      <c r="L729" s="9">
        <v>0.33329999999999999</v>
      </c>
      <c r="M729" s="9">
        <v>0.71</v>
      </c>
      <c r="N729" s="9">
        <v>0.29849999999999999</v>
      </c>
      <c r="O729" s="9">
        <v>8</v>
      </c>
      <c r="P729" s="9">
        <v>95</v>
      </c>
      <c r="Q729" s="9">
        <v>103</v>
      </c>
      <c r="U729">
        <v>160</v>
      </c>
      <c r="W729">
        <v>157</v>
      </c>
    </row>
    <row r="730" spans="1:23">
      <c r="A730" s="9">
        <v>729</v>
      </c>
      <c r="B730" s="10">
        <v>40576</v>
      </c>
      <c r="C730" s="9">
        <v>1</v>
      </c>
      <c r="D730" s="9">
        <v>0</v>
      </c>
      <c r="E730" s="3" t="str">
        <f t="shared" si="37"/>
        <v>February</v>
      </c>
      <c r="F730" s="9">
        <v>17</v>
      </c>
      <c r="G730" s="3" t="b">
        <v>0</v>
      </c>
      <c r="H730" s="3" t="str">
        <f t="shared" si="39"/>
        <v>Wednesday</v>
      </c>
      <c r="I730" s="9">
        <v>3</v>
      </c>
      <c r="J730" s="3" t="str">
        <f t="shared" si="38"/>
        <v>Clear</v>
      </c>
      <c r="K730" s="9">
        <v>0.36</v>
      </c>
      <c r="L730" s="9">
        <v>0.31819999999999998</v>
      </c>
      <c r="M730" s="9">
        <v>0.53</v>
      </c>
      <c r="N730" s="9">
        <v>0.52239999999999998</v>
      </c>
      <c r="O730" s="9">
        <v>7</v>
      </c>
      <c r="P730" s="9">
        <v>183</v>
      </c>
      <c r="Q730" s="9">
        <v>190</v>
      </c>
      <c r="V730">
        <v>3</v>
      </c>
      <c r="W730">
        <v>157</v>
      </c>
    </row>
    <row r="731" spans="1:23">
      <c r="A731" s="9">
        <v>730</v>
      </c>
      <c r="B731" s="10">
        <v>40576</v>
      </c>
      <c r="C731" s="9">
        <v>1</v>
      </c>
      <c r="D731" s="9">
        <v>0</v>
      </c>
      <c r="E731" s="3" t="str">
        <f t="shared" si="37"/>
        <v>February</v>
      </c>
      <c r="F731" s="9">
        <v>18</v>
      </c>
      <c r="G731" s="3" t="b">
        <v>0</v>
      </c>
      <c r="H731" s="3" t="str">
        <f t="shared" si="39"/>
        <v>Wednesday</v>
      </c>
      <c r="I731" s="9">
        <v>3</v>
      </c>
      <c r="J731" s="3" t="str">
        <f t="shared" si="38"/>
        <v>Clear</v>
      </c>
      <c r="K731" s="9">
        <v>0.34</v>
      </c>
      <c r="L731" s="9">
        <v>0.28789999999999999</v>
      </c>
      <c r="M731" s="9">
        <v>0.42</v>
      </c>
      <c r="N731" s="9">
        <v>0.55220000000000002</v>
      </c>
      <c r="O731" s="9">
        <v>7</v>
      </c>
      <c r="P731" s="9">
        <v>175</v>
      </c>
      <c r="Q731" s="9">
        <v>182</v>
      </c>
      <c r="U731">
        <v>161</v>
      </c>
      <c r="W731">
        <v>686</v>
      </c>
    </row>
    <row r="732" spans="1:23">
      <c r="A732" s="9">
        <v>731</v>
      </c>
      <c r="B732" s="10">
        <v>40576</v>
      </c>
      <c r="C732" s="9">
        <v>1</v>
      </c>
      <c r="D732" s="9">
        <v>0</v>
      </c>
      <c r="E732" s="3" t="str">
        <f t="shared" si="37"/>
        <v>February</v>
      </c>
      <c r="F732" s="9">
        <v>19</v>
      </c>
      <c r="G732" s="3" t="b">
        <v>0</v>
      </c>
      <c r="H732" s="3" t="str">
        <f t="shared" si="39"/>
        <v>Wednesday</v>
      </c>
      <c r="I732" s="9">
        <v>3</v>
      </c>
      <c r="J732" s="3" t="str">
        <f t="shared" si="38"/>
        <v>Clear</v>
      </c>
      <c r="K732" s="9">
        <v>0.28000000000000003</v>
      </c>
      <c r="L732" s="9">
        <v>0.2424</v>
      </c>
      <c r="M732" s="9">
        <v>0.45</v>
      </c>
      <c r="N732" s="9">
        <v>0.49249999999999999</v>
      </c>
      <c r="O732" s="9">
        <v>3</v>
      </c>
      <c r="P732" s="9">
        <v>88</v>
      </c>
      <c r="Q732" s="9">
        <v>91</v>
      </c>
      <c r="V732">
        <v>5</v>
      </c>
      <c r="W732">
        <v>156</v>
      </c>
    </row>
    <row r="733" spans="1:23">
      <c r="A733" s="9">
        <v>732</v>
      </c>
      <c r="B733" s="10">
        <v>40576</v>
      </c>
      <c r="C733" s="9">
        <v>1</v>
      </c>
      <c r="D733" s="9">
        <v>0</v>
      </c>
      <c r="E733" s="3" t="str">
        <f t="shared" si="37"/>
        <v>February</v>
      </c>
      <c r="F733" s="9">
        <v>20</v>
      </c>
      <c r="G733" s="3" t="b">
        <v>0</v>
      </c>
      <c r="H733" s="3" t="str">
        <f t="shared" si="39"/>
        <v>Wednesday</v>
      </c>
      <c r="I733" s="9">
        <v>3</v>
      </c>
      <c r="J733" s="3" t="str">
        <f t="shared" si="38"/>
        <v>Foggy</v>
      </c>
      <c r="K733" s="9">
        <v>0.24</v>
      </c>
      <c r="L733" s="9">
        <v>0.19700000000000001</v>
      </c>
      <c r="M733" s="9">
        <v>0.48</v>
      </c>
      <c r="N733" s="9">
        <v>0.55220000000000002</v>
      </c>
      <c r="O733" s="9">
        <v>4</v>
      </c>
      <c r="P733" s="9">
        <v>71</v>
      </c>
      <c r="Q733" s="9">
        <v>75</v>
      </c>
      <c r="V733">
        <v>6</v>
      </c>
      <c r="W733">
        <v>155</v>
      </c>
    </row>
    <row r="734" spans="1:23">
      <c r="A734" s="9">
        <v>733</v>
      </c>
      <c r="B734" s="10">
        <v>40576</v>
      </c>
      <c r="C734" s="9">
        <v>1</v>
      </c>
      <c r="D734" s="9">
        <v>0</v>
      </c>
      <c r="E734" s="3" t="str">
        <f t="shared" si="37"/>
        <v>February</v>
      </c>
      <c r="F734" s="9">
        <v>21</v>
      </c>
      <c r="G734" s="3" t="b">
        <v>0</v>
      </c>
      <c r="H734" s="3" t="str">
        <f t="shared" si="39"/>
        <v>Wednesday</v>
      </c>
      <c r="I734" s="9">
        <v>3</v>
      </c>
      <c r="J734" s="3" t="str">
        <f t="shared" si="38"/>
        <v>Foggy</v>
      </c>
      <c r="K734" s="9">
        <v>0.22</v>
      </c>
      <c r="L734" s="9">
        <v>0.19700000000000001</v>
      </c>
      <c r="M734" s="9">
        <v>0.47</v>
      </c>
      <c r="N734" s="9">
        <v>0.32840000000000003</v>
      </c>
      <c r="O734" s="9">
        <v>1</v>
      </c>
      <c r="P734" s="9">
        <v>62</v>
      </c>
      <c r="Q734" s="9">
        <v>63</v>
      </c>
      <c r="V734">
        <v>10</v>
      </c>
      <c r="W734">
        <v>151</v>
      </c>
    </row>
    <row r="735" spans="1:23">
      <c r="A735" s="9">
        <v>734</v>
      </c>
      <c r="B735" s="10">
        <v>40576</v>
      </c>
      <c r="C735" s="9">
        <v>1</v>
      </c>
      <c r="D735" s="9">
        <v>0</v>
      </c>
      <c r="E735" s="3" t="str">
        <f t="shared" si="37"/>
        <v>February</v>
      </c>
      <c r="F735" s="9">
        <v>22</v>
      </c>
      <c r="G735" s="3" t="b">
        <v>0</v>
      </c>
      <c r="H735" s="3" t="str">
        <f t="shared" si="39"/>
        <v>Wednesday</v>
      </c>
      <c r="I735" s="9">
        <v>3</v>
      </c>
      <c r="J735" s="3" t="str">
        <f t="shared" si="38"/>
        <v>Foggy</v>
      </c>
      <c r="K735" s="9">
        <v>0.22</v>
      </c>
      <c r="L735" s="9">
        <v>0.21210000000000001</v>
      </c>
      <c r="M735" s="9">
        <v>0.44</v>
      </c>
      <c r="N735" s="9">
        <v>0.25369999999999998</v>
      </c>
      <c r="O735" s="9">
        <v>5</v>
      </c>
      <c r="P735" s="9">
        <v>35</v>
      </c>
      <c r="Q735" s="9">
        <v>40</v>
      </c>
      <c r="V735">
        <v>47</v>
      </c>
      <c r="W735">
        <v>114</v>
      </c>
    </row>
    <row r="736" spans="1:23">
      <c r="A736" s="9">
        <v>735</v>
      </c>
      <c r="B736" s="10">
        <v>40576</v>
      </c>
      <c r="C736" s="9">
        <v>1</v>
      </c>
      <c r="D736" s="9">
        <v>0</v>
      </c>
      <c r="E736" s="3" t="str">
        <f t="shared" si="37"/>
        <v>February</v>
      </c>
      <c r="F736" s="9">
        <v>23</v>
      </c>
      <c r="G736" s="3" t="b">
        <v>0</v>
      </c>
      <c r="H736" s="3" t="str">
        <f t="shared" si="39"/>
        <v>Wednesday</v>
      </c>
      <c r="I736" s="9">
        <v>3</v>
      </c>
      <c r="J736" s="3" t="str">
        <f t="shared" si="38"/>
        <v>Foggy</v>
      </c>
      <c r="K736" s="9">
        <v>0.2</v>
      </c>
      <c r="L736" s="9">
        <v>0.16669999999999999</v>
      </c>
      <c r="M736" s="9">
        <v>0.44</v>
      </c>
      <c r="N736" s="9">
        <v>0.44779999999999998</v>
      </c>
      <c r="O736" s="9">
        <v>3</v>
      </c>
      <c r="P736" s="9">
        <v>29</v>
      </c>
      <c r="Q736" s="9">
        <v>32</v>
      </c>
      <c r="V736">
        <v>51</v>
      </c>
      <c r="W736">
        <v>110</v>
      </c>
    </row>
    <row r="737" spans="1:23">
      <c r="A737" s="9">
        <v>736</v>
      </c>
      <c r="B737" s="10">
        <v>40577</v>
      </c>
      <c r="C737" s="9">
        <v>1</v>
      </c>
      <c r="D737" s="9">
        <v>0</v>
      </c>
      <c r="E737" s="3" t="str">
        <f t="shared" si="37"/>
        <v>February</v>
      </c>
      <c r="F737" s="9">
        <v>0</v>
      </c>
      <c r="G737" s="3" t="b">
        <v>0</v>
      </c>
      <c r="H737" s="3" t="str">
        <f t="shared" si="39"/>
        <v>Thursday</v>
      </c>
      <c r="I737" s="9">
        <v>4</v>
      </c>
      <c r="J737" s="3" t="str">
        <f t="shared" si="38"/>
        <v>Foggy</v>
      </c>
      <c r="K737" s="9">
        <v>0.2</v>
      </c>
      <c r="L737" s="9">
        <v>0.16669999999999999</v>
      </c>
      <c r="M737" s="9">
        <v>0.4</v>
      </c>
      <c r="N737" s="9">
        <v>0.44779999999999998</v>
      </c>
      <c r="O737" s="9">
        <v>1</v>
      </c>
      <c r="P737" s="9">
        <v>11</v>
      </c>
      <c r="Q737" s="9">
        <v>12</v>
      </c>
      <c r="U737">
        <v>162</v>
      </c>
      <c r="W737">
        <v>280</v>
      </c>
    </row>
    <row r="738" spans="1:23">
      <c r="A738" s="9">
        <v>737</v>
      </c>
      <c r="B738" s="10">
        <v>40577</v>
      </c>
      <c r="C738" s="9">
        <v>1</v>
      </c>
      <c r="D738" s="9">
        <v>0</v>
      </c>
      <c r="E738" s="3" t="str">
        <f t="shared" si="37"/>
        <v>February</v>
      </c>
      <c r="F738" s="9">
        <v>1</v>
      </c>
      <c r="G738" s="3" t="b">
        <v>0</v>
      </c>
      <c r="H738" s="3" t="str">
        <f t="shared" si="39"/>
        <v>Thursday</v>
      </c>
      <c r="I738" s="9">
        <v>4</v>
      </c>
      <c r="J738" s="3" t="str">
        <f t="shared" si="38"/>
        <v>Foggy</v>
      </c>
      <c r="K738" s="9">
        <v>0.2</v>
      </c>
      <c r="L738" s="9">
        <v>0.1515</v>
      </c>
      <c r="M738" s="9">
        <v>0.44</v>
      </c>
      <c r="N738" s="9">
        <v>0.52239999999999998</v>
      </c>
      <c r="O738" s="9">
        <v>0</v>
      </c>
      <c r="P738" s="9">
        <v>5</v>
      </c>
      <c r="Q738" s="9">
        <v>5</v>
      </c>
      <c r="V738">
        <v>4</v>
      </c>
      <c r="W738">
        <v>158</v>
      </c>
    </row>
    <row r="739" spans="1:23">
      <c r="A739" s="9">
        <v>738</v>
      </c>
      <c r="B739" s="10">
        <v>40577</v>
      </c>
      <c r="C739" s="9">
        <v>1</v>
      </c>
      <c r="D739" s="9">
        <v>0</v>
      </c>
      <c r="E739" s="3" t="str">
        <f t="shared" si="37"/>
        <v>February</v>
      </c>
      <c r="F739" s="9">
        <v>2</v>
      </c>
      <c r="G739" s="3" t="b">
        <v>0</v>
      </c>
      <c r="H739" s="3" t="str">
        <f t="shared" si="39"/>
        <v>Thursday</v>
      </c>
      <c r="I739" s="9">
        <v>4</v>
      </c>
      <c r="J739" s="3" t="str">
        <f t="shared" si="38"/>
        <v>Foggy</v>
      </c>
      <c r="K739" s="9">
        <v>0.18</v>
      </c>
      <c r="L739" s="9">
        <v>0.16669999999999999</v>
      </c>
      <c r="M739" s="9">
        <v>0.43</v>
      </c>
      <c r="N739" s="9">
        <v>0.25369999999999998</v>
      </c>
      <c r="O739" s="9">
        <v>0</v>
      </c>
      <c r="P739" s="9">
        <v>2</v>
      </c>
      <c r="Q739" s="9">
        <v>2</v>
      </c>
      <c r="V739">
        <v>40</v>
      </c>
      <c r="W739">
        <v>122</v>
      </c>
    </row>
    <row r="740" spans="1:23">
      <c r="A740" s="9">
        <v>739</v>
      </c>
      <c r="B740" s="10">
        <v>40577</v>
      </c>
      <c r="C740" s="9">
        <v>1</v>
      </c>
      <c r="D740" s="9">
        <v>0</v>
      </c>
      <c r="E740" s="3" t="str">
        <f t="shared" si="37"/>
        <v>February</v>
      </c>
      <c r="F740" s="9">
        <v>3</v>
      </c>
      <c r="G740" s="3" t="b">
        <v>0</v>
      </c>
      <c r="H740" s="3" t="str">
        <f t="shared" si="39"/>
        <v>Thursday</v>
      </c>
      <c r="I740" s="9">
        <v>4</v>
      </c>
      <c r="J740" s="3" t="str">
        <f t="shared" si="38"/>
        <v>Foggy</v>
      </c>
      <c r="K740" s="9">
        <v>0.18</v>
      </c>
      <c r="L740" s="9">
        <v>0.16669999999999999</v>
      </c>
      <c r="M740" s="9">
        <v>0.43</v>
      </c>
      <c r="N740" s="9">
        <v>0.25369999999999998</v>
      </c>
      <c r="O740" s="9">
        <v>0</v>
      </c>
      <c r="P740" s="9">
        <v>1</v>
      </c>
      <c r="Q740" s="9">
        <v>1</v>
      </c>
      <c r="U740">
        <v>163</v>
      </c>
      <c r="W740">
        <v>158</v>
      </c>
    </row>
    <row r="741" spans="1:23">
      <c r="A741" s="9">
        <v>740</v>
      </c>
      <c r="B741" s="10">
        <v>40577</v>
      </c>
      <c r="C741" s="9">
        <v>1</v>
      </c>
      <c r="D741" s="9">
        <v>0</v>
      </c>
      <c r="E741" s="3" t="str">
        <f t="shared" si="37"/>
        <v>February</v>
      </c>
      <c r="F741" s="9">
        <v>5</v>
      </c>
      <c r="G741" s="3" t="b">
        <v>0</v>
      </c>
      <c r="H741" s="3" t="str">
        <f t="shared" si="39"/>
        <v>Thursday</v>
      </c>
      <c r="I741" s="9">
        <v>4</v>
      </c>
      <c r="J741" s="3" t="str">
        <f t="shared" si="38"/>
        <v>Foggy</v>
      </c>
      <c r="K741" s="9">
        <v>0.16</v>
      </c>
      <c r="L741" s="9">
        <v>0.13639999999999999</v>
      </c>
      <c r="M741" s="9">
        <v>0.5</v>
      </c>
      <c r="N741" s="9">
        <v>0.29849999999999999</v>
      </c>
      <c r="O741" s="9">
        <v>0</v>
      </c>
      <c r="P741" s="9">
        <v>2</v>
      </c>
      <c r="Q741" s="9">
        <v>2</v>
      </c>
      <c r="V741">
        <v>5</v>
      </c>
      <c r="W741">
        <v>158</v>
      </c>
    </row>
    <row r="742" spans="1:23">
      <c r="A742" s="9">
        <v>741</v>
      </c>
      <c r="B742" s="10">
        <v>40577</v>
      </c>
      <c r="C742" s="9">
        <v>1</v>
      </c>
      <c r="D742" s="9">
        <v>0</v>
      </c>
      <c r="E742" s="3" t="str">
        <f t="shared" si="37"/>
        <v>February</v>
      </c>
      <c r="F742" s="9">
        <v>6</v>
      </c>
      <c r="G742" s="3" t="b">
        <v>0</v>
      </c>
      <c r="H742" s="3" t="str">
        <f t="shared" si="39"/>
        <v>Thursday</v>
      </c>
      <c r="I742" s="9">
        <v>4</v>
      </c>
      <c r="J742" s="3" t="str">
        <f t="shared" si="38"/>
        <v>Foggy</v>
      </c>
      <c r="K742" s="9">
        <v>0.16</v>
      </c>
      <c r="L742" s="9">
        <v>0.13639999999999999</v>
      </c>
      <c r="M742" s="9">
        <v>0.43</v>
      </c>
      <c r="N742" s="9">
        <v>0.35820000000000002</v>
      </c>
      <c r="O742" s="9">
        <v>0</v>
      </c>
      <c r="P742" s="9">
        <v>39</v>
      </c>
      <c r="Q742" s="9">
        <v>39</v>
      </c>
      <c r="U742">
        <v>165</v>
      </c>
      <c r="W742">
        <v>159</v>
      </c>
    </row>
    <row r="743" spans="1:23">
      <c r="A743" s="9">
        <v>742</v>
      </c>
      <c r="B743" s="10">
        <v>40577</v>
      </c>
      <c r="C743" s="9">
        <v>1</v>
      </c>
      <c r="D743" s="9">
        <v>0</v>
      </c>
      <c r="E743" s="3" t="str">
        <f t="shared" si="37"/>
        <v>February</v>
      </c>
      <c r="F743" s="9">
        <v>7</v>
      </c>
      <c r="G743" s="3" t="b">
        <v>0</v>
      </c>
      <c r="H743" s="3" t="str">
        <f t="shared" si="39"/>
        <v>Thursday</v>
      </c>
      <c r="I743" s="9">
        <v>4</v>
      </c>
      <c r="J743" s="3" t="str">
        <f t="shared" si="38"/>
        <v>Foggy</v>
      </c>
      <c r="K743" s="9">
        <v>0.14000000000000001</v>
      </c>
      <c r="L743" s="9">
        <v>0.1212</v>
      </c>
      <c r="M743" s="9">
        <v>0.5</v>
      </c>
      <c r="N743" s="9">
        <v>0.32840000000000003</v>
      </c>
      <c r="O743" s="9">
        <v>1</v>
      </c>
      <c r="P743" s="9">
        <v>86</v>
      </c>
      <c r="Q743" s="9">
        <v>87</v>
      </c>
      <c r="V743">
        <v>6</v>
      </c>
      <c r="W743">
        <v>159</v>
      </c>
    </row>
    <row r="744" spans="1:23">
      <c r="A744" s="9">
        <v>743</v>
      </c>
      <c r="B744" s="10">
        <v>40577</v>
      </c>
      <c r="C744" s="9">
        <v>1</v>
      </c>
      <c r="D744" s="9">
        <v>0</v>
      </c>
      <c r="E744" s="3" t="str">
        <f t="shared" si="37"/>
        <v>February</v>
      </c>
      <c r="F744" s="9">
        <v>8</v>
      </c>
      <c r="G744" s="3" t="b">
        <v>0</v>
      </c>
      <c r="H744" s="3" t="str">
        <f t="shared" si="39"/>
        <v>Thursday</v>
      </c>
      <c r="I744" s="9">
        <v>4</v>
      </c>
      <c r="J744" s="3" t="str">
        <f t="shared" si="38"/>
        <v>Foggy</v>
      </c>
      <c r="K744" s="9">
        <v>0.14000000000000001</v>
      </c>
      <c r="L744" s="9">
        <v>0.1212</v>
      </c>
      <c r="M744" s="9">
        <v>0.5</v>
      </c>
      <c r="N744" s="9">
        <v>0.35820000000000002</v>
      </c>
      <c r="O744" s="9">
        <v>4</v>
      </c>
      <c r="P744" s="9">
        <v>184</v>
      </c>
      <c r="Q744" s="9">
        <v>188</v>
      </c>
      <c r="U744">
        <v>166</v>
      </c>
      <c r="W744">
        <v>316</v>
      </c>
    </row>
    <row r="745" spans="1:23">
      <c r="A745" s="9">
        <v>744</v>
      </c>
      <c r="B745" s="10">
        <v>40577</v>
      </c>
      <c r="C745" s="9">
        <v>1</v>
      </c>
      <c r="D745" s="9">
        <v>0</v>
      </c>
      <c r="E745" s="3" t="str">
        <f t="shared" si="37"/>
        <v>February</v>
      </c>
      <c r="F745" s="9">
        <v>9</v>
      </c>
      <c r="G745" s="3" t="b">
        <v>0</v>
      </c>
      <c r="H745" s="3" t="str">
        <f t="shared" si="39"/>
        <v>Thursday</v>
      </c>
      <c r="I745" s="9">
        <v>4</v>
      </c>
      <c r="J745" s="3" t="str">
        <f t="shared" si="38"/>
        <v>Foggy</v>
      </c>
      <c r="K745" s="9">
        <v>0.16</v>
      </c>
      <c r="L745" s="9">
        <v>0.13639999999999999</v>
      </c>
      <c r="M745" s="9">
        <v>0.47</v>
      </c>
      <c r="N745" s="9">
        <v>0.29849999999999999</v>
      </c>
      <c r="O745" s="9">
        <v>6</v>
      </c>
      <c r="P745" s="9">
        <v>127</v>
      </c>
      <c r="Q745" s="9">
        <v>133</v>
      </c>
      <c r="V745">
        <v>7</v>
      </c>
      <c r="W745">
        <v>159</v>
      </c>
    </row>
    <row r="746" spans="1:23">
      <c r="A746" s="9">
        <v>745</v>
      </c>
      <c r="B746" s="10">
        <v>40577</v>
      </c>
      <c r="C746" s="9">
        <v>1</v>
      </c>
      <c r="D746" s="9">
        <v>0</v>
      </c>
      <c r="E746" s="3" t="str">
        <f t="shared" si="37"/>
        <v>February</v>
      </c>
      <c r="F746" s="9">
        <v>10</v>
      </c>
      <c r="G746" s="3" t="b">
        <v>0</v>
      </c>
      <c r="H746" s="3" t="str">
        <f t="shared" si="39"/>
        <v>Thursday</v>
      </c>
      <c r="I746" s="9">
        <v>4</v>
      </c>
      <c r="J746" s="3" t="str">
        <f t="shared" si="38"/>
        <v>Foggy</v>
      </c>
      <c r="K746" s="9">
        <v>0.18</v>
      </c>
      <c r="L746" s="9">
        <v>0.1515</v>
      </c>
      <c r="M746" s="9">
        <v>0.43</v>
      </c>
      <c r="N746" s="9">
        <v>0.32840000000000003</v>
      </c>
      <c r="O746" s="9">
        <v>2</v>
      </c>
      <c r="P746" s="9">
        <v>50</v>
      </c>
      <c r="Q746" s="9">
        <v>52</v>
      </c>
      <c r="V746">
        <v>9</v>
      </c>
      <c r="W746">
        <v>157</v>
      </c>
    </row>
    <row r="747" spans="1:23">
      <c r="A747" s="9">
        <v>746</v>
      </c>
      <c r="B747" s="10">
        <v>40577</v>
      </c>
      <c r="C747" s="9">
        <v>1</v>
      </c>
      <c r="D747" s="9">
        <v>0</v>
      </c>
      <c r="E747" s="3" t="str">
        <f t="shared" si="37"/>
        <v>February</v>
      </c>
      <c r="F747" s="9">
        <v>11</v>
      </c>
      <c r="G747" s="3" t="b">
        <v>0</v>
      </c>
      <c r="H747" s="3" t="str">
        <f t="shared" si="39"/>
        <v>Thursday</v>
      </c>
      <c r="I747" s="9">
        <v>4</v>
      </c>
      <c r="J747" s="3" t="str">
        <f t="shared" si="38"/>
        <v>Foggy</v>
      </c>
      <c r="K747" s="9">
        <v>0.18</v>
      </c>
      <c r="L747" s="9">
        <v>0.13639999999999999</v>
      </c>
      <c r="M747" s="9">
        <v>0.43</v>
      </c>
      <c r="N747" s="9">
        <v>0.44779999999999998</v>
      </c>
      <c r="O747" s="9">
        <v>9</v>
      </c>
      <c r="P747" s="9">
        <v>55</v>
      </c>
      <c r="Q747" s="9">
        <v>64</v>
      </c>
      <c r="U747">
        <v>168</v>
      </c>
      <c r="W747">
        <v>165</v>
      </c>
    </row>
    <row r="748" spans="1:23">
      <c r="A748" s="9">
        <v>747</v>
      </c>
      <c r="B748" s="10">
        <v>40577</v>
      </c>
      <c r="C748" s="9">
        <v>1</v>
      </c>
      <c r="D748" s="9">
        <v>0</v>
      </c>
      <c r="E748" s="3" t="str">
        <f t="shared" si="37"/>
        <v>February</v>
      </c>
      <c r="F748" s="9">
        <v>12</v>
      </c>
      <c r="G748" s="3" t="b">
        <v>0</v>
      </c>
      <c r="H748" s="3" t="str">
        <f t="shared" si="39"/>
        <v>Thursday</v>
      </c>
      <c r="I748" s="9">
        <v>4</v>
      </c>
      <c r="J748" s="3" t="str">
        <f t="shared" si="38"/>
        <v>Foggy</v>
      </c>
      <c r="K748" s="9">
        <v>0.2</v>
      </c>
      <c r="L748" s="9">
        <v>0.18179999999999999</v>
      </c>
      <c r="M748" s="9">
        <v>0.4</v>
      </c>
      <c r="N748" s="9">
        <v>0.35820000000000002</v>
      </c>
      <c r="O748" s="9">
        <v>2</v>
      </c>
      <c r="P748" s="9">
        <v>67</v>
      </c>
      <c r="Q748" s="9">
        <v>69</v>
      </c>
      <c r="V748">
        <v>3</v>
      </c>
      <c r="W748">
        <v>165</v>
      </c>
    </row>
    <row r="749" spans="1:23">
      <c r="A749" s="9">
        <v>748</v>
      </c>
      <c r="B749" s="10">
        <v>40577</v>
      </c>
      <c r="C749" s="9">
        <v>1</v>
      </c>
      <c r="D749" s="9">
        <v>0</v>
      </c>
      <c r="E749" s="3" t="str">
        <f t="shared" si="37"/>
        <v>February</v>
      </c>
      <c r="F749" s="9">
        <v>13</v>
      </c>
      <c r="G749" s="3" t="b">
        <v>0</v>
      </c>
      <c r="H749" s="3" t="str">
        <f t="shared" si="39"/>
        <v>Thursday</v>
      </c>
      <c r="I749" s="9">
        <v>4</v>
      </c>
      <c r="J749" s="3" t="str">
        <f t="shared" si="38"/>
        <v>Foggy</v>
      </c>
      <c r="K749" s="9">
        <v>0.2</v>
      </c>
      <c r="L749" s="9">
        <v>0.16669999999999999</v>
      </c>
      <c r="M749" s="9">
        <v>0.4</v>
      </c>
      <c r="N749" s="9">
        <v>0.41789999999999999</v>
      </c>
      <c r="O749" s="9">
        <v>4</v>
      </c>
      <c r="P749" s="9">
        <v>47</v>
      </c>
      <c r="Q749" s="9">
        <v>51</v>
      </c>
      <c r="U749">
        <v>169</v>
      </c>
      <c r="W749">
        <v>166</v>
      </c>
    </row>
    <row r="750" spans="1:23">
      <c r="A750" s="9">
        <v>749</v>
      </c>
      <c r="B750" s="10">
        <v>40577</v>
      </c>
      <c r="C750" s="9">
        <v>1</v>
      </c>
      <c r="D750" s="9">
        <v>0</v>
      </c>
      <c r="E750" s="3" t="str">
        <f t="shared" si="37"/>
        <v>February</v>
      </c>
      <c r="F750" s="9">
        <v>14</v>
      </c>
      <c r="G750" s="3" t="b">
        <v>0</v>
      </c>
      <c r="H750" s="3" t="str">
        <f t="shared" si="39"/>
        <v>Thursday</v>
      </c>
      <c r="I750" s="9">
        <v>4</v>
      </c>
      <c r="J750" s="3" t="str">
        <f t="shared" si="38"/>
        <v>Foggy</v>
      </c>
      <c r="K750" s="9">
        <v>0.22</v>
      </c>
      <c r="L750" s="9">
        <v>0.19700000000000001</v>
      </c>
      <c r="M750" s="9">
        <v>0.37</v>
      </c>
      <c r="N750" s="9">
        <v>0.3881</v>
      </c>
      <c r="O750" s="9">
        <v>4</v>
      </c>
      <c r="P750" s="9">
        <v>43</v>
      </c>
      <c r="Q750" s="9">
        <v>47</v>
      </c>
      <c r="V750">
        <v>3</v>
      </c>
      <c r="W750">
        <v>166</v>
      </c>
    </row>
    <row r="751" spans="1:23">
      <c r="A751" s="9">
        <v>750</v>
      </c>
      <c r="B751" s="10">
        <v>40577</v>
      </c>
      <c r="C751" s="9">
        <v>1</v>
      </c>
      <c r="D751" s="9">
        <v>0</v>
      </c>
      <c r="E751" s="3" t="str">
        <f t="shared" si="37"/>
        <v>February</v>
      </c>
      <c r="F751" s="9">
        <v>15</v>
      </c>
      <c r="G751" s="3" t="b">
        <v>0</v>
      </c>
      <c r="H751" s="3" t="str">
        <f t="shared" si="39"/>
        <v>Thursday</v>
      </c>
      <c r="I751" s="9">
        <v>4</v>
      </c>
      <c r="J751" s="3" t="str">
        <f t="shared" si="38"/>
        <v>Foggy</v>
      </c>
      <c r="K751" s="9">
        <v>0.22</v>
      </c>
      <c r="L751" s="9">
        <v>0.19700000000000001</v>
      </c>
      <c r="M751" s="9">
        <v>0.37</v>
      </c>
      <c r="N751" s="9">
        <v>0.32840000000000003</v>
      </c>
      <c r="O751" s="9">
        <v>4</v>
      </c>
      <c r="P751" s="9">
        <v>56</v>
      </c>
      <c r="Q751" s="9">
        <v>60</v>
      </c>
      <c r="U751">
        <v>170</v>
      </c>
      <c r="W751">
        <v>168</v>
      </c>
    </row>
    <row r="752" spans="1:23">
      <c r="A752" s="9">
        <v>751</v>
      </c>
      <c r="B752" s="10">
        <v>40577</v>
      </c>
      <c r="C752" s="9">
        <v>1</v>
      </c>
      <c r="D752" s="9">
        <v>0</v>
      </c>
      <c r="E752" s="3" t="str">
        <f t="shared" si="37"/>
        <v>February</v>
      </c>
      <c r="F752" s="9">
        <v>16</v>
      </c>
      <c r="G752" s="3" t="b">
        <v>0</v>
      </c>
      <c r="H752" s="3" t="str">
        <f t="shared" si="39"/>
        <v>Thursday</v>
      </c>
      <c r="I752" s="9">
        <v>4</v>
      </c>
      <c r="J752" s="3" t="str">
        <f t="shared" si="38"/>
        <v>Foggy</v>
      </c>
      <c r="K752" s="9">
        <v>0.22</v>
      </c>
      <c r="L752" s="9">
        <v>0.21210000000000001</v>
      </c>
      <c r="M752" s="9">
        <v>0.37</v>
      </c>
      <c r="N752" s="9">
        <v>0.25369999999999998</v>
      </c>
      <c r="O752" s="9">
        <v>5</v>
      </c>
      <c r="P752" s="9">
        <v>73</v>
      </c>
      <c r="Q752" s="9">
        <v>78</v>
      </c>
      <c r="V752">
        <v>2</v>
      </c>
      <c r="W752">
        <v>168</v>
      </c>
    </row>
    <row r="753" spans="1:23">
      <c r="A753" s="9">
        <v>752</v>
      </c>
      <c r="B753" s="10">
        <v>40577</v>
      </c>
      <c r="C753" s="9">
        <v>1</v>
      </c>
      <c r="D753" s="9">
        <v>0</v>
      </c>
      <c r="E753" s="3" t="str">
        <f t="shared" si="37"/>
        <v>February</v>
      </c>
      <c r="F753" s="9">
        <v>17</v>
      </c>
      <c r="G753" s="3" t="b">
        <v>0</v>
      </c>
      <c r="H753" s="3" t="str">
        <f t="shared" si="39"/>
        <v>Thursday</v>
      </c>
      <c r="I753" s="9">
        <v>4</v>
      </c>
      <c r="J753" s="3" t="str">
        <f t="shared" si="38"/>
        <v>Foggy</v>
      </c>
      <c r="K753" s="9">
        <v>0.2</v>
      </c>
      <c r="L753" s="9">
        <v>0.19700000000000001</v>
      </c>
      <c r="M753" s="9">
        <v>0.4</v>
      </c>
      <c r="N753" s="9">
        <v>0.19400000000000001</v>
      </c>
      <c r="O753" s="9">
        <v>5</v>
      </c>
      <c r="P753" s="9">
        <v>170</v>
      </c>
      <c r="Q753" s="9">
        <v>175</v>
      </c>
      <c r="U753">
        <v>172</v>
      </c>
      <c r="W753">
        <v>163</v>
      </c>
    </row>
    <row r="754" spans="1:23">
      <c r="A754" s="9">
        <v>753</v>
      </c>
      <c r="B754" s="10">
        <v>40577</v>
      </c>
      <c r="C754" s="9">
        <v>1</v>
      </c>
      <c r="D754" s="9">
        <v>0</v>
      </c>
      <c r="E754" s="3" t="str">
        <f t="shared" si="37"/>
        <v>February</v>
      </c>
      <c r="F754" s="9">
        <v>18</v>
      </c>
      <c r="G754" s="3" t="b">
        <v>0</v>
      </c>
      <c r="H754" s="3" t="str">
        <f t="shared" si="39"/>
        <v>Thursday</v>
      </c>
      <c r="I754" s="9">
        <v>4</v>
      </c>
      <c r="J754" s="3" t="str">
        <f t="shared" si="38"/>
        <v>Foggy</v>
      </c>
      <c r="K754" s="9">
        <v>0.2</v>
      </c>
      <c r="L754" s="9">
        <v>0.21210000000000001</v>
      </c>
      <c r="M754" s="9">
        <v>0.4</v>
      </c>
      <c r="N754" s="9">
        <v>0.16420000000000001</v>
      </c>
      <c r="O754" s="9">
        <v>2</v>
      </c>
      <c r="P754" s="9">
        <v>145</v>
      </c>
      <c r="Q754" s="9">
        <v>147</v>
      </c>
      <c r="V754">
        <v>9</v>
      </c>
      <c r="W754">
        <v>163</v>
      </c>
    </row>
    <row r="755" spans="1:23">
      <c r="A755" s="9">
        <v>754</v>
      </c>
      <c r="B755" s="10">
        <v>40577</v>
      </c>
      <c r="C755" s="9">
        <v>1</v>
      </c>
      <c r="D755" s="9">
        <v>0</v>
      </c>
      <c r="E755" s="3" t="str">
        <f t="shared" si="37"/>
        <v>February</v>
      </c>
      <c r="F755" s="9">
        <v>19</v>
      </c>
      <c r="G755" s="3" t="b">
        <v>0</v>
      </c>
      <c r="H755" s="3" t="str">
        <f t="shared" si="39"/>
        <v>Thursday</v>
      </c>
      <c r="I755" s="9">
        <v>4</v>
      </c>
      <c r="J755" s="3" t="str">
        <f t="shared" si="38"/>
        <v>Foggy</v>
      </c>
      <c r="K755" s="9">
        <v>0.2</v>
      </c>
      <c r="L755" s="9">
        <v>0.2576</v>
      </c>
      <c r="M755" s="9">
        <v>0.4</v>
      </c>
      <c r="N755" s="9">
        <v>0</v>
      </c>
      <c r="O755" s="9">
        <v>4</v>
      </c>
      <c r="P755" s="9">
        <v>92</v>
      </c>
      <c r="Q755" s="9">
        <v>96</v>
      </c>
      <c r="U755">
        <v>174</v>
      </c>
      <c r="W755">
        <v>418</v>
      </c>
    </row>
    <row r="756" spans="1:23">
      <c r="A756" s="9">
        <v>755</v>
      </c>
      <c r="B756" s="10">
        <v>40577</v>
      </c>
      <c r="C756" s="9">
        <v>1</v>
      </c>
      <c r="D756" s="9">
        <v>0</v>
      </c>
      <c r="E756" s="3" t="str">
        <f t="shared" si="37"/>
        <v>February</v>
      </c>
      <c r="F756" s="9">
        <v>20</v>
      </c>
      <c r="G756" s="3" t="b">
        <v>0</v>
      </c>
      <c r="H756" s="3" t="str">
        <f t="shared" si="39"/>
        <v>Thursday</v>
      </c>
      <c r="I756" s="9">
        <v>4</v>
      </c>
      <c r="J756" s="3" t="str">
        <f t="shared" si="38"/>
        <v>Foggy</v>
      </c>
      <c r="K756" s="9">
        <v>0.2</v>
      </c>
      <c r="L756" s="9">
        <v>0.2273</v>
      </c>
      <c r="M756" s="9">
        <v>0.47</v>
      </c>
      <c r="N756" s="9">
        <v>8.9599999999999999E-2</v>
      </c>
      <c r="O756" s="9">
        <v>1</v>
      </c>
      <c r="P756" s="9">
        <v>108</v>
      </c>
      <c r="Q756" s="9">
        <v>109</v>
      </c>
      <c r="V756">
        <v>9</v>
      </c>
      <c r="W756">
        <v>165</v>
      </c>
    </row>
    <row r="757" spans="1:23">
      <c r="A757" s="9">
        <v>756</v>
      </c>
      <c r="B757" s="10">
        <v>40577</v>
      </c>
      <c r="C757" s="9">
        <v>1</v>
      </c>
      <c r="D757" s="9">
        <v>0</v>
      </c>
      <c r="E757" s="3" t="str">
        <f t="shared" si="37"/>
        <v>February</v>
      </c>
      <c r="F757" s="9">
        <v>21</v>
      </c>
      <c r="G757" s="3" t="b">
        <v>0</v>
      </c>
      <c r="H757" s="3" t="str">
        <f t="shared" si="39"/>
        <v>Thursday</v>
      </c>
      <c r="I757" s="9">
        <v>4</v>
      </c>
      <c r="J757" s="3" t="str">
        <f t="shared" si="38"/>
        <v>Foggy</v>
      </c>
      <c r="K757" s="9">
        <v>0.18</v>
      </c>
      <c r="L757" s="9">
        <v>0.21210000000000001</v>
      </c>
      <c r="M757" s="9">
        <v>0.55000000000000004</v>
      </c>
      <c r="N757" s="9">
        <v>0.1045</v>
      </c>
      <c r="O757" s="9">
        <v>1</v>
      </c>
      <c r="P757" s="9">
        <v>53</v>
      </c>
      <c r="Q757" s="9">
        <v>54</v>
      </c>
      <c r="V757">
        <v>47</v>
      </c>
      <c r="W757">
        <v>127</v>
      </c>
    </row>
    <row r="758" spans="1:23">
      <c r="A758" s="9">
        <v>757</v>
      </c>
      <c r="B758" s="10">
        <v>40577</v>
      </c>
      <c r="C758" s="9">
        <v>1</v>
      </c>
      <c r="D758" s="9">
        <v>0</v>
      </c>
      <c r="E758" s="3" t="str">
        <f t="shared" si="37"/>
        <v>February</v>
      </c>
      <c r="F758" s="9">
        <v>22</v>
      </c>
      <c r="G758" s="3" t="b">
        <v>0</v>
      </c>
      <c r="H758" s="3" t="str">
        <f t="shared" si="39"/>
        <v>Thursday</v>
      </c>
      <c r="I758" s="9">
        <v>4</v>
      </c>
      <c r="J758" s="3" t="str">
        <f t="shared" si="38"/>
        <v>Foggy</v>
      </c>
      <c r="K758" s="9">
        <v>0.18</v>
      </c>
      <c r="L758" s="9">
        <v>0.21210000000000001</v>
      </c>
      <c r="M758" s="9">
        <v>0.51</v>
      </c>
      <c r="N758" s="9">
        <v>8.9599999999999999E-2</v>
      </c>
      <c r="O758" s="9">
        <v>2</v>
      </c>
      <c r="P758" s="9">
        <v>39</v>
      </c>
      <c r="Q758" s="9">
        <v>41</v>
      </c>
      <c r="V758">
        <v>48</v>
      </c>
      <c r="W758">
        <v>126</v>
      </c>
    </row>
    <row r="759" spans="1:23">
      <c r="A759" s="9">
        <v>758</v>
      </c>
      <c r="B759" s="10">
        <v>40577</v>
      </c>
      <c r="C759" s="9">
        <v>1</v>
      </c>
      <c r="D759" s="9">
        <v>0</v>
      </c>
      <c r="E759" s="3" t="str">
        <f t="shared" si="37"/>
        <v>February</v>
      </c>
      <c r="F759" s="9">
        <v>23</v>
      </c>
      <c r="G759" s="3" t="b">
        <v>0</v>
      </c>
      <c r="H759" s="3" t="str">
        <f t="shared" si="39"/>
        <v>Thursday</v>
      </c>
      <c r="I759" s="9">
        <v>4</v>
      </c>
      <c r="J759" s="3" t="str">
        <f t="shared" si="38"/>
        <v>Foggy</v>
      </c>
      <c r="K759" s="9">
        <v>0.2</v>
      </c>
      <c r="L759" s="9">
        <v>0.2273</v>
      </c>
      <c r="M759" s="9">
        <v>0.47</v>
      </c>
      <c r="N759" s="9">
        <v>0.1045</v>
      </c>
      <c r="O759" s="9">
        <v>4</v>
      </c>
      <c r="P759" s="9">
        <v>34</v>
      </c>
      <c r="Q759" s="9">
        <v>38</v>
      </c>
      <c r="U759">
        <v>175</v>
      </c>
      <c r="W759">
        <v>340</v>
      </c>
    </row>
    <row r="760" spans="1:23">
      <c r="A760" s="9">
        <v>759</v>
      </c>
      <c r="B760" s="10">
        <v>40578</v>
      </c>
      <c r="C760" s="9">
        <v>1</v>
      </c>
      <c r="D760" s="9">
        <v>0</v>
      </c>
      <c r="E760" s="3" t="str">
        <f t="shared" si="37"/>
        <v>February</v>
      </c>
      <c r="F760" s="9">
        <v>0</v>
      </c>
      <c r="G760" s="3" t="b">
        <v>0</v>
      </c>
      <c r="H760" s="3" t="str">
        <f t="shared" si="39"/>
        <v>Friday</v>
      </c>
      <c r="I760" s="9">
        <v>5</v>
      </c>
      <c r="J760" s="3" t="str">
        <f t="shared" si="38"/>
        <v>Foggy</v>
      </c>
      <c r="K760" s="9">
        <v>0.2</v>
      </c>
      <c r="L760" s="9">
        <v>0.2576</v>
      </c>
      <c r="M760" s="9">
        <v>0.44</v>
      </c>
      <c r="N760" s="9">
        <v>0</v>
      </c>
      <c r="O760" s="9">
        <v>3</v>
      </c>
      <c r="P760" s="9">
        <v>10</v>
      </c>
      <c r="Q760" s="9">
        <v>13</v>
      </c>
      <c r="V760">
        <v>5</v>
      </c>
      <c r="W760">
        <v>340</v>
      </c>
    </row>
    <row r="761" spans="1:23">
      <c r="A761" s="9">
        <v>760</v>
      </c>
      <c r="B761" s="10">
        <v>40578</v>
      </c>
      <c r="C761" s="9">
        <v>1</v>
      </c>
      <c r="D761" s="9">
        <v>0</v>
      </c>
      <c r="E761" s="3" t="str">
        <f t="shared" si="37"/>
        <v>February</v>
      </c>
      <c r="F761" s="9">
        <v>1</v>
      </c>
      <c r="G761" s="3" t="b">
        <v>0</v>
      </c>
      <c r="H761" s="3" t="str">
        <f t="shared" si="39"/>
        <v>Friday</v>
      </c>
      <c r="I761" s="9">
        <v>5</v>
      </c>
      <c r="J761" s="3" t="str">
        <f t="shared" si="38"/>
        <v>Foggy</v>
      </c>
      <c r="K761" s="9">
        <v>0.16</v>
      </c>
      <c r="L761" s="9">
        <v>0.2273</v>
      </c>
      <c r="M761" s="9">
        <v>0.59</v>
      </c>
      <c r="N761" s="9">
        <v>0</v>
      </c>
      <c r="O761" s="9">
        <v>0</v>
      </c>
      <c r="P761" s="9">
        <v>7</v>
      </c>
      <c r="Q761" s="9">
        <v>7</v>
      </c>
      <c r="U761">
        <v>176</v>
      </c>
      <c r="W761">
        <v>344</v>
      </c>
    </row>
    <row r="762" spans="1:23">
      <c r="A762" s="9">
        <v>761</v>
      </c>
      <c r="B762" s="10">
        <v>40578</v>
      </c>
      <c r="C762" s="9">
        <v>1</v>
      </c>
      <c r="D762" s="9">
        <v>0</v>
      </c>
      <c r="E762" s="3" t="str">
        <f t="shared" si="37"/>
        <v>February</v>
      </c>
      <c r="F762" s="9">
        <v>2</v>
      </c>
      <c r="G762" s="3" t="b">
        <v>0</v>
      </c>
      <c r="H762" s="3" t="str">
        <f t="shared" si="39"/>
        <v>Friday</v>
      </c>
      <c r="I762" s="9">
        <v>5</v>
      </c>
      <c r="J762" s="3" t="str">
        <f t="shared" si="38"/>
        <v>Foggy</v>
      </c>
      <c r="K762" s="9">
        <v>0.14000000000000001</v>
      </c>
      <c r="L762" s="9">
        <v>0.16669999999999999</v>
      </c>
      <c r="M762" s="9">
        <v>0.63</v>
      </c>
      <c r="N762" s="9">
        <v>0.1045</v>
      </c>
      <c r="O762" s="9">
        <v>0</v>
      </c>
      <c r="P762" s="9">
        <v>1</v>
      </c>
      <c r="Q762" s="9">
        <v>1</v>
      </c>
      <c r="V762">
        <v>4</v>
      </c>
      <c r="W762">
        <v>344</v>
      </c>
    </row>
    <row r="763" spans="1:23">
      <c r="A763" s="9">
        <v>762</v>
      </c>
      <c r="B763" s="10">
        <v>40578</v>
      </c>
      <c r="C763" s="9">
        <v>1</v>
      </c>
      <c r="D763" s="9">
        <v>0</v>
      </c>
      <c r="E763" s="3" t="str">
        <f t="shared" si="37"/>
        <v>February</v>
      </c>
      <c r="F763" s="9">
        <v>3</v>
      </c>
      <c r="G763" s="3" t="b">
        <v>0</v>
      </c>
      <c r="H763" s="3" t="str">
        <f t="shared" si="39"/>
        <v>Friday</v>
      </c>
      <c r="I763" s="9">
        <v>5</v>
      </c>
      <c r="J763" s="3" t="str">
        <f t="shared" si="38"/>
        <v>Foggy</v>
      </c>
      <c r="K763" s="9">
        <v>0.14000000000000001</v>
      </c>
      <c r="L763" s="9">
        <v>0.16669999999999999</v>
      </c>
      <c r="M763" s="9">
        <v>0.63</v>
      </c>
      <c r="N763" s="9">
        <v>0.1045</v>
      </c>
      <c r="O763" s="9">
        <v>0</v>
      </c>
      <c r="P763" s="9">
        <v>1</v>
      </c>
      <c r="Q763" s="9">
        <v>1</v>
      </c>
      <c r="U763">
        <v>177</v>
      </c>
      <c r="W763">
        <v>171</v>
      </c>
    </row>
    <row r="764" spans="1:23">
      <c r="A764" s="9">
        <v>763</v>
      </c>
      <c r="B764" s="10">
        <v>40578</v>
      </c>
      <c r="C764" s="9">
        <v>1</v>
      </c>
      <c r="D764" s="9">
        <v>0</v>
      </c>
      <c r="E764" s="3" t="str">
        <f t="shared" si="37"/>
        <v>February</v>
      </c>
      <c r="F764" s="9">
        <v>5</v>
      </c>
      <c r="G764" s="3" t="b">
        <v>0</v>
      </c>
      <c r="H764" s="3" t="str">
        <f t="shared" si="39"/>
        <v>Friday</v>
      </c>
      <c r="I764" s="9">
        <v>5</v>
      </c>
      <c r="J764" s="3" t="str">
        <f t="shared" si="38"/>
        <v>Foggy</v>
      </c>
      <c r="K764" s="9">
        <v>0.14000000000000001</v>
      </c>
      <c r="L764" s="9">
        <v>0.1515</v>
      </c>
      <c r="M764" s="9">
        <v>0.63</v>
      </c>
      <c r="N764" s="9">
        <v>0.1343</v>
      </c>
      <c r="O764" s="9">
        <v>0</v>
      </c>
      <c r="P764" s="9">
        <v>7</v>
      </c>
      <c r="Q764" s="9">
        <v>7</v>
      </c>
      <c r="V764">
        <v>6</v>
      </c>
      <c r="W764">
        <v>171</v>
      </c>
    </row>
    <row r="765" spans="1:23">
      <c r="A765" s="9">
        <v>764</v>
      </c>
      <c r="B765" s="10">
        <v>40578</v>
      </c>
      <c r="C765" s="9">
        <v>1</v>
      </c>
      <c r="D765" s="9">
        <v>0</v>
      </c>
      <c r="E765" s="3" t="str">
        <f t="shared" si="37"/>
        <v>February</v>
      </c>
      <c r="F765" s="9">
        <v>6</v>
      </c>
      <c r="G765" s="3" t="b">
        <v>0</v>
      </c>
      <c r="H765" s="3" t="str">
        <f t="shared" si="39"/>
        <v>Friday</v>
      </c>
      <c r="I765" s="9">
        <v>5</v>
      </c>
      <c r="J765" s="3" t="str">
        <f t="shared" si="38"/>
        <v>Foggy</v>
      </c>
      <c r="K765" s="9">
        <v>0.16</v>
      </c>
      <c r="L765" s="9">
        <v>0.2273</v>
      </c>
      <c r="M765" s="9">
        <v>0.55000000000000004</v>
      </c>
      <c r="N765" s="9">
        <v>0</v>
      </c>
      <c r="O765" s="9">
        <v>2</v>
      </c>
      <c r="P765" s="9">
        <v>26</v>
      </c>
      <c r="Q765" s="9">
        <v>28</v>
      </c>
      <c r="U765">
        <v>178</v>
      </c>
      <c r="W765">
        <v>347</v>
      </c>
    </row>
    <row r="766" spans="1:23">
      <c r="A766" s="9">
        <v>765</v>
      </c>
      <c r="B766" s="10">
        <v>40578</v>
      </c>
      <c r="C766" s="9">
        <v>1</v>
      </c>
      <c r="D766" s="9">
        <v>0</v>
      </c>
      <c r="E766" s="3" t="str">
        <f t="shared" si="37"/>
        <v>February</v>
      </c>
      <c r="F766" s="9">
        <v>7</v>
      </c>
      <c r="G766" s="3" t="b">
        <v>0</v>
      </c>
      <c r="H766" s="3" t="str">
        <f t="shared" si="39"/>
        <v>Friday</v>
      </c>
      <c r="I766" s="9">
        <v>5</v>
      </c>
      <c r="J766" s="3" t="str">
        <f t="shared" si="38"/>
        <v>Foggy</v>
      </c>
      <c r="K766" s="9">
        <v>0.14000000000000001</v>
      </c>
      <c r="L766" s="9">
        <v>0.21210000000000001</v>
      </c>
      <c r="M766" s="9">
        <v>0.59</v>
      </c>
      <c r="N766" s="9">
        <v>0</v>
      </c>
      <c r="O766" s="9">
        <v>0</v>
      </c>
      <c r="P766" s="9">
        <v>87</v>
      </c>
      <c r="Q766" s="9">
        <v>87</v>
      </c>
      <c r="V766">
        <v>4</v>
      </c>
      <c r="W766">
        <v>174</v>
      </c>
    </row>
    <row r="767" spans="1:23">
      <c r="A767" s="9">
        <v>766</v>
      </c>
      <c r="B767" s="10">
        <v>40578</v>
      </c>
      <c r="C767" s="9">
        <v>1</v>
      </c>
      <c r="D767" s="9">
        <v>0</v>
      </c>
      <c r="E767" s="3" t="str">
        <f t="shared" si="37"/>
        <v>February</v>
      </c>
      <c r="F767" s="9">
        <v>8</v>
      </c>
      <c r="G767" s="3" t="b">
        <v>0</v>
      </c>
      <c r="H767" s="3" t="str">
        <f t="shared" si="39"/>
        <v>Friday</v>
      </c>
      <c r="I767" s="9">
        <v>5</v>
      </c>
      <c r="J767" s="3" t="str">
        <f t="shared" si="38"/>
        <v>Foggy</v>
      </c>
      <c r="K767" s="9">
        <v>0.14000000000000001</v>
      </c>
      <c r="L767" s="9">
        <v>0.1515</v>
      </c>
      <c r="M767" s="9">
        <v>0.74</v>
      </c>
      <c r="N767" s="9">
        <v>0.1343</v>
      </c>
      <c r="O767" s="9">
        <v>3</v>
      </c>
      <c r="P767" s="9">
        <v>217</v>
      </c>
      <c r="Q767" s="9">
        <v>220</v>
      </c>
      <c r="V767">
        <v>5</v>
      </c>
      <c r="W767">
        <v>173</v>
      </c>
    </row>
    <row r="768" spans="1:23">
      <c r="A768" s="9">
        <v>767</v>
      </c>
      <c r="B768" s="10">
        <v>40578</v>
      </c>
      <c r="C768" s="9">
        <v>1</v>
      </c>
      <c r="D768" s="9">
        <v>0</v>
      </c>
      <c r="E768" s="3" t="str">
        <f t="shared" si="37"/>
        <v>February</v>
      </c>
      <c r="F768" s="9">
        <v>9</v>
      </c>
      <c r="G768" s="3" t="b">
        <v>0</v>
      </c>
      <c r="H768" s="3" t="str">
        <f t="shared" si="39"/>
        <v>Friday</v>
      </c>
      <c r="I768" s="9">
        <v>5</v>
      </c>
      <c r="J768" s="3" t="str">
        <f t="shared" si="38"/>
        <v>Foggy</v>
      </c>
      <c r="K768" s="9">
        <v>0.16</v>
      </c>
      <c r="L768" s="9">
        <v>0.18179999999999999</v>
      </c>
      <c r="M768" s="9">
        <v>0.8</v>
      </c>
      <c r="N768" s="9">
        <v>0.1343</v>
      </c>
      <c r="O768" s="9">
        <v>3</v>
      </c>
      <c r="P768" s="9">
        <v>124</v>
      </c>
      <c r="Q768" s="9">
        <v>127</v>
      </c>
      <c r="U768">
        <v>179</v>
      </c>
      <c r="W768">
        <v>177</v>
      </c>
    </row>
    <row r="769" spans="1:23">
      <c r="A769" s="9">
        <v>768</v>
      </c>
      <c r="B769" s="10">
        <v>40578</v>
      </c>
      <c r="C769" s="9">
        <v>1</v>
      </c>
      <c r="D769" s="9">
        <v>0</v>
      </c>
      <c r="E769" s="3" t="str">
        <f t="shared" si="37"/>
        <v>February</v>
      </c>
      <c r="F769" s="9">
        <v>10</v>
      </c>
      <c r="G769" s="3" t="b">
        <v>0</v>
      </c>
      <c r="H769" s="3" t="str">
        <f t="shared" si="39"/>
        <v>Friday</v>
      </c>
      <c r="I769" s="9">
        <v>5</v>
      </c>
      <c r="J769" s="3" t="str">
        <f t="shared" si="38"/>
        <v>Foggy</v>
      </c>
      <c r="K769" s="9">
        <v>0.2</v>
      </c>
      <c r="L769" s="9">
        <v>0.21210000000000001</v>
      </c>
      <c r="M769" s="9">
        <v>0.51</v>
      </c>
      <c r="N769" s="9">
        <v>0.1343</v>
      </c>
      <c r="O769" s="9">
        <v>5</v>
      </c>
      <c r="P769" s="9">
        <v>46</v>
      </c>
      <c r="Q769" s="9">
        <v>51</v>
      </c>
      <c r="V769">
        <v>2</v>
      </c>
      <c r="W769">
        <v>177</v>
      </c>
    </row>
    <row r="770" spans="1:23">
      <c r="A770" s="9">
        <v>769</v>
      </c>
      <c r="B770" s="10">
        <v>40578</v>
      </c>
      <c r="C770" s="9">
        <v>1</v>
      </c>
      <c r="D770" s="9">
        <v>0</v>
      </c>
      <c r="E770" s="3" t="str">
        <f t="shared" si="37"/>
        <v>February</v>
      </c>
      <c r="F770" s="9">
        <v>11</v>
      </c>
      <c r="G770" s="3" t="b">
        <v>0</v>
      </c>
      <c r="H770" s="3" t="str">
        <f t="shared" si="39"/>
        <v>Friday</v>
      </c>
      <c r="I770" s="9">
        <v>5</v>
      </c>
      <c r="J770" s="3" t="str">
        <f t="shared" si="38"/>
        <v>Foggy</v>
      </c>
      <c r="K770" s="9">
        <v>0.22</v>
      </c>
      <c r="L770" s="9">
        <v>0.2273</v>
      </c>
      <c r="M770" s="9">
        <v>0.51</v>
      </c>
      <c r="N770" s="9">
        <v>0.16420000000000001</v>
      </c>
      <c r="O770" s="9">
        <v>3</v>
      </c>
      <c r="P770" s="9">
        <v>61</v>
      </c>
      <c r="Q770" s="9">
        <v>64</v>
      </c>
      <c r="U770">
        <v>182</v>
      </c>
      <c r="W770">
        <v>619</v>
      </c>
    </row>
    <row r="771" spans="1:23">
      <c r="A771" s="9">
        <v>770</v>
      </c>
      <c r="B771" s="10">
        <v>40578</v>
      </c>
      <c r="C771" s="9">
        <v>1</v>
      </c>
      <c r="D771" s="9">
        <v>0</v>
      </c>
      <c r="E771" s="3" t="str">
        <f t="shared" ref="E771:E834" si="40">TEXT(B771,"MMMM")</f>
        <v>February</v>
      </c>
      <c r="F771" s="9">
        <v>12</v>
      </c>
      <c r="G771" s="3" t="b">
        <v>0</v>
      </c>
      <c r="H771" s="3" t="str">
        <f t="shared" si="39"/>
        <v>Friday</v>
      </c>
      <c r="I771" s="9">
        <v>5</v>
      </c>
      <c r="J771" s="3" t="str">
        <f t="shared" si="38"/>
        <v>Foggy</v>
      </c>
      <c r="K771" s="9">
        <v>0.24</v>
      </c>
      <c r="L771" s="9">
        <v>0.2424</v>
      </c>
      <c r="M771" s="9">
        <v>0.48</v>
      </c>
      <c r="N771" s="9">
        <v>0.16420000000000001</v>
      </c>
      <c r="O771" s="9">
        <v>8</v>
      </c>
      <c r="P771" s="9">
        <v>78</v>
      </c>
      <c r="Q771" s="9">
        <v>86</v>
      </c>
      <c r="V771">
        <v>3</v>
      </c>
      <c r="W771">
        <v>179</v>
      </c>
    </row>
    <row r="772" spans="1:23">
      <c r="A772" s="9">
        <v>771</v>
      </c>
      <c r="B772" s="10">
        <v>40578</v>
      </c>
      <c r="C772" s="9">
        <v>1</v>
      </c>
      <c r="D772" s="9">
        <v>0</v>
      </c>
      <c r="E772" s="3" t="str">
        <f t="shared" si="40"/>
        <v>February</v>
      </c>
      <c r="F772" s="9">
        <v>13</v>
      </c>
      <c r="G772" s="3" t="b">
        <v>0</v>
      </c>
      <c r="H772" s="3" t="str">
        <f t="shared" si="39"/>
        <v>Friday</v>
      </c>
      <c r="I772" s="9">
        <v>5</v>
      </c>
      <c r="J772" s="3" t="str">
        <f t="shared" si="38"/>
        <v>Clear</v>
      </c>
      <c r="K772" s="9">
        <v>0.26</v>
      </c>
      <c r="L772" s="9">
        <v>0.2576</v>
      </c>
      <c r="M772" s="9">
        <v>0.5</v>
      </c>
      <c r="N772" s="9">
        <v>0.22389999999999999</v>
      </c>
      <c r="O772" s="9">
        <v>9</v>
      </c>
      <c r="P772" s="9">
        <v>73</v>
      </c>
      <c r="Q772" s="9">
        <v>82</v>
      </c>
      <c r="V772">
        <v>7</v>
      </c>
      <c r="W772">
        <v>175</v>
      </c>
    </row>
    <row r="773" spans="1:23">
      <c r="A773" s="9">
        <v>772</v>
      </c>
      <c r="B773" s="10">
        <v>40578</v>
      </c>
      <c r="C773" s="9">
        <v>1</v>
      </c>
      <c r="D773" s="9">
        <v>0</v>
      </c>
      <c r="E773" s="3" t="str">
        <f t="shared" si="40"/>
        <v>February</v>
      </c>
      <c r="F773" s="9">
        <v>14</v>
      </c>
      <c r="G773" s="3" t="b">
        <v>0</v>
      </c>
      <c r="H773" s="3" t="str">
        <f t="shared" si="39"/>
        <v>Friday</v>
      </c>
      <c r="I773" s="9">
        <v>5</v>
      </c>
      <c r="J773" s="3" t="str">
        <f t="shared" si="38"/>
        <v>Clear</v>
      </c>
      <c r="K773" s="9">
        <v>0.28000000000000003</v>
      </c>
      <c r="L773" s="9">
        <v>0.2727</v>
      </c>
      <c r="M773" s="9">
        <v>0.45</v>
      </c>
      <c r="N773" s="9">
        <v>0.16420000000000001</v>
      </c>
      <c r="O773" s="9">
        <v>15</v>
      </c>
      <c r="P773" s="9">
        <v>76</v>
      </c>
      <c r="Q773" s="9">
        <v>91</v>
      </c>
      <c r="V773">
        <v>47</v>
      </c>
      <c r="W773">
        <v>135</v>
      </c>
    </row>
    <row r="774" spans="1:23">
      <c r="A774" s="9">
        <v>773</v>
      </c>
      <c r="B774" s="10">
        <v>40578</v>
      </c>
      <c r="C774" s="9">
        <v>1</v>
      </c>
      <c r="D774" s="9">
        <v>0</v>
      </c>
      <c r="E774" s="3" t="str">
        <f t="shared" si="40"/>
        <v>February</v>
      </c>
      <c r="F774" s="9">
        <v>15</v>
      </c>
      <c r="G774" s="3" t="b">
        <v>0</v>
      </c>
      <c r="H774" s="3" t="str">
        <f t="shared" si="39"/>
        <v>Friday</v>
      </c>
      <c r="I774" s="9">
        <v>5</v>
      </c>
      <c r="J774" s="3" t="str">
        <f t="shared" si="38"/>
        <v>Clear</v>
      </c>
      <c r="K774" s="9">
        <v>0.28000000000000003</v>
      </c>
      <c r="L774" s="9">
        <v>0.2727</v>
      </c>
      <c r="M774" s="9">
        <v>0.48</v>
      </c>
      <c r="N774" s="9">
        <v>0.25369999999999998</v>
      </c>
      <c r="O774" s="9">
        <v>9</v>
      </c>
      <c r="P774" s="9">
        <v>81</v>
      </c>
      <c r="Q774" s="9">
        <v>90</v>
      </c>
      <c r="V774">
        <v>52</v>
      </c>
      <c r="W774">
        <v>130</v>
      </c>
    </row>
    <row r="775" spans="1:23">
      <c r="A775" s="9">
        <v>774</v>
      </c>
      <c r="B775" s="10">
        <v>40578</v>
      </c>
      <c r="C775" s="9">
        <v>1</v>
      </c>
      <c r="D775" s="9">
        <v>0</v>
      </c>
      <c r="E775" s="3" t="str">
        <f t="shared" si="40"/>
        <v>February</v>
      </c>
      <c r="F775" s="9">
        <v>16</v>
      </c>
      <c r="G775" s="3" t="b">
        <v>0</v>
      </c>
      <c r="H775" s="3" t="str">
        <f t="shared" si="39"/>
        <v>Friday</v>
      </c>
      <c r="I775" s="9">
        <v>5</v>
      </c>
      <c r="J775" s="3" t="str">
        <f t="shared" ref="J775:J838" si="41">IF($K775&lt;=0.24,"Foggy",IF($K775&gt;0.24,"Clear"))</f>
        <v>Clear</v>
      </c>
      <c r="K775" s="9">
        <v>0.3</v>
      </c>
      <c r="L775" s="9">
        <v>0.28789999999999999</v>
      </c>
      <c r="M775" s="9">
        <v>0.42</v>
      </c>
      <c r="N775" s="9">
        <v>0.22389999999999999</v>
      </c>
      <c r="O775" s="9">
        <v>8</v>
      </c>
      <c r="P775" s="9">
        <v>91</v>
      </c>
      <c r="Q775" s="9">
        <v>99</v>
      </c>
      <c r="U775">
        <v>184</v>
      </c>
      <c r="W775">
        <v>178</v>
      </c>
    </row>
    <row r="776" spans="1:23">
      <c r="A776" s="9">
        <v>775</v>
      </c>
      <c r="B776" s="10">
        <v>40578</v>
      </c>
      <c r="C776" s="9">
        <v>1</v>
      </c>
      <c r="D776" s="9">
        <v>0</v>
      </c>
      <c r="E776" s="3" t="str">
        <f t="shared" si="40"/>
        <v>February</v>
      </c>
      <c r="F776" s="9">
        <v>17</v>
      </c>
      <c r="G776" s="3" t="b">
        <v>0</v>
      </c>
      <c r="H776" s="3" t="str">
        <f t="shared" si="39"/>
        <v>Friday</v>
      </c>
      <c r="I776" s="9">
        <v>5</v>
      </c>
      <c r="J776" s="3" t="str">
        <f t="shared" si="41"/>
        <v>Clear</v>
      </c>
      <c r="K776" s="9">
        <v>0.26</v>
      </c>
      <c r="L776" s="9">
        <v>0.2727</v>
      </c>
      <c r="M776" s="9">
        <v>0.56000000000000005</v>
      </c>
      <c r="N776" s="9">
        <v>0.1343</v>
      </c>
      <c r="O776" s="9">
        <v>10</v>
      </c>
      <c r="P776" s="9">
        <v>195</v>
      </c>
      <c r="Q776" s="9">
        <v>205</v>
      </c>
      <c r="V776">
        <v>6</v>
      </c>
      <c r="W776">
        <v>178</v>
      </c>
    </row>
    <row r="777" spans="1:23">
      <c r="A777" s="9">
        <v>776</v>
      </c>
      <c r="B777" s="10">
        <v>40578</v>
      </c>
      <c r="C777" s="9">
        <v>1</v>
      </c>
      <c r="D777" s="9">
        <v>0</v>
      </c>
      <c r="E777" s="3" t="str">
        <f t="shared" si="40"/>
        <v>February</v>
      </c>
      <c r="F777" s="9">
        <v>18</v>
      </c>
      <c r="G777" s="3" t="b">
        <v>0</v>
      </c>
      <c r="H777" s="3" t="str">
        <f t="shared" ref="H777:H840" si="42">TEXT(B777,"dddd")</f>
        <v>Friday</v>
      </c>
      <c r="I777" s="9">
        <v>5</v>
      </c>
      <c r="J777" s="3" t="str">
        <f t="shared" si="41"/>
        <v>Foggy</v>
      </c>
      <c r="K777" s="9">
        <v>0.24</v>
      </c>
      <c r="L777" s="9">
        <v>0.2576</v>
      </c>
      <c r="M777" s="9">
        <v>0.6</v>
      </c>
      <c r="N777" s="9">
        <v>0.1045</v>
      </c>
      <c r="O777" s="9">
        <v>3</v>
      </c>
      <c r="P777" s="9">
        <v>152</v>
      </c>
      <c r="Q777" s="9">
        <v>155</v>
      </c>
      <c r="U777">
        <v>185</v>
      </c>
      <c r="W777">
        <v>366</v>
      </c>
    </row>
    <row r="778" spans="1:23">
      <c r="A778" s="9">
        <v>777</v>
      </c>
      <c r="B778" s="10">
        <v>40578</v>
      </c>
      <c r="C778" s="9">
        <v>1</v>
      </c>
      <c r="D778" s="9">
        <v>0</v>
      </c>
      <c r="E778" s="3" t="str">
        <f t="shared" si="40"/>
        <v>February</v>
      </c>
      <c r="F778" s="9">
        <v>19</v>
      </c>
      <c r="G778" s="3" t="b">
        <v>0</v>
      </c>
      <c r="H778" s="3" t="str">
        <f t="shared" si="42"/>
        <v>Friday</v>
      </c>
      <c r="I778" s="9">
        <v>5</v>
      </c>
      <c r="J778" s="3" t="str">
        <f t="shared" si="41"/>
        <v>Foggy</v>
      </c>
      <c r="K778" s="9">
        <v>0.24</v>
      </c>
      <c r="L778" s="9">
        <v>0.2424</v>
      </c>
      <c r="M778" s="9">
        <v>0.65</v>
      </c>
      <c r="N778" s="9">
        <v>0.1343</v>
      </c>
      <c r="O778" s="9">
        <v>1</v>
      </c>
      <c r="P778" s="9">
        <v>102</v>
      </c>
      <c r="Q778" s="9">
        <v>103</v>
      </c>
      <c r="V778">
        <v>1</v>
      </c>
      <c r="W778">
        <v>184</v>
      </c>
    </row>
    <row r="779" spans="1:23">
      <c r="A779" s="9">
        <v>778</v>
      </c>
      <c r="B779" s="10">
        <v>40578</v>
      </c>
      <c r="C779" s="9">
        <v>1</v>
      </c>
      <c r="D779" s="9">
        <v>0</v>
      </c>
      <c r="E779" s="3" t="str">
        <f t="shared" si="40"/>
        <v>February</v>
      </c>
      <c r="F779" s="9">
        <v>20</v>
      </c>
      <c r="G779" s="3" t="b">
        <v>0</v>
      </c>
      <c r="H779" s="3" t="str">
        <f t="shared" si="42"/>
        <v>Friday</v>
      </c>
      <c r="I779" s="9">
        <v>5</v>
      </c>
      <c r="J779" s="3" t="str">
        <f t="shared" si="41"/>
        <v>Foggy</v>
      </c>
      <c r="K779" s="9">
        <v>0.24</v>
      </c>
      <c r="L779" s="9">
        <v>0.2424</v>
      </c>
      <c r="M779" s="9">
        <v>0.65</v>
      </c>
      <c r="N779" s="9">
        <v>0.16420000000000001</v>
      </c>
      <c r="O779" s="9">
        <v>2</v>
      </c>
      <c r="P779" s="9">
        <v>69</v>
      </c>
      <c r="Q779" s="9">
        <v>71</v>
      </c>
      <c r="V779">
        <v>3</v>
      </c>
      <c r="W779">
        <v>182</v>
      </c>
    </row>
    <row r="780" spans="1:23">
      <c r="A780" s="9">
        <v>779</v>
      </c>
      <c r="B780" s="10">
        <v>40578</v>
      </c>
      <c r="C780" s="9">
        <v>1</v>
      </c>
      <c r="D780" s="9">
        <v>0</v>
      </c>
      <c r="E780" s="3" t="str">
        <f t="shared" si="40"/>
        <v>February</v>
      </c>
      <c r="F780" s="9">
        <v>21</v>
      </c>
      <c r="G780" s="3" t="b">
        <v>0</v>
      </c>
      <c r="H780" s="3" t="str">
        <f t="shared" si="42"/>
        <v>Friday</v>
      </c>
      <c r="I780" s="9">
        <v>5</v>
      </c>
      <c r="J780" s="3" t="str">
        <f t="shared" si="41"/>
        <v>Foggy</v>
      </c>
      <c r="K780" s="9">
        <v>0.24</v>
      </c>
      <c r="L780" s="9">
        <v>0.2424</v>
      </c>
      <c r="M780" s="9">
        <v>0.7</v>
      </c>
      <c r="N780" s="9">
        <v>0.16420000000000001</v>
      </c>
      <c r="O780" s="9">
        <v>2</v>
      </c>
      <c r="P780" s="9">
        <v>41</v>
      </c>
      <c r="Q780" s="9">
        <v>43</v>
      </c>
      <c r="U780">
        <v>187</v>
      </c>
      <c r="W780">
        <v>178</v>
      </c>
    </row>
    <row r="781" spans="1:23">
      <c r="A781" s="9">
        <v>780</v>
      </c>
      <c r="B781" s="10">
        <v>40578</v>
      </c>
      <c r="C781" s="9">
        <v>1</v>
      </c>
      <c r="D781" s="9">
        <v>0</v>
      </c>
      <c r="E781" s="3" t="str">
        <f t="shared" si="40"/>
        <v>February</v>
      </c>
      <c r="F781" s="9">
        <v>22</v>
      </c>
      <c r="G781" s="3" t="b">
        <v>0</v>
      </c>
      <c r="H781" s="3" t="str">
        <f t="shared" si="42"/>
        <v>Friday</v>
      </c>
      <c r="I781" s="9">
        <v>5</v>
      </c>
      <c r="J781" s="3" t="str">
        <f t="shared" si="41"/>
        <v>Foggy</v>
      </c>
      <c r="K781" s="9">
        <v>0.24</v>
      </c>
      <c r="L781" s="9">
        <v>0.2424</v>
      </c>
      <c r="M781" s="9">
        <v>0.65</v>
      </c>
      <c r="N781" s="9">
        <v>0.16420000000000001</v>
      </c>
      <c r="O781" s="9">
        <v>1</v>
      </c>
      <c r="P781" s="9">
        <v>45</v>
      </c>
      <c r="Q781" s="9">
        <v>46</v>
      </c>
      <c r="V781">
        <v>9</v>
      </c>
      <c r="W781">
        <v>178</v>
      </c>
    </row>
    <row r="782" spans="1:23">
      <c r="A782" s="9">
        <v>781</v>
      </c>
      <c r="B782" s="10">
        <v>40578</v>
      </c>
      <c r="C782" s="9">
        <v>1</v>
      </c>
      <c r="D782" s="9">
        <v>0</v>
      </c>
      <c r="E782" s="3" t="str">
        <f t="shared" si="40"/>
        <v>February</v>
      </c>
      <c r="F782" s="9">
        <v>23</v>
      </c>
      <c r="G782" s="3" t="b">
        <v>0</v>
      </c>
      <c r="H782" s="3" t="str">
        <f t="shared" si="42"/>
        <v>Friday</v>
      </c>
      <c r="I782" s="9">
        <v>5</v>
      </c>
      <c r="J782" s="3" t="str">
        <f t="shared" si="41"/>
        <v>Foggy</v>
      </c>
      <c r="K782" s="9">
        <v>0.24</v>
      </c>
      <c r="L782" s="9">
        <v>0.2424</v>
      </c>
      <c r="M782" s="9">
        <v>0.7</v>
      </c>
      <c r="N782" s="9">
        <v>0.1343</v>
      </c>
      <c r="O782" s="9">
        <v>1</v>
      </c>
      <c r="P782" s="9">
        <v>30</v>
      </c>
      <c r="Q782" s="9">
        <v>31</v>
      </c>
      <c r="U782">
        <v>188</v>
      </c>
      <c r="W782">
        <v>368</v>
      </c>
    </row>
    <row r="783" spans="1:23">
      <c r="A783" s="9">
        <v>782</v>
      </c>
      <c r="B783" s="10">
        <v>40579</v>
      </c>
      <c r="C783" s="9">
        <v>1</v>
      </c>
      <c r="D783" s="9">
        <v>0</v>
      </c>
      <c r="E783" s="3" t="str">
        <f t="shared" si="40"/>
        <v>February</v>
      </c>
      <c r="F783" s="9">
        <v>0</v>
      </c>
      <c r="G783" s="3" t="b">
        <v>0</v>
      </c>
      <c r="H783" s="3" t="str">
        <f t="shared" si="42"/>
        <v>Saturday</v>
      </c>
      <c r="I783" s="9">
        <v>6</v>
      </c>
      <c r="J783" s="3" t="str">
        <f t="shared" si="41"/>
        <v>Foggy</v>
      </c>
      <c r="K783" s="9">
        <v>0.24</v>
      </c>
      <c r="L783" s="9">
        <v>0.2424</v>
      </c>
      <c r="M783" s="9">
        <v>0.7</v>
      </c>
      <c r="N783" s="9">
        <v>0.16420000000000001</v>
      </c>
      <c r="O783" s="9">
        <v>3</v>
      </c>
      <c r="P783" s="9">
        <v>36</v>
      </c>
      <c r="Q783" s="9">
        <v>39</v>
      </c>
      <c r="V783">
        <v>4</v>
      </c>
      <c r="W783">
        <v>368</v>
      </c>
    </row>
    <row r="784" spans="1:23">
      <c r="A784" s="9">
        <v>783</v>
      </c>
      <c r="B784" s="10">
        <v>40579</v>
      </c>
      <c r="C784" s="9">
        <v>1</v>
      </c>
      <c r="D784" s="9">
        <v>0</v>
      </c>
      <c r="E784" s="3" t="str">
        <f t="shared" si="40"/>
        <v>February</v>
      </c>
      <c r="F784" s="9">
        <v>1</v>
      </c>
      <c r="G784" s="3" t="b">
        <v>0</v>
      </c>
      <c r="H784" s="3" t="str">
        <f t="shared" si="42"/>
        <v>Saturday</v>
      </c>
      <c r="I784" s="9">
        <v>6</v>
      </c>
      <c r="J784" s="3" t="str">
        <f t="shared" si="41"/>
        <v>Foggy</v>
      </c>
      <c r="K784" s="9">
        <v>0.24</v>
      </c>
      <c r="L784" s="9">
        <v>0.2424</v>
      </c>
      <c r="M784" s="9">
        <v>0.65</v>
      </c>
      <c r="N784" s="9">
        <v>0.16420000000000001</v>
      </c>
      <c r="O784" s="9">
        <v>1</v>
      </c>
      <c r="P784" s="9">
        <v>17</v>
      </c>
      <c r="Q784" s="9">
        <v>18</v>
      </c>
      <c r="U784">
        <v>190</v>
      </c>
      <c r="W784">
        <v>369</v>
      </c>
    </row>
    <row r="785" spans="1:23">
      <c r="A785" s="9">
        <v>784</v>
      </c>
      <c r="B785" s="10">
        <v>40579</v>
      </c>
      <c r="C785" s="9">
        <v>1</v>
      </c>
      <c r="D785" s="9">
        <v>0</v>
      </c>
      <c r="E785" s="3" t="str">
        <f t="shared" si="40"/>
        <v>February</v>
      </c>
      <c r="F785" s="9">
        <v>2</v>
      </c>
      <c r="G785" s="3" t="b">
        <v>0</v>
      </c>
      <c r="H785" s="3" t="str">
        <f t="shared" si="42"/>
        <v>Saturday</v>
      </c>
      <c r="I785" s="9">
        <v>6</v>
      </c>
      <c r="J785" s="3" t="str">
        <f t="shared" si="41"/>
        <v>Foggy</v>
      </c>
      <c r="K785" s="9">
        <v>0.24</v>
      </c>
      <c r="L785" s="9">
        <v>0.2424</v>
      </c>
      <c r="M785" s="9">
        <v>0.75</v>
      </c>
      <c r="N785" s="9">
        <v>0.16420000000000001</v>
      </c>
      <c r="O785" s="9">
        <v>5</v>
      </c>
      <c r="P785" s="9">
        <v>12</v>
      </c>
      <c r="Q785" s="9">
        <v>17</v>
      </c>
      <c r="V785">
        <v>4</v>
      </c>
      <c r="W785">
        <v>186</v>
      </c>
    </row>
    <row r="786" spans="1:23">
      <c r="A786" s="9">
        <v>785</v>
      </c>
      <c r="B786" s="10">
        <v>40579</v>
      </c>
      <c r="C786" s="9">
        <v>1</v>
      </c>
      <c r="D786" s="9">
        <v>0</v>
      </c>
      <c r="E786" s="3" t="str">
        <f t="shared" si="40"/>
        <v>February</v>
      </c>
      <c r="F786" s="9">
        <v>3</v>
      </c>
      <c r="G786" s="3" t="b">
        <v>0</v>
      </c>
      <c r="H786" s="3" t="str">
        <f t="shared" si="42"/>
        <v>Saturday</v>
      </c>
      <c r="I786" s="9">
        <v>6</v>
      </c>
      <c r="J786" s="3" t="str">
        <f t="shared" si="41"/>
        <v>Foggy</v>
      </c>
      <c r="K786" s="9">
        <v>0.24</v>
      </c>
      <c r="L786" s="9">
        <v>0.2424</v>
      </c>
      <c r="M786" s="9">
        <v>0.75</v>
      </c>
      <c r="N786" s="9">
        <v>0.16420000000000001</v>
      </c>
      <c r="O786" s="9">
        <v>1</v>
      </c>
      <c r="P786" s="9">
        <v>10</v>
      </c>
      <c r="Q786" s="9">
        <v>11</v>
      </c>
      <c r="V786">
        <v>7</v>
      </c>
      <c r="W786">
        <v>183</v>
      </c>
    </row>
    <row r="787" spans="1:23">
      <c r="A787" s="9">
        <v>786</v>
      </c>
      <c r="B787" s="10">
        <v>40579</v>
      </c>
      <c r="C787" s="9">
        <v>1</v>
      </c>
      <c r="D787" s="9">
        <v>0</v>
      </c>
      <c r="E787" s="3" t="str">
        <f t="shared" si="40"/>
        <v>February</v>
      </c>
      <c r="F787" s="9">
        <v>4</v>
      </c>
      <c r="G787" s="3" t="b">
        <v>0</v>
      </c>
      <c r="H787" s="3" t="str">
        <f t="shared" si="42"/>
        <v>Saturday</v>
      </c>
      <c r="I787" s="9">
        <v>6</v>
      </c>
      <c r="J787" s="3" t="str">
        <f t="shared" si="41"/>
        <v>Foggy</v>
      </c>
      <c r="K787" s="9">
        <v>0.22</v>
      </c>
      <c r="L787" s="9">
        <v>0.2273</v>
      </c>
      <c r="M787" s="9">
        <v>0.93</v>
      </c>
      <c r="N787" s="9">
        <v>0.1343</v>
      </c>
      <c r="O787" s="9">
        <v>0</v>
      </c>
      <c r="P787" s="9">
        <v>8</v>
      </c>
      <c r="Q787" s="9">
        <v>8</v>
      </c>
      <c r="U787">
        <v>195</v>
      </c>
      <c r="W787">
        <v>192</v>
      </c>
    </row>
    <row r="788" spans="1:23">
      <c r="A788" s="9">
        <v>787</v>
      </c>
      <c r="B788" s="10">
        <v>40579</v>
      </c>
      <c r="C788" s="9">
        <v>1</v>
      </c>
      <c r="D788" s="9">
        <v>0</v>
      </c>
      <c r="E788" s="3" t="str">
        <f t="shared" si="40"/>
        <v>February</v>
      </c>
      <c r="F788" s="9">
        <v>5</v>
      </c>
      <c r="G788" s="3" t="b">
        <v>0</v>
      </c>
      <c r="H788" s="3" t="str">
        <f t="shared" si="42"/>
        <v>Saturday</v>
      </c>
      <c r="I788" s="9">
        <v>6</v>
      </c>
      <c r="J788" s="3" t="str">
        <f t="shared" si="41"/>
        <v>Foggy</v>
      </c>
      <c r="K788" s="9">
        <v>0.2</v>
      </c>
      <c r="L788" s="9">
        <v>0.2273</v>
      </c>
      <c r="M788" s="9">
        <v>1</v>
      </c>
      <c r="N788" s="9">
        <v>8.9599999999999999E-2</v>
      </c>
      <c r="O788" s="9">
        <v>0</v>
      </c>
      <c r="P788" s="9">
        <v>9</v>
      </c>
      <c r="Q788" s="9">
        <v>9</v>
      </c>
      <c r="V788">
        <v>3</v>
      </c>
      <c r="W788">
        <v>192</v>
      </c>
    </row>
    <row r="789" spans="1:23">
      <c r="A789" s="9">
        <v>788</v>
      </c>
      <c r="B789" s="10">
        <v>40579</v>
      </c>
      <c r="C789" s="9">
        <v>1</v>
      </c>
      <c r="D789" s="9">
        <v>0</v>
      </c>
      <c r="E789" s="3" t="str">
        <f t="shared" si="40"/>
        <v>February</v>
      </c>
      <c r="F789" s="9">
        <v>6</v>
      </c>
      <c r="G789" s="3" t="b">
        <v>0</v>
      </c>
      <c r="H789" s="3" t="str">
        <f t="shared" si="42"/>
        <v>Saturday</v>
      </c>
      <c r="I789" s="9">
        <v>6</v>
      </c>
      <c r="J789" s="3" t="str">
        <f t="shared" si="41"/>
        <v>Foggy</v>
      </c>
      <c r="K789" s="9">
        <v>0.2</v>
      </c>
      <c r="L789" s="9">
        <v>0.2576</v>
      </c>
      <c r="M789" s="9">
        <v>1</v>
      </c>
      <c r="N789" s="9">
        <v>0</v>
      </c>
      <c r="O789" s="9">
        <v>0</v>
      </c>
      <c r="P789" s="9">
        <v>4</v>
      </c>
      <c r="Q789" s="9">
        <v>4</v>
      </c>
      <c r="U789">
        <v>197</v>
      </c>
      <c r="W789">
        <v>386</v>
      </c>
    </row>
    <row r="790" spans="1:23">
      <c r="A790" s="9">
        <v>789</v>
      </c>
      <c r="B790" s="10">
        <v>40579</v>
      </c>
      <c r="C790" s="9">
        <v>1</v>
      </c>
      <c r="D790" s="9">
        <v>0</v>
      </c>
      <c r="E790" s="3" t="str">
        <f t="shared" si="40"/>
        <v>February</v>
      </c>
      <c r="F790" s="9">
        <v>7</v>
      </c>
      <c r="G790" s="3" t="b">
        <v>0</v>
      </c>
      <c r="H790" s="3" t="str">
        <f t="shared" si="42"/>
        <v>Saturday</v>
      </c>
      <c r="I790" s="9">
        <v>6</v>
      </c>
      <c r="J790" s="3" t="str">
        <f t="shared" si="41"/>
        <v>Foggy</v>
      </c>
      <c r="K790" s="9">
        <v>0.22</v>
      </c>
      <c r="L790" s="9">
        <v>0.2576</v>
      </c>
      <c r="M790" s="9">
        <v>0.93</v>
      </c>
      <c r="N790" s="9">
        <v>8.9599999999999999E-2</v>
      </c>
      <c r="O790" s="9">
        <v>0</v>
      </c>
      <c r="P790" s="9">
        <v>4</v>
      </c>
      <c r="Q790" s="9">
        <v>4</v>
      </c>
      <c r="V790">
        <v>1</v>
      </c>
      <c r="W790">
        <v>196</v>
      </c>
    </row>
    <row r="791" spans="1:23">
      <c r="A791" s="9">
        <v>790</v>
      </c>
      <c r="B791" s="10">
        <v>40579</v>
      </c>
      <c r="C791" s="9">
        <v>1</v>
      </c>
      <c r="D791" s="9">
        <v>0</v>
      </c>
      <c r="E791" s="3" t="str">
        <f t="shared" si="40"/>
        <v>February</v>
      </c>
      <c r="F791" s="9">
        <v>8</v>
      </c>
      <c r="G791" s="3" t="b">
        <v>0</v>
      </c>
      <c r="H791" s="3" t="str">
        <f t="shared" si="42"/>
        <v>Saturday</v>
      </c>
      <c r="I791" s="9">
        <v>6</v>
      </c>
      <c r="J791" s="3" t="str">
        <f t="shared" si="41"/>
        <v>Foggy</v>
      </c>
      <c r="K791" s="9">
        <v>0.2</v>
      </c>
      <c r="L791" s="9">
        <v>0.2273</v>
      </c>
      <c r="M791" s="9">
        <v>1</v>
      </c>
      <c r="N791" s="9">
        <v>8.9599999999999999E-2</v>
      </c>
      <c r="O791" s="9">
        <v>0</v>
      </c>
      <c r="P791" s="9">
        <v>10</v>
      </c>
      <c r="Q791" s="9">
        <v>10</v>
      </c>
      <c r="V791">
        <v>7</v>
      </c>
      <c r="W791">
        <v>190</v>
      </c>
    </row>
    <row r="792" spans="1:23">
      <c r="A792" s="9">
        <v>791</v>
      </c>
      <c r="B792" s="10">
        <v>40579</v>
      </c>
      <c r="C792" s="9">
        <v>1</v>
      </c>
      <c r="D792" s="9">
        <v>0</v>
      </c>
      <c r="E792" s="3" t="str">
        <f t="shared" si="40"/>
        <v>February</v>
      </c>
      <c r="F792" s="9">
        <v>9</v>
      </c>
      <c r="G792" s="3" t="b">
        <v>0</v>
      </c>
      <c r="H792" s="3" t="str">
        <f t="shared" si="42"/>
        <v>Saturday</v>
      </c>
      <c r="I792" s="9">
        <v>6</v>
      </c>
      <c r="J792" s="3" t="str">
        <f t="shared" si="41"/>
        <v>Foggy</v>
      </c>
      <c r="K792" s="9">
        <v>0.2</v>
      </c>
      <c r="L792" s="9">
        <v>0.2273</v>
      </c>
      <c r="M792" s="9">
        <v>1</v>
      </c>
      <c r="N792" s="9">
        <v>8.9599999999999999E-2</v>
      </c>
      <c r="O792" s="9">
        <v>3</v>
      </c>
      <c r="P792" s="9">
        <v>17</v>
      </c>
      <c r="Q792" s="9">
        <v>20</v>
      </c>
      <c r="U792">
        <v>199</v>
      </c>
      <c r="W792">
        <v>198</v>
      </c>
    </row>
    <row r="793" spans="1:23">
      <c r="A793" s="9">
        <v>792</v>
      </c>
      <c r="B793" s="10">
        <v>40579</v>
      </c>
      <c r="C793" s="9">
        <v>1</v>
      </c>
      <c r="D793" s="9">
        <v>0</v>
      </c>
      <c r="E793" s="3" t="str">
        <f t="shared" si="40"/>
        <v>February</v>
      </c>
      <c r="F793" s="9">
        <v>10</v>
      </c>
      <c r="G793" s="3" t="b">
        <v>0</v>
      </c>
      <c r="H793" s="3" t="str">
        <f t="shared" si="42"/>
        <v>Saturday</v>
      </c>
      <c r="I793" s="9">
        <v>6</v>
      </c>
      <c r="J793" s="3" t="str">
        <f t="shared" si="41"/>
        <v>Foggy</v>
      </c>
      <c r="K793" s="9">
        <v>0.2</v>
      </c>
      <c r="L793" s="9">
        <v>0.21210000000000001</v>
      </c>
      <c r="M793" s="9">
        <v>1</v>
      </c>
      <c r="N793" s="9">
        <v>0.1343</v>
      </c>
      <c r="O793" s="9">
        <v>3</v>
      </c>
      <c r="P793" s="9">
        <v>31</v>
      </c>
      <c r="Q793" s="9">
        <v>34</v>
      </c>
      <c r="V793">
        <v>1</v>
      </c>
      <c r="W793">
        <v>198</v>
      </c>
    </row>
    <row r="794" spans="1:23">
      <c r="A794" s="9">
        <v>793</v>
      </c>
      <c r="B794" s="10">
        <v>40579</v>
      </c>
      <c r="C794" s="9">
        <v>1</v>
      </c>
      <c r="D794" s="9">
        <v>0</v>
      </c>
      <c r="E794" s="3" t="str">
        <f t="shared" si="40"/>
        <v>February</v>
      </c>
      <c r="F794" s="9">
        <v>11</v>
      </c>
      <c r="G794" s="3" t="b">
        <v>0</v>
      </c>
      <c r="H794" s="3" t="str">
        <f t="shared" si="42"/>
        <v>Saturday</v>
      </c>
      <c r="I794" s="9">
        <v>6</v>
      </c>
      <c r="J794" s="3" t="str">
        <f t="shared" si="41"/>
        <v>Foggy</v>
      </c>
      <c r="K794" s="9">
        <v>0.22</v>
      </c>
      <c r="L794" s="9">
        <v>0.2273</v>
      </c>
      <c r="M794" s="9">
        <v>1</v>
      </c>
      <c r="N794" s="9">
        <v>0.1343</v>
      </c>
      <c r="O794" s="9">
        <v>1</v>
      </c>
      <c r="P794" s="9">
        <v>46</v>
      </c>
      <c r="Q794" s="9">
        <v>47</v>
      </c>
      <c r="U794">
        <v>202</v>
      </c>
      <c r="W794">
        <v>197</v>
      </c>
    </row>
    <row r="795" spans="1:23">
      <c r="A795" s="9">
        <v>794</v>
      </c>
      <c r="B795" s="10">
        <v>40579</v>
      </c>
      <c r="C795" s="9">
        <v>1</v>
      </c>
      <c r="D795" s="9">
        <v>0</v>
      </c>
      <c r="E795" s="3" t="str">
        <f t="shared" si="40"/>
        <v>February</v>
      </c>
      <c r="F795" s="9">
        <v>12</v>
      </c>
      <c r="G795" s="3" t="b">
        <v>0</v>
      </c>
      <c r="H795" s="3" t="str">
        <f t="shared" si="42"/>
        <v>Saturday</v>
      </c>
      <c r="I795" s="9">
        <v>6</v>
      </c>
      <c r="J795" s="3" t="str">
        <f t="shared" si="41"/>
        <v>Foggy</v>
      </c>
      <c r="K795" s="9">
        <v>0.22</v>
      </c>
      <c r="L795" s="9">
        <v>0.2273</v>
      </c>
      <c r="M795" s="9">
        <v>1</v>
      </c>
      <c r="N795" s="9">
        <v>0.16420000000000001</v>
      </c>
      <c r="O795" s="9">
        <v>10</v>
      </c>
      <c r="P795" s="9">
        <v>42</v>
      </c>
      <c r="Q795" s="9">
        <v>52</v>
      </c>
      <c r="V795">
        <v>5</v>
      </c>
      <c r="W795">
        <v>197</v>
      </c>
    </row>
    <row r="796" spans="1:23">
      <c r="A796" s="9">
        <v>795</v>
      </c>
      <c r="B796" s="10">
        <v>40579</v>
      </c>
      <c r="C796" s="9">
        <v>1</v>
      </c>
      <c r="D796" s="9">
        <v>0</v>
      </c>
      <c r="E796" s="3" t="str">
        <f t="shared" si="40"/>
        <v>February</v>
      </c>
      <c r="F796" s="9">
        <v>13</v>
      </c>
      <c r="G796" s="3" t="b">
        <v>0</v>
      </c>
      <c r="H796" s="3" t="str">
        <f t="shared" si="42"/>
        <v>Saturday</v>
      </c>
      <c r="I796" s="9">
        <v>6</v>
      </c>
      <c r="J796" s="3" t="str">
        <f t="shared" si="41"/>
        <v>Foggy</v>
      </c>
      <c r="K796" s="9">
        <v>0.22</v>
      </c>
      <c r="L796" s="9">
        <v>0.2273</v>
      </c>
      <c r="M796" s="9">
        <v>1</v>
      </c>
      <c r="N796" s="9">
        <v>0.16420000000000001</v>
      </c>
      <c r="O796" s="9">
        <v>10</v>
      </c>
      <c r="P796" s="9">
        <v>62</v>
      </c>
      <c r="Q796" s="9">
        <v>72</v>
      </c>
      <c r="U796">
        <v>205</v>
      </c>
      <c r="W796">
        <v>195</v>
      </c>
    </row>
    <row r="797" spans="1:23">
      <c r="A797" s="9">
        <v>796</v>
      </c>
      <c r="B797" s="10">
        <v>40579</v>
      </c>
      <c r="C797" s="9">
        <v>1</v>
      </c>
      <c r="D797" s="9">
        <v>0</v>
      </c>
      <c r="E797" s="3" t="str">
        <f t="shared" si="40"/>
        <v>February</v>
      </c>
      <c r="F797" s="9">
        <v>14</v>
      </c>
      <c r="G797" s="3" t="b">
        <v>0</v>
      </c>
      <c r="H797" s="3" t="str">
        <f t="shared" si="42"/>
        <v>Saturday</v>
      </c>
      <c r="I797" s="9">
        <v>6</v>
      </c>
      <c r="J797" s="3" t="str">
        <f t="shared" si="41"/>
        <v>Foggy</v>
      </c>
      <c r="K797" s="9">
        <v>0.22</v>
      </c>
      <c r="L797" s="9">
        <v>0.2727</v>
      </c>
      <c r="M797" s="9">
        <v>1</v>
      </c>
      <c r="N797" s="9">
        <v>0</v>
      </c>
      <c r="O797" s="9">
        <v>5</v>
      </c>
      <c r="P797" s="9">
        <v>50</v>
      </c>
      <c r="Q797" s="9">
        <v>55</v>
      </c>
      <c r="V797">
        <v>10</v>
      </c>
      <c r="W797">
        <v>195</v>
      </c>
    </row>
    <row r="798" spans="1:23">
      <c r="A798" s="9">
        <v>797</v>
      </c>
      <c r="B798" s="10">
        <v>40579</v>
      </c>
      <c r="C798" s="9">
        <v>1</v>
      </c>
      <c r="D798" s="9">
        <v>0</v>
      </c>
      <c r="E798" s="3" t="str">
        <f t="shared" si="40"/>
        <v>February</v>
      </c>
      <c r="F798" s="9">
        <v>15</v>
      </c>
      <c r="G798" s="3" t="b">
        <v>0</v>
      </c>
      <c r="H798" s="3" t="str">
        <f t="shared" si="42"/>
        <v>Saturday</v>
      </c>
      <c r="I798" s="9">
        <v>6</v>
      </c>
      <c r="J798" s="3" t="str">
        <f t="shared" si="41"/>
        <v>Foggy</v>
      </c>
      <c r="K798" s="9">
        <v>0.22</v>
      </c>
      <c r="L798" s="9">
        <v>0.2727</v>
      </c>
      <c r="M798" s="9">
        <v>1</v>
      </c>
      <c r="N798" s="9">
        <v>0</v>
      </c>
      <c r="O798" s="9">
        <v>11</v>
      </c>
      <c r="P798" s="9">
        <v>49</v>
      </c>
      <c r="Q798" s="9">
        <v>60</v>
      </c>
      <c r="U798">
        <v>210</v>
      </c>
      <c r="W798">
        <v>190</v>
      </c>
    </row>
    <row r="799" spans="1:23">
      <c r="A799" s="9">
        <v>798</v>
      </c>
      <c r="B799" s="10">
        <v>40579</v>
      </c>
      <c r="C799" s="9">
        <v>1</v>
      </c>
      <c r="D799" s="9">
        <v>0</v>
      </c>
      <c r="E799" s="3" t="str">
        <f t="shared" si="40"/>
        <v>February</v>
      </c>
      <c r="F799" s="9">
        <v>16</v>
      </c>
      <c r="G799" s="3" t="b">
        <v>0</v>
      </c>
      <c r="H799" s="3" t="str">
        <f t="shared" si="42"/>
        <v>Saturday</v>
      </c>
      <c r="I799" s="9">
        <v>6</v>
      </c>
      <c r="J799" s="3" t="str">
        <f t="shared" si="41"/>
        <v>Foggy</v>
      </c>
      <c r="K799" s="9">
        <v>0.22</v>
      </c>
      <c r="L799" s="9">
        <v>0.2273</v>
      </c>
      <c r="M799" s="9">
        <v>1</v>
      </c>
      <c r="N799" s="9">
        <v>0.1343</v>
      </c>
      <c r="O799" s="9">
        <v>8</v>
      </c>
      <c r="P799" s="9">
        <v>63</v>
      </c>
      <c r="Q799" s="9">
        <v>71</v>
      </c>
      <c r="V799">
        <v>20</v>
      </c>
      <c r="W799">
        <v>190</v>
      </c>
    </row>
    <row r="800" spans="1:23">
      <c r="A800" s="9">
        <v>799</v>
      </c>
      <c r="B800" s="10">
        <v>40579</v>
      </c>
      <c r="C800" s="9">
        <v>1</v>
      </c>
      <c r="D800" s="9">
        <v>0</v>
      </c>
      <c r="E800" s="3" t="str">
        <f t="shared" si="40"/>
        <v>February</v>
      </c>
      <c r="F800" s="9">
        <v>17</v>
      </c>
      <c r="G800" s="3" t="b">
        <v>0</v>
      </c>
      <c r="H800" s="3" t="str">
        <f t="shared" si="42"/>
        <v>Saturday</v>
      </c>
      <c r="I800" s="9">
        <v>6</v>
      </c>
      <c r="J800" s="3" t="str">
        <f t="shared" si="41"/>
        <v>Foggy</v>
      </c>
      <c r="K800" s="9">
        <v>0.24</v>
      </c>
      <c r="L800" s="9">
        <v>0.21210000000000001</v>
      </c>
      <c r="M800" s="9">
        <v>1</v>
      </c>
      <c r="N800" s="9">
        <v>0.28360000000000002</v>
      </c>
      <c r="O800" s="9">
        <v>14</v>
      </c>
      <c r="P800" s="9">
        <v>64</v>
      </c>
      <c r="Q800" s="9">
        <v>78</v>
      </c>
      <c r="U800">
        <v>211</v>
      </c>
      <c r="W800">
        <v>193</v>
      </c>
    </row>
    <row r="801" spans="1:23">
      <c r="A801" s="9">
        <v>800</v>
      </c>
      <c r="B801" s="10">
        <v>40579</v>
      </c>
      <c r="C801" s="9">
        <v>1</v>
      </c>
      <c r="D801" s="9">
        <v>0</v>
      </c>
      <c r="E801" s="3" t="str">
        <f t="shared" si="40"/>
        <v>February</v>
      </c>
      <c r="F801" s="9">
        <v>18</v>
      </c>
      <c r="G801" s="3" t="b">
        <v>0</v>
      </c>
      <c r="H801" s="3" t="str">
        <f t="shared" si="42"/>
        <v>Saturday</v>
      </c>
      <c r="I801" s="9">
        <v>6</v>
      </c>
      <c r="J801" s="3" t="str">
        <f t="shared" si="41"/>
        <v>Clear</v>
      </c>
      <c r="K801" s="9">
        <v>0.28000000000000003</v>
      </c>
      <c r="L801" s="9">
        <v>0.2424</v>
      </c>
      <c r="M801" s="9">
        <v>0.93</v>
      </c>
      <c r="N801" s="9">
        <v>0.44779999999999998</v>
      </c>
      <c r="O801" s="9">
        <v>2</v>
      </c>
      <c r="P801" s="9">
        <v>81</v>
      </c>
      <c r="Q801" s="9">
        <v>83</v>
      </c>
      <c r="V801">
        <v>18</v>
      </c>
      <c r="W801">
        <v>193</v>
      </c>
    </row>
    <row r="802" spans="1:23">
      <c r="A802" s="9">
        <v>801</v>
      </c>
      <c r="B802" s="10">
        <v>40579</v>
      </c>
      <c r="C802" s="9">
        <v>1</v>
      </c>
      <c r="D802" s="9">
        <v>0</v>
      </c>
      <c r="E802" s="3" t="str">
        <f t="shared" si="40"/>
        <v>February</v>
      </c>
      <c r="F802" s="9">
        <v>19</v>
      </c>
      <c r="G802" s="3" t="b">
        <v>0</v>
      </c>
      <c r="H802" s="3" t="str">
        <f t="shared" si="42"/>
        <v>Saturday</v>
      </c>
      <c r="I802" s="9">
        <v>6</v>
      </c>
      <c r="J802" s="3" t="str">
        <f t="shared" si="41"/>
        <v>Clear</v>
      </c>
      <c r="K802" s="9">
        <v>0.28000000000000003</v>
      </c>
      <c r="L802" s="9">
        <v>0.2424</v>
      </c>
      <c r="M802" s="9">
        <v>0.93</v>
      </c>
      <c r="N802" s="9">
        <v>0.44779999999999998</v>
      </c>
      <c r="O802" s="9">
        <v>6</v>
      </c>
      <c r="P802" s="9">
        <v>78</v>
      </c>
      <c r="Q802" s="9">
        <v>84</v>
      </c>
      <c r="U802">
        <v>212</v>
      </c>
      <c r="W802">
        <v>202</v>
      </c>
    </row>
    <row r="803" spans="1:23">
      <c r="A803" s="9">
        <v>802</v>
      </c>
      <c r="B803" s="10">
        <v>40579</v>
      </c>
      <c r="C803" s="9">
        <v>1</v>
      </c>
      <c r="D803" s="9">
        <v>0</v>
      </c>
      <c r="E803" s="3" t="str">
        <f t="shared" si="40"/>
        <v>February</v>
      </c>
      <c r="F803" s="9">
        <v>20</v>
      </c>
      <c r="G803" s="3" t="b">
        <v>0</v>
      </c>
      <c r="H803" s="3" t="str">
        <f t="shared" si="42"/>
        <v>Saturday</v>
      </c>
      <c r="I803" s="9">
        <v>6</v>
      </c>
      <c r="J803" s="3" t="str">
        <f t="shared" si="41"/>
        <v>Clear</v>
      </c>
      <c r="K803" s="9">
        <v>0.3</v>
      </c>
      <c r="L803" s="9">
        <v>0.28789999999999999</v>
      </c>
      <c r="M803" s="9">
        <v>0.87</v>
      </c>
      <c r="N803" s="9">
        <v>0.25369999999999998</v>
      </c>
      <c r="O803" s="9">
        <v>5</v>
      </c>
      <c r="P803" s="9">
        <v>64</v>
      </c>
      <c r="Q803" s="9">
        <v>69</v>
      </c>
      <c r="V803">
        <v>10</v>
      </c>
      <c r="W803">
        <v>202</v>
      </c>
    </row>
    <row r="804" spans="1:23">
      <c r="A804" s="9">
        <v>803</v>
      </c>
      <c r="B804" s="10">
        <v>40579</v>
      </c>
      <c r="C804" s="9">
        <v>1</v>
      </c>
      <c r="D804" s="9">
        <v>0</v>
      </c>
      <c r="E804" s="3" t="str">
        <f t="shared" si="40"/>
        <v>February</v>
      </c>
      <c r="F804" s="9">
        <v>21</v>
      </c>
      <c r="G804" s="3" t="b">
        <v>0</v>
      </c>
      <c r="H804" s="3" t="str">
        <f t="shared" si="42"/>
        <v>Saturday</v>
      </c>
      <c r="I804" s="9">
        <v>6</v>
      </c>
      <c r="J804" s="3" t="str">
        <f t="shared" si="41"/>
        <v>Clear</v>
      </c>
      <c r="K804" s="9">
        <v>0.26</v>
      </c>
      <c r="L804" s="9">
        <v>0.2576</v>
      </c>
      <c r="M804" s="9">
        <v>1</v>
      </c>
      <c r="N804" s="9">
        <v>0.19400000000000001</v>
      </c>
      <c r="O804" s="9">
        <v>3</v>
      </c>
      <c r="P804" s="9">
        <v>53</v>
      </c>
      <c r="Q804" s="9">
        <v>56</v>
      </c>
      <c r="U804">
        <v>215</v>
      </c>
      <c r="W804">
        <v>207</v>
      </c>
    </row>
    <row r="805" spans="1:23">
      <c r="A805" s="9">
        <v>804</v>
      </c>
      <c r="B805" s="10">
        <v>40579</v>
      </c>
      <c r="C805" s="9">
        <v>1</v>
      </c>
      <c r="D805" s="9">
        <v>0</v>
      </c>
      <c r="E805" s="3" t="str">
        <f t="shared" si="40"/>
        <v>February</v>
      </c>
      <c r="F805" s="9">
        <v>22</v>
      </c>
      <c r="G805" s="3" t="b">
        <v>0</v>
      </c>
      <c r="H805" s="3" t="str">
        <f t="shared" si="42"/>
        <v>Saturday</v>
      </c>
      <c r="I805" s="9">
        <v>6</v>
      </c>
      <c r="J805" s="3" t="str">
        <f t="shared" si="41"/>
        <v>Clear</v>
      </c>
      <c r="K805" s="9">
        <v>0.26</v>
      </c>
      <c r="L805" s="9">
        <v>0.2727</v>
      </c>
      <c r="M805" s="9">
        <v>0.93</v>
      </c>
      <c r="N805" s="9">
        <v>0.1343</v>
      </c>
      <c r="O805" s="9">
        <v>2</v>
      </c>
      <c r="P805" s="9">
        <v>43</v>
      </c>
      <c r="Q805" s="9">
        <v>45</v>
      </c>
      <c r="V805">
        <v>8</v>
      </c>
      <c r="W805">
        <v>207</v>
      </c>
    </row>
    <row r="806" spans="1:23">
      <c r="A806" s="9">
        <v>805</v>
      </c>
      <c r="B806" s="10">
        <v>40579</v>
      </c>
      <c r="C806" s="9">
        <v>1</v>
      </c>
      <c r="D806" s="9">
        <v>0</v>
      </c>
      <c r="E806" s="3" t="str">
        <f t="shared" si="40"/>
        <v>February</v>
      </c>
      <c r="F806" s="9">
        <v>23</v>
      </c>
      <c r="G806" s="3" t="b">
        <v>0</v>
      </c>
      <c r="H806" s="3" t="str">
        <f t="shared" si="42"/>
        <v>Saturday</v>
      </c>
      <c r="I806" s="9">
        <v>6</v>
      </c>
      <c r="J806" s="3" t="str">
        <f t="shared" si="41"/>
        <v>Clear</v>
      </c>
      <c r="K806" s="9">
        <v>0.26</v>
      </c>
      <c r="L806" s="9">
        <v>0.2576</v>
      </c>
      <c r="M806" s="9">
        <v>0.93</v>
      </c>
      <c r="N806" s="9">
        <v>0.22389999999999999</v>
      </c>
      <c r="O806" s="9">
        <v>7</v>
      </c>
      <c r="P806" s="9">
        <v>52</v>
      </c>
      <c r="Q806" s="9">
        <v>59</v>
      </c>
      <c r="U806">
        <v>216</v>
      </c>
      <c r="W806">
        <v>419</v>
      </c>
    </row>
    <row r="807" spans="1:23">
      <c r="A807" s="9">
        <v>806</v>
      </c>
      <c r="B807" s="10">
        <v>40580</v>
      </c>
      <c r="C807" s="9">
        <v>1</v>
      </c>
      <c r="D807" s="9">
        <v>0</v>
      </c>
      <c r="E807" s="3" t="str">
        <f t="shared" si="40"/>
        <v>February</v>
      </c>
      <c r="F807" s="9">
        <v>0</v>
      </c>
      <c r="G807" s="3" t="b">
        <v>0</v>
      </c>
      <c r="H807" s="3" t="str">
        <f t="shared" si="42"/>
        <v>Sunday</v>
      </c>
      <c r="I807" s="9">
        <v>0</v>
      </c>
      <c r="J807" s="3" t="str">
        <f t="shared" si="41"/>
        <v>Clear</v>
      </c>
      <c r="K807" s="9">
        <v>0.26</v>
      </c>
      <c r="L807" s="9">
        <v>0.2576</v>
      </c>
      <c r="M807" s="9">
        <v>0.7</v>
      </c>
      <c r="N807" s="9">
        <v>0.19400000000000001</v>
      </c>
      <c r="O807" s="9">
        <v>2</v>
      </c>
      <c r="P807" s="9">
        <v>37</v>
      </c>
      <c r="Q807" s="9">
        <v>39</v>
      </c>
      <c r="V807">
        <v>4</v>
      </c>
      <c r="W807">
        <v>212</v>
      </c>
    </row>
    <row r="808" spans="1:23">
      <c r="A808" s="9">
        <v>807</v>
      </c>
      <c r="B808" s="10">
        <v>40580</v>
      </c>
      <c r="C808" s="9">
        <v>1</v>
      </c>
      <c r="D808" s="9">
        <v>0</v>
      </c>
      <c r="E808" s="3" t="str">
        <f t="shared" si="40"/>
        <v>February</v>
      </c>
      <c r="F808" s="9">
        <v>1</v>
      </c>
      <c r="G808" s="3" t="b">
        <v>0</v>
      </c>
      <c r="H808" s="3" t="str">
        <f t="shared" si="42"/>
        <v>Sunday</v>
      </c>
      <c r="I808" s="9">
        <v>0</v>
      </c>
      <c r="J808" s="3" t="str">
        <f t="shared" si="41"/>
        <v>Clear</v>
      </c>
      <c r="K808" s="9">
        <v>0.26</v>
      </c>
      <c r="L808" s="9">
        <v>0.2273</v>
      </c>
      <c r="M808" s="9">
        <v>0.65</v>
      </c>
      <c r="N808" s="9">
        <v>0.41789999999999999</v>
      </c>
      <c r="O808" s="9">
        <v>4</v>
      </c>
      <c r="P808" s="9">
        <v>40</v>
      </c>
      <c r="Q808" s="9">
        <v>44</v>
      </c>
      <c r="V808">
        <v>9</v>
      </c>
      <c r="W808">
        <v>207</v>
      </c>
    </row>
    <row r="809" spans="1:23">
      <c r="A809" s="9">
        <v>808</v>
      </c>
      <c r="B809" s="10">
        <v>40580</v>
      </c>
      <c r="C809" s="9">
        <v>1</v>
      </c>
      <c r="D809" s="9">
        <v>0</v>
      </c>
      <c r="E809" s="3" t="str">
        <f t="shared" si="40"/>
        <v>February</v>
      </c>
      <c r="F809" s="9">
        <v>2</v>
      </c>
      <c r="G809" s="3" t="b">
        <v>0</v>
      </c>
      <c r="H809" s="3" t="str">
        <f t="shared" si="42"/>
        <v>Sunday</v>
      </c>
      <c r="I809" s="9">
        <v>0</v>
      </c>
      <c r="J809" s="3" t="str">
        <f t="shared" si="41"/>
        <v>Clear</v>
      </c>
      <c r="K809" s="9">
        <v>0.26</v>
      </c>
      <c r="L809" s="9">
        <v>0.2273</v>
      </c>
      <c r="M809" s="9">
        <v>0.6</v>
      </c>
      <c r="N809" s="9">
        <v>0.32840000000000003</v>
      </c>
      <c r="O809" s="9">
        <v>0</v>
      </c>
      <c r="P809" s="9">
        <v>20</v>
      </c>
      <c r="Q809" s="9">
        <v>20</v>
      </c>
      <c r="U809">
        <v>217</v>
      </c>
      <c r="W809">
        <v>424</v>
      </c>
    </row>
    <row r="810" spans="1:23">
      <c r="A810" s="9">
        <v>809</v>
      </c>
      <c r="B810" s="10">
        <v>40580</v>
      </c>
      <c r="C810" s="9">
        <v>1</v>
      </c>
      <c r="D810" s="9">
        <v>0</v>
      </c>
      <c r="E810" s="3" t="str">
        <f t="shared" si="40"/>
        <v>February</v>
      </c>
      <c r="F810" s="9">
        <v>3</v>
      </c>
      <c r="G810" s="3" t="b">
        <v>0</v>
      </c>
      <c r="H810" s="3" t="str">
        <f t="shared" si="42"/>
        <v>Sunday</v>
      </c>
      <c r="I810" s="9">
        <v>0</v>
      </c>
      <c r="J810" s="3" t="str">
        <f t="shared" si="41"/>
        <v>Clear</v>
      </c>
      <c r="K810" s="9">
        <v>0.26</v>
      </c>
      <c r="L810" s="9">
        <v>0.28789999999999999</v>
      </c>
      <c r="M810" s="9">
        <v>0.6</v>
      </c>
      <c r="N810" s="9">
        <v>8.9599999999999999E-2</v>
      </c>
      <c r="O810" s="9">
        <v>3</v>
      </c>
      <c r="P810" s="9">
        <v>10</v>
      </c>
      <c r="Q810" s="9">
        <v>13</v>
      </c>
      <c r="V810">
        <v>3</v>
      </c>
      <c r="W810">
        <v>214</v>
      </c>
    </row>
    <row r="811" spans="1:23">
      <c r="A811" s="9">
        <v>810</v>
      </c>
      <c r="B811" s="10">
        <v>40580</v>
      </c>
      <c r="C811" s="9">
        <v>1</v>
      </c>
      <c r="D811" s="9">
        <v>0</v>
      </c>
      <c r="E811" s="3" t="str">
        <f t="shared" si="40"/>
        <v>February</v>
      </c>
      <c r="F811" s="9">
        <v>4</v>
      </c>
      <c r="G811" s="3" t="b">
        <v>0</v>
      </c>
      <c r="H811" s="3" t="str">
        <f t="shared" si="42"/>
        <v>Sunday</v>
      </c>
      <c r="I811" s="9">
        <v>0</v>
      </c>
      <c r="J811" s="3" t="str">
        <f t="shared" si="41"/>
        <v>Clear</v>
      </c>
      <c r="K811" s="9">
        <v>0.26</v>
      </c>
      <c r="L811" s="9">
        <v>0.2273</v>
      </c>
      <c r="M811" s="9">
        <v>0.6</v>
      </c>
      <c r="N811" s="9">
        <v>0.35820000000000002</v>
      </c>
      <c r="O811" s="9">
        <v>0</v>
      </c>
      <c r="P811" s="9">
        <v>2</v>
      </c>
      <c r="Q811" s="9">
        <v>2</v>
      </c>
      <c r="V811">
        <v>7</v>
      </c>
      <c r="W811">
        <v>210</v>
      </c>
    </row>
    <row r="812" spans="1:23">
      <c r="A812" s="9">
        <v>811</v>
      </c>
      <c r="B812" s="10">
        <v>40580</v>
      </c>
      <c r="C812" s="9">
        <v>1</v>
      </c>
      <c r="D812" s="9">
        <v>0</v>
      </c>
      <c r="E812" s="3" t="str">
        <f t="shared" si="40"/>
        <v>February</v>
      </c>
      <c r="F812" s="9">
        <v>5</v>
      </c>
      <c r="G812" s="3" t="b">
        <v>0</v>
      </c>
      <c r="H812" s="3" t="str">
        <f t="shared" si="42"/>
        <v>Sunday</v>
      </c>
      <c r="I812" s="9">
        <v>0</v>
      </c>
      <c r="J812" s="3" t="str">
        <f t="shared" si="41"/>
        <v>Clear</v>
      </c>
      <c r="K812" s="9">
        <v>0.26</v>
      </c>
      <c r="L812" s="9">
        <v>0.2576</v>
      </c>
      <c r="M812" s="9">
        <v>0.6</v>
      </c>
      <c r="N812" s="9">
        <v>0.22389999999999999</v>
      </c>
      <c r="O812" s="9">
        <v>0</v>
      </c>
      <c r="P812" s="9">
        <v>1</v>
      </c>
      <c r="Q812" s="9">
        <v>1</v>
      </c>
      <c r="U812">
        <v>219</v>
      </c>
      <c r="W812">
        <v>216</v>
      </c>
    </row>
    <row r="813" spans="1:23">
      <c r="A813" s="9">
        <v>812</v>
      </c>
      <c r="B813" s="10">
        <v>40580</v>
      </c>
      <c r="C813" s="9">
        <v>1</v>
      </c>
      <c r="D813" s="9">
        <v>0</v>
      </c>
      <c r="E813" s="3" t="str">
        <f t="shared" si="40"/>
        <v>February</v>
      </c>
      <c r="F813" s="9">
        <v>6</v>
      </c>
      <c r="G813" s="3" t="b">
        <v>0</v>
      </c>
      <c r="H813" s="3" t="str">
        <f t="shared" si="42"/>
        <v>Sunday</v>
      </c>
      <c r="I813" s="9">
        <v>0</v>
      </c>
      <c r="J813" s="3" t="str">
        <f t="shared" si="41"/>
        <v>Clear</v>
      </c>
      <c r="K813" s="9">
        <v>0.26</v>
      </c>
      <c r="L813" s="9">
        <v>0.2576</v>
      </c>
      <c r="M813" s="9">
        <v>0.6</v>
      </c>
      <c r="N813" s="9">
        <v>0.22389999999999999</v>
      </c>
      <c r="O813" s="9">
        <v>0</v>
      </c>
      <c r="P813" s="9">
        <v>1</v>
      </c>
      <c r="Q813" s="9">
        <v>1</v>
      </c>
      <c r="V813">
        <v>3</v>
      </c>
      <c r="W813">
        <v>216</v>
      </c>
    </row>
    <row r="814" spans="1:23">
      <c r="A814" s="9">
        <v>813</v>
      </c>
      <c r="B814" s="10">
        <v>40580</v>
      </c>
      <c r="C814" s="9">
        <v>1</v>
      </c>
      <c r="D814" s="9">
        <v>0</v>
      </c>
      <c r="E814" s="3" t="str">
        <f t="shared" si="40"/>
        <v>February</v>
      </c>
      <c r="F814" s="9">
        <v>7</v>
      </c>
      <c r="G814" s="3" t="b">
        <v>0</v>
      </c>
      <c r="H814" s="3" t="str">
        <f t="shared" si="42"/>
        <v>Sunday</v>
      </c>
      <c r="I814" s="9">
        <v>0</v>
      </c>
      <c r="J814" s="3" t="str">
        <f t="shared" si="41"/>
        <v>Foggy</v>
      </c>
      <c r="K814" s="9">
        <v>0.24</v>
      </c>
      <c r="L814" s="9">
        <v>0.2424</v>
      </c>
      <c r="M814" s="9">
        <v>0.65</v>
      </c>
      <c r="N814" s="9">
        <v>0.16420000000000001</v>
      </c>
      <c r="O814" s="9">
        <v>0</v>
      </c>
      <c r="P814" s="9">
        <v>8</v>
      </c>
      <c r="Q814" s="9">
        <v>8</v>
      </c>
      <c r="U814">
        <v>220</v>
      </c>
      <c r="W814">
        <v>217</v>
      </c>
    </row>
    <row r="815" spans="1:23">
      <c r="A815" s="9">
        <v>814</v>
      </c>
      <c r="B815" s="10">
        <v>40580</v>
      </c>
      <c r="C815" s="9">
        <v>1</v>
      </c>
      <c r="D815" s="9">
        <v>0</v>
      </c>
      <c r="E815" s="3" t="str">
        <f t="shared" si="40"/>
        <v>February</v>
      </c>
      <c r="F815" s="9">
        <v>8</v>
      </c>
      <c r="G815" s="3" t="b">
        <v>0</v>
      </c>
      <c r="H815" s="3" t="str">
        <f t="shared" si="42"/>
        <v>Sunday</v>
      </c>
      <c r="I815" s="9">
        <v>0</v>
      </c>
      <c r="J815" s="3" t="str">
        <f t="shared" si="41"/>
        <v>Foggy</v>
      </c>
      <c r="K815" s="9">
        <v>0.24</v>
      </c>
      <c r="L815" s="9">
        <v>0.2576</v>
      </c>
      <c r="M815" s="9">
        <v>0.65</v>
      </c>
      <c r="N815" s="9">
        <v>0.1045</v>
      </c>
      <c r="O815" s="9">
        <v>2</v>
      </c>
      <c r="P815" s="9">
        <v>21</v>
      </c>
      <c r="Q815" s="9">
        <v>23</v>
      </c>
      <c r="V815">
        <v>3</v>
      </c>
      <c r="W815">
        <v>217</v>
      </c>
    </row>
    <row r="816" spans="1:23">
      <c r="A816" s="9">
        <v>815</v>
      </c>
      <c r="B816" s="10">
        <v>40580</v>
      </c>
      <c r="C816" s="9">
        <v>1</v>
      </c>
      <c r="D816" s="9">
        <v>0</v>
      </c>
      <c r="E816" s="3" t="str">
        <f t="shared" si="40"/>
        <v>February</v>
      </c>
      <c r="F816" s="9">
        <v>9</v>
      </c>
      <c r="G816" s="3" t="b">
        <v>0</v>
      </c>
      <c r="H816" s="3" t="str">
        <f t="shared" si="42"/>
        <v>Sunday</v>
      </c>
      <c r="I816" s="9">
        <v>0</v>
      </c>
      <c r="J816" s="3" t="str">
        <f t="shared" si="41"/>
        <v>Clear</v>
      </c>
      <c r="K816" s="9">
        <v>0.28000000000000003</v>
      </c>
      <c r="L816" s="9">
        <v>0.28789999999999999</v>
      </c>
      <c r="M816" s="9">
        <v>0.56000000000000005</v>
      </c>
      <c r="N816" s="9">
        <v>0.1045</v>
      </c>
      <c r="O816" s="9">
        <v>7</v>
      </c>
      <c r="P816" s="9">
        <v>38</v>
      </c>
      <c r="Q816" s="9">
        <v>45</v>
      </c>
      <c r="U816">
        <v>222</v>
      </c>
      <c r="W816">
        <v>208</v>
      </c>
    </row>
    <row r="817" spans="1:23">
      <c r="A817" s="9">
        <v>816</v>
      </c>
      <c r="B817" s="10">
        <v>40580</v>
      </c>
      <c r="C817" s="9">
        <v>1</v>
      </c>
      <c r="D817" s="9">
        <v>0</v>
      </c>
      <c r="E817" s="3" t="str">
        <f t="shared" si="40"/>
        <v>February</v>
      </c>
      <c r="F817" s="9">
        <v>10</v>
      </c>
      <c r="G817" s="3" t="b">
        <v>0</v>
      </c>
      <c r="H817" s="3" t="str">
        <f t="shared" si="42"/>
        <v>Sunday</v>
      </c>
      <c r="I817" s="9">
        <v>0</v>
      </c>
      <c r="J817" s="3" t="str">
        <f t="shared" si="41"/>
        <v>Clear</v>
      </c>
      <c r="K817" s="9">
        <v>0.3</v>
      </c>
      <c r="L817" s="9">
        <v>0.28789999999999999</v>
      </c>
      <c r="M817" s="9">
        <v>0.52</v>
      </c>
      <c r="N817" s="9">
        <v>0.25369999999999998</v>
      </c>
      <c r="O817" s="9">
        <v>15</v>
      </c>
      <c r="P817" s="9">
        <v>74</v>
      </c>
      <c r="Q817" s="9">
        <v>89</v>
      </c>
      <c r="V817">
        <v>14</v>
      </c>
      <c r="W817">
        <v>208</v>
      </c>
    </row>
    <row r="818" spans="1:23">
      <c r="A818" s="9">
        <v>817</v>
      </c>
      <c r="B818" s="10">
        <v>40580</v>
      </c>
      <c r="C818" s="9">
        <v>1</v>
      </c>
      <c r="D818" s="9">
        <v>0</v>
      </c>
      <c r="E818" s="3" t="str">
        <f t="shared" si="40"/>
        <v>February</v>
      </c>
      <c r="F818" s="9">
        <v>11</v>
      </c>
      <c r="G818" s="3" t="b">
        <v>0</v>
      </c>
      <c r="H818" s="3" t="str">
        <f t="shared" si="42"/>
        <v>Sunday</v>
      </c>
      <c r="I818" s="9">
        <v>0</v>
      </c>
      <c r="J818" s="3" t="str">
        <f t="shared" si="41"/>
        <v>Clear</v>
      </c>
      <c r="K818" s="9">
        <v>0.32</v>
      </c>
      <c r="L818" s="9">
        <v>0.30299999999999999</v>
      </c>
      <c r="M818" s="9">
        <v>0.49</v>
      </c>
      <c r="N818" s="9">
        <v>0.25369999999999998</v>
      </c>
      <c r="O818" s="9">
        <v>28</v>
      </c>
      <c r="P818" s="9">
        <v>89</v>
      </c>
      <c r="Q818" s="9">
        <v>117</v>
      </c>
      <c r="U818">
        <v>225</v>
      </c>
      <c r="W818">
        <v>218</v>
      </c>
    </row>
    <row r="819" spans="1:23">
      <c r="A819" s="9">
        <v>818</v>
      </c>
      <c r="B819" s="10">
        <v>40580</v>
      </c>
      <c r="C819" s="9">
        <v>1</v>
      </c>
      <c r="D819" s="9">
        <v>0</v>
      </c>
      <c r="E819" s="3" t="str">
        <f t="shared" si="40"/>
        <v>February</v>
      </c>
      <c r="F819" s="9">
        <v>12</v>
      </c>
      <c r="G819" s="3" t="b">
        <v>0</v>
      </c>
      <c r="H819" s="3" t="str">
        <f t="shared" si="42"/>
        <v>Sunday</v>
      </c>
      <c r="I819" s="9">
        <v>0</v>
      </c>
      <c r="J819" s="3" t="str">
        <f t="shared" si="41"/>
        <v>Clear</v>
      </c>
      <c r="K819" s="9">
        <v>0.34</v>
      </c>
      <c r="L819" s="9">
        <v>0.33329999999999999</v>
      </c>
      <c r="M819" s="9">
        <v>0.46</v>
      </c>
      <c r="N819" s="9">
        <v>0</v>
      </c>
      <c r="O819" s="9">
        <v>48</v>
      </c>
      <c r="P819" s="9">
        <v>126</v>
      </c>
      <c r="Q819" s="9">
        <v>174</v>
      </c>
      <c r="V819">
        <v>7</v>
      </c>
      <c r="W819">
        <v>218</v>
      </c>
    </row>
    <row r="820" spans="1:23">
      <c r="A820" s="9">
        <v>819</v>
      </c>
      <c r="B820" s="10">
        <v>40580</v>
      </c>
      <c r="C820" s="9">
        <v>1</v>
      </c>
      <c r="D820" s="9">
        <v>0</v>
      </c>
      <c r="E820" s="3" t="str">
        <f t="shared" si="40"/>
        <v>February</v>
      </c>
      <c r="F820" s="9">
        <v>13</v>
      </c>
      <c r="G820" s="3" t="b">
        <v>0</v>
      </c>
      <c r="H820" s="3" t="str">
        <f t="shared" si="42"/>
        <v>Sunday</v>
      </c>
      <c r="I820" s="9">
        <v>0</v>
      </c>
      <c r="J820" s="3" t="str">
        <f t="shared" si="41"/>
        <v>Clear</v>
      </c>
      <c r="K820" s="9">
        <v>0.34</v>
      </c>
      <c r="L820" s="9">
        <v>0.36359999999999998</v>
      </c>
      <c r="M820" s="9">
        <v>0.46</v>
      </c>
      <c r="N820" s="9">
        <v>0</v>
      </c>
      <c r="O820" s="9">
        <v>47</v>
      </c>
      <c r="P820" s="9">
        <v>135</v>
      </c>
      <c r="Q820" s="9">
        <v>182</v>
      </c>
      <c r="U820">
        <v>230</v>
      </c>
      <c r="W820">
        <v>223</v>
      </c>
    </row>
    <row r="821" spans="1:23">
      <c r="A821" s="9">
        <v>820</v>
      </c>
      <c r="B821" s="10">
        <v>40580</v>
      </c>
      <c r="C821" s="9">
        <v>1</v>
      </c>
      <c r="D821" s="9">
        <v>0</v>
      </c>
      <c r="E821" s="3" t="str">
        <f t="shared" si="40"/>
        <v>February</v>
      </c>
      <c r="F821" s="9">
        <v>14</v>
      </c>
      <c r="G821" s="3" t="b">
        <v>0</v>
      </c>
      <c r="H821" s="3" t="str">
        <f t="shared" si="42"/>
        <v>Sunday</v>
      </c>
      <c r="I821" s="9">
        <v>0</v>
      </c>
      <c r="J821" s="3" t="str">
        <f t="shared" si="41"/>
        <v>Clear</v>
      </c>
      <c r="K821" s="9">
        <v>0.34</v>
      </c>
      <c r="L821" s="9">
        <v>0.34849999999999998</v>
      </c>
      <c r="M821" s="9">
        <v>0.46</v>
      </c>
      <c r="N821" s="9">
        <v>8.9599999999999999E-2</v>
      </c>
      <c r="O821" s="9">
        <v>47</v>
      </c>
      <c r="P821" s="9">
        <v>114</v>
      </c>
      <c r="Q821" s="9">
        <v>161</v>
      </c>
      <c r="V821">
        <v>7</v>
      </c>
      <c r="W821">
        <v>223</v>
      </c>
    </row>
    <row r="822" spans="1:23">
      <c r="A822" s="9">
        <v>821</v>
      </c>
      <c r="B822" s="10">
        <v>40580</v>
      </c>
      <c r="C822" s="9">
        <v>1</v>
      </c>
      <c r="D822" s="9">
        <v>0</v>
      </c>
      <c r="E822" s="3" t="str">
        <f t="shared" si="40"/>
        <v>February</v>
      </c>
      <c r="F822" s="9">
        <v>15</v>
      </c>
      <c r="G822" s="3" t="b">
        <v>0</v>
      </c>
      <c r="H822" s="3" t="str">
        <f t="shared" si="42"/>
        <v>Sunday</v>
      </c>
      <c r="I822" s="9">
        <v>0</v>
      </c>
      <c r="J822" s="3" t="str">
        <f t="shared" si="41"/>
        <v>Clear</v>
      </c>
      <c r="K822" s="9">
        <v>0.34</v>
      </c>
      <c r="L822" s="9">
        <v>0.34849999999999998</v>
      </c>
      <c r="M822" s="9">
        <v>0.46</v>
      </c>
      <c r="N822" s="9">
        <v>8.9599999999999999E-2</v>
      </c>
      <c r="O822" s="9">
        <v>52</v>
      </c>
      <c r="P822" s="9">
        <v>130</v>
      </c>
      <c r="Q822" s="9">
        <v>182</v>
      </c>
      <c r="U822">
        <v>238</v>
      </c>
      <c r="W822">
        <v>233</v>
      </c>
    </row>
    <row r="823" spans="1:23">
      <c r="A823" s="9">
        <v>822</v>
      </c>
      <c r="B823" s="10">
        <v>40580</v>
      </c>
      <c r="C823" s="9">
        <v>1</v>
      </c>
      <c r="D823" s="9">
        <v>0</v>
      </c>
      <c r="E823" s="3" t="str">
        <f t="shared" si="40"/>
        <v>February</v>
      </c>
      <c r="F823" s="9">
        <v>16</v>
      </c>
      <c r="G823" s="3" t="b">
        <v>0</v>
      </c>
      <c r="H823" s="3" t="str">
        <f t="shared" si="42"/>
        <v>Sunday</v>
      </c>
      <c r="I823" s="9">
        <v>0</v>
      </c>
      <c r="J823" s="3" t="str">
        <f t="shared" si="41"/>
        <v>Clear</v>
      </c>
      <c r="K823" s="9">
        <v>0.34</v>
      </c>
      <c r="L823" s="9">
        <v>0.34849999999999998</v>
      </c>
      <c r="M823" s="9">
        <v>0.49</v>
      </c>
      <c r="N823" s="9">
        <v>0.1045</v>
      </c>
      <c r="O823" s="9">
        <v>42</v>
      </c>
      <c r="P823" s="9">
        <v>115</v>
      </c>
      <c r="Q823" s="9">
        <v>157</v>
      </c>
      <c r="V823">
        <v>5</v>
      </c>
      <c r="W823">
        <v>233</v>
      </c>
    </row>
    <row r="824" spans="1:23">
      <c r="A824" s="9">
        <v>823</v>
      </c>
      <c r="B824" s="10">
        <v>40580</v>
      </c>
      <c r="C824" s="9">
        <v>1</v>
      </c>
      <c r="D824" s="9">
        <v>0</v>
      </c>
      <c r="E824" s="3" t="str">
        <f t="shared" si="40"/>
        <v>February</v>
      </c>
      <c r="F824" s="9">
        <v>17</v>
      </c>
      <c r="G824" s="3" t="b">
        <v>0</v>
      </c>
      <c r="H824" s="3" t="str">
        <f t="shared" si="42"/>
        <v>Sunday</v>
      </c>
      <c r="I824" s="9">
        <v>0</v>
      </c>
      <c r="J824" s="3" t="str">
        <f t="shared" si="41"/>
        <v>Clear</v>
      </c>
      <c r="K824" s="9">
        <v>0.34</v>
      </c>
      <c r="L824" s="9">
        <v>0.36359999999999998</v>
      </c>
      <c r="M824" s="9">
        <v>0.46</v>
      </c>
      <c r="N824" s="9">
        <v>0</v>
      </c>
      <c r="O824" s="9">
        <v>24</v>
      </c>
      <c r="P824" s="9">
        <v>97</v>
      </c>
      <c r="Q824" s="9">
        <v>121</v>
      </c>
      <c r="U824">
        <v>243</v>
      </c>
      <c r="W824">
        <v>236</v>
      </c>
    </row>
    <row r="825" spans="1:23">
      <c r="A825" s="9">
        <v>824</v>
      </c>
      <c r="B825" s="10">
        <v>40580</v>
      </c>
      <c r="C825" s="9">
        <v>1</v>
      </c>
      <c r="D825" s="9">
        <v>0</v>
      </c>
      <c r="E825" s="3" t="str">
        <f t="shared" si="40"/>
        <v>February</v>
      </c>
      <c r="F825" s="9">
        <v>18</v>
      </c>
      <c r="G825" s="3" t="b">
        <v>0</v>
      </c>
      <c r="H825" s="3" t="str">
        <f t="shared" si="42"/>
        <v>Sunday</v>
      </c>
      <c r="I825" s="9">
        <v>0</v>
      </c>
      <c r="J825" s="3" t="str">
        <f t="shared" si="41"/>
        <v>Clear</v>
      </c>
      <c r="K825" s="9">
        <v>0.3</v>
      </c>
      <c r="L825" s="9">
        <v>0.30299999999999999</v>
      </c>
      <c r="M825" s="9">
        <v>0.56000000000000005</v>
      </c>
      <c r="N825" s="9">
        <v>0.16420000000000001</v>
      </c>
      <c r="O825" s="9">
        <v>13</v>
      </c>
      <c r="P825" s="9">
        <v>65</v>
      </c>
      <c r="Q825" s="9">
        <v>78</v>
      </c>
      <c r="V825">
        <v>7</v>
      </c>
      <c r="W825">
        <v>236</v>
      </c>
    </row>
    <row r="826" spans="1:23">
      <c r="A826" s="9">
        <v>825</v>
      </c>
      <c r="B826" s="10">
        <v>40580</v>
      </c>
      <c r="C826" s="9">
        <v>1</v>
      </c>
      <c r="D826" s="9">
        <v>0</v>
      </c>
      <c r="E826" s="3" t="str">
        <f t="shared" si="40"/>
        <v>February</v>
      </c>
      <c r="F826" s="9">
        <v>19</v>
      </c>
      <c r="G826" s="3" t="b">
        <v>0</v>
      </c>
      <c r="H826" s="3" t="str">
        <f t="shared" si="42"/>
        <v>Sunday</v>
      </c>
      <c r="I826" s="9">
        <v>0</v>
      </c>
      <c r="J826" s="3" t="str">
        <f t="shared" si="41"/>
        <v>Clear</v>
      </c>
      <c r="K826" s="9">
        <v>0.28000000000000003</v>
      </c>
      <c r="L826" s="9">
        <v>0.28789999999999999</v>
      </c>
      <c r="M826" s="9">
        <v>0.61</v>
      </c>
      <c r="N826" s="9">
        <v>0.1343</v>
      </c>
      <c r="O826" s="9">
        <v>1</v>
      </c>
      <c r="P826" s="9">
        <v>20</v>
      </c>
      <c r="Q826" s="9">
        <v>21</v>
      </c>
      <c r="U826">
        <v>249</v>
      </c>
      <c r="W826">
        <v>247</v>
      </c>
    </row>
    <row r="827" spans="1:23">
      <c r="A827" s="9">
        <v>826</v>
      </c>
      <c r="B827" s="10">
        <v>40580</v>
      </c>
      <c r="C827" s="9">
        <v>1</v>
      </c>
      <c r="D827" s="9">
        <v>0</v>
      </c>
      <c r="E827" s="3" t="str">
        <f t="shared" si="40"/>
        <v>February</v>
      </c>
      <c r="F827" s="9">
        <v>20</v>
      </c>
      <c r="G827" s="3" t="b">
        <v>0</v>
      </c>
      <c r="H827" s="3" t="str">
        <f t="shared" si="42"/>
        <v>Sunday</v>
      </c>
      <c r="I827" s="9">
        <v>0</v>
      </c>
      <c r="J827" s="3" t="str">
        <f t="shared" si="41"/>
        <v>Clear</v>
      </c>
      <c r="K827" s="9">
        <v>0.28000000000000003</v>
      </c>
      <c r="L827" s="9">
        <v>0.28789999999999999</v>
      </c>
      <c r="M827" s="9">
        <v>0.61</v>
      </c>
      <c r="N827" s="9">
        <v>0.1045</v>
      </c>
      <c r="O827" s="9">
        <v>5</v>
      </c>
      <c r="P827" s="9">
        <v>21</v>
      </c>
      <c r="Q827" s="9">
        <v>26</v>
      </c>
      <c r="V827">
        <v>2</v>
      </c>
      <c r="W827">
        <v>247</v>
      </c>
    </row>
    <row r="828" spans="1:23">
      <c r="A828" s="9">
        <v>827</v>
      </c>
      <c r="B828" s="10">
        <v>40580</v>
      </c>
      <c r="C828" s="9">
        <v>1</v>
      </c>
      <c r="D828" s="9">
        <v>0</v>
      </c>
      <c r="E828" s="3" t="str">
        <f t="shared" si="40"/>
        <v>February</v>
      </c>
      <c r="F828" s="9">
        <v>21</v>
      </c>
      <c r="G828" s="3" t="b">
        <v>0</v>
      </c>
      <c r="H828" s="3" t="str">
        <f t="shared" si="42"/>
        <v>Sunday</v>
      </c>
      <c r="I828" s="9">
        <v>0</v>
      </c>
      <c r="J828" s="3" t="str">
        <f t="shared" si="41"/>
        <v>Clear</v>
      </c>
      <c r="K828" s="9">
        <v>0.26</v>
      </c>
      <c r="L828" s="9">
        <v>0.30299999999999999</v>
      </c>
      <c r="M828" s="9">
        <v>0.6</v>
      </c>
      <c r="N828" s="9">
        <v>0</v>
      </c>
      <c r="O828" s="9">
        <v>5</v>
      </c>
      <c r="P828" s="9">
        <v>22</v>
      </c>
      <c r="Q828" s="9">
        <v>27</v>
      </c>
      <c r="U828" t="s">
        <v>2</v>
      </c>
    </row>
    <row r="829" spans="1:23">
      <c r="A829" s="9">
        <v>828</v>
      </c>
      <c r="B829" s="10">
        <v>40580</v>
      </c>
      <c r="C829" s="9">
        <v>1</v>
      </c>
      <c r="D829" s="9">
        <v>0</v>
      </c>
      <c r="E829" s="3" t="str">
        <f t="shared" si="40"/>
        <v>February</v>
      </c>
      <c r="F829" s="9">
        <v>22</v>
      </c>
      <c r="G829" s="3" t="b">
        <v>0</v>
      </c>
      <c r="H829" s="3" t="str">
        <f t="shared" si="42"/>
        <v>Sunday</v>
      </c>
      <c r="I829" s="9">
        <v>0</v>
      </c>
      <c r="J829" s="3" t="str">
        <f t="shared" si="41"/>
        <v>Clear</v>
      </c>
      <c r="K829" s="9">
        <v>0.26</v>
      </c>
      <c r="L829" s="9">
        <v>0.30299999999999999</v>
      </c>
      <c r="M829" s="9">
        <v>0.6</v>
      </c>
      <c r="N829" s="9">
        <v>0</v>
      </c>
      <c r="O829" s="9">
        <v>5</v>
      </c>
      <c r="P829" s="9">
        <v>57</v>
      </c>
      <c r="Q829" s="9">
        <v>62</v>
      </c>
      <c r="V829" t="s">
        <v>2</v>
      </c>
    </row>
    <row r="830" spans="1:23">
      <c r="A830" s="9">
        <v>829</v>
      </c>
      <c r="B830" s="10">
        <v>40580</v>
      </c>
      <c r="C830" s="9">
        <v>1</v>
      </c>
      <c r="D830" s="9">
        <v>0</v>
      </c>
      <c r="E830" s="3" t="str">
        <f t="shared" si="40"/>
        <v>February</v>
      </c>
      <c r="F830" s="9">
        <v>23</v>
      </c>
      <c r="G830" s="3" t="b">
        <v>0</v>
      </c>
      <c r="H830" s="3" t="str">
        <f t="shared" si="42"/>
        <v>Sunday</v>
      </c>
      <c r="I830" s="9">
        <v>0</v>
      </c>
      <c r="J830" s="3" t="str">
        <f t="shared" si="41"/>
        <v>Foggy</v>
      </c>
      <c r="K830" s="9">
        <v>0.24</v>
      </c>
      <c r="L830" s="9">
        <v>0.28789999999999999</v>
      </c>
      <c r="M830" s="9">
        <v>0.65</v>
      </c>
      <c r="N830" s="9">
        <v>0</v>
      </c>
      <c r="O830" s="9">
        <v>4</v>
      </c>
      <c r="P830" s="9">
        <v>26</v>
      </c>
      <c r="Q830" s="9">
        <v>30</v>
      </c>
      <c r="U830" t="s">
        <v>3</v>
      </c>
      <c r="W830">
        <v>53340</v>
      </c>
    </row>
    <row r="831" spans="1:23">
      <c r="A831" s="9">
        <v>830</v>
      </c>
      <c r="B831" s="10">
        <v>40581</v>
      </c>
      <c r="C831" s="9">
        <v>1</v>
      </c>
      <c r="D831" s="9">
        <v>0</v>
      </c>
      <c r="E831" s="3" t="str">
        <f t="shared" si="40"/>
        <v>February</v>
      </c>
      <c r="F831" s="9">
        <v>0</v>
      </c>
      <c r="G831" s="3" t="b">
        <v>0</v>
      </c>
      <c r="H831" s="3" t="str">
        <f t="shared" si="42"/>
        <v>Monday</v>
      </c>
      <c r="I831" s="9">
        <v>1</v>
      </c>
      <c r="J831" s="3" t="str">
        <f t="shared" si="41"/>
        <v>Foggy</v>
      </c>
      <c r="K831" s="9">
        <v>0.24</v>
      </c>
      <c r="L831" s="9">
        <v>0.28789999999999999</v>
      </c>
      <c r="M831" s="9">
        <v>0.65</v>
      </c>
      <c r="N831" s="9">
        <v>0</v>
      </c>
      <c r="O831" s="9">
        <v>1</v>
      </c>
      <c r="P831" s="9">
        <v>14</v>
      </c>
      <c r="Q831" s="9">
        <v>15</v>
      </c>
    </row>
    <row r="832" spans="1:23">
      <c r="A832" s="9">
        <v>831</v>
      </c>
      <c r="B832" s="10">
        <v>40581</v>
      </c>
      <c r="C832" s="9">
        <v>1</v>
      </c>
      <c r="D832" s="9">
        <v>0</v>
      </c>
      <c r="E832" s="3" t="str">
        <f t="shared" si="40"/>
        <v>February</v>
      </c>
      <c r="F832" s="9">
        <v>1</v>
      </c>
      <c r="G832" s="3" t="b">
        <v>0</v>
      </c>
      <c r="H832" s="3" t="str">
        <f t="shared" si="42"/>
        <v>Monday</v>
      </c>
      <c r="I832" s="9">
        <v>1</v>
      </c>
      <c r="J832" s="3" t="str">
        <f t="shared" si="41"/>
        <v>Foggy</v>
      </c>
      <c r="K832" s="9">
        <v>0.22</v>
      </c>
      <c r="L832" s="9">
        <v>0.2727</v>
      </c>
      <c r="M832" s="9">
        <v>0.75</v>
      </c>
      <c r="N832" s="9">
        <v>0</v>
      </c>
      <c r="O832" s="9">
        <v>1</v>
      </c>
      <c r="P832" s="9">
        <v>4</v>
      </c>
      <c r="Q832" s="9">
        <v>5</v>
      </c>
    </row>
    <row r="833" spans="1:17">
      <c r="A833" s="9">
        <v>832</v>
      </c>
      <c r="B833" s="10">
        <v>40581</v>
      </c>
      <c r="C833" s="9">
        <v>1</v>
      </c>
      <c r="D833" s="9">
        <v>0</v>
      </c>
      <c r="E833" s="3" t="str">
        <f t="shared" si="40"/>
        <v>February</v>
      </c>
      <c r="F833" s="9">
        <v>2</v>
      </c>
      <c r="G833" s="3" t="b">
        <v>0</v>
      </c>
      <c r="H833" s="3" t="str">
        <f t="shared" si="42"/>
        <v>Monday</v>
      </c>
      <c r="I833" s="9">
        <v>1</v>
      </c>
      <c r="J833" s="3" t="str">
        <f t="shared" si="41"/>
        <v>Foggy</v>
      </c>
      <c r="K833" s="9">
        <v>0.2</v>
      </c>
      <c r="L833" s="9">
        <v>0.2576</v>
      </c>
      <c r="M833" s="9">
        <v>0.8</v>
      </c>
      <c r="N833" s="9">
        <v>0</v>
      </c>
      <c r="O833" s="9">
        <v>0</v>
      </c>
      <c r="P833" s="9">
        <v>3</v>
      </c>
      <c r="Q833" s="9">
        <v>3</v>
      </c>
    </row>
    <row r="834" spans="1:17">
      <c r="A834" s="9">
        <v>833</v>
      </c>
      <c r="B834" s="10">
        <v>40581</v>
      </c>
      <c r="C834" s="9">
        <v>1</v>
      </c>
      <c r="D834" s="9">
        <v>0</v>
      </c>
      <c r="E834" s="3" t="str">
        <f t="shared" si="40"/>
        <v>February</v>
      </c>
      <c r="F834" s="9">
        <v>3</v>
      </c>
      <c r="G834" s="3" t="b">
        <v>0</v>
      </c>
      <c r="H834" s="3" t="str">
        <f t="shared" si="42"/>
        <v>Monday</v>
      </c>
      <c r="I834" s="9">
        <v>1</v>
      </c>
      <c r="J834" s="3" t="str">
        <f t="shared" si="41"/>
        <v>Foggy</v>
      </c>
      <c r="K834" s="9">
        <v>0.2</v>
      </c>
      <c r="L834" s="9">
        <v>0.2576</v>
      </c>
      <c r="M834" s="9">
        <v>0.86</v>
      </c>
      <c r="N834" s="9">
        <v>0</v>
      </c>
      <c r="O834" s="9">
        <v>0</v>
      </c>
      <c r="P834" s="9">
        <v>1</v>
      </c>
      <c r="Q834" s="9">
        <v>1</v>
      </c>
    </row>
    <row r="835" spans="1:17">
      <c r="A835" s="9">
        <v>834</v>
      </c>
      <c r="B835" s="10">
        <v>40581</v>
      </c>
      <c r="C835" s="9">
        <v>1</v>
      </c>
      <c r="D835" s="9">
        <v>0</v>
      </c>
      <c r="E835" s="3" t="str">
        <f t="shared" ref="E835:E898" si="43">TEXT(B835,"MMMM")</f>
        <v>February</v>
      </c>
      <c r="F835" s="9">
        <v>4</v>
      </c>
      <c r="G835" s="3" t="b">
        <v>0</v>
      </c>
      <c r="H835" s="3" t="str">
        <f t="shared" si="42"/>
        <v>Monday</v>
      </c>
      <c r="I835" s="9">
        <v>1</v>
      </c>
      <c r="J835" s="3" t="str">
        <f t="shared" si="41"/>
        <v>Foggy</v>
      </c>
      <c r="K835" s="9">
        <v>0.2</v>
      </c>
      <c r="L835" s="9">
        <v>0.2576</v>
      </c>
      <c r="M835" s="9">
        <v>0.86</v>
      </c>
      <c r="N835" s="9">
        <v>0</v>
      </c>
      <c r="O835" s="9">
        <v>1</v>
      </c>
      <c r="P835" s="9">
        <v>1</v>
      </c>
      <c r="Q835" s="9">
        <v>2</v>
      </c>
    </row>
    <row r="836" spans="1:17">
      <c r="A836" s="9">
        <v>835</v>
      </c>
      <c r="B836" s="10">
        <v>40581</v>
      </c>
      <c r="C836" s="9">
        <v>1</v>
      </c>
      <c r="D836" s="9">
        <v>0</v>
      </c>
      <c r="E836" s="3" t="str">
        <f t="shared" si="43"/>
        <v>February</v>
      </c>
      <c r="F836" s="9">
        <v>5</v>
      </c>
      <c r="G836" s="3" t="b">
        <v>0</v>
      </c>
      <c r="H836" s="3" t="str">
        <f t="shared" si="42"/>
        <v>Monday</v>
      </c>
      <c r="I836" s="9">
        <v>1</v>
      </c>
      <c r="J836" s="3" t="str">
        <f t="shared" si="41"/>
        <v>Foggy</v>
      </c>
      <c r="K836" s="9">
        <v>0.2</v>
      </c>
      <c r="L836" s="9">
        <v>0.2576</v>
      </c>
      <c r="M836" s="9">
        <v>0.86</v>
      </c>
      <c r="N836" s="9">
        <v>0</v>
      </c>
      <c r="O836" s="9">
        <v>1</v>
      </c>
      <c r="P836" s="9">
        <v>9</v>
      </c>
      <c r="Q836" s="9">
        <v>10</v>
      </c>
    </row>
    <row r="837" spans="1:17">
      <c r="A837" s="9">
        <v>836</v>
      </c>
      <c r="B837" s="10">
        <v>40581</v>
      </c>
      <c r="C837" s="9">
        <v>1</v>
      </c>
      <c r="D837" s="9">
        <v>0</v>
      </c>
      <c r="E837" s="3" t="str">
        <f t="shared" si="43"/>
        <v>February</v>
      </c>
      <c r="F837" s="9">
        <v>6</v>
      </c>
      <c r="G837" s="3" t="b">
        <v>0</v>
      </c>
      <c r="H837" s="3" t="str">
        <f t="shared" si="42"/>
        <v>Monday</v>
      </c>
      <c r="I837" s="9">
        <v>1</v>
      </c>
      <c r="J837" s="3" t="str">
        <f t="shared" si="41"/>
        <v>Foggy</v>
      </c>
      <c r="K837" s="9">
        <v>0.18</v>
      </c>
      <c r="L837" s="9">
        <v>0.2424</v>
      </c>
      <c r="M837" s="9">
        <v>0.93</v>
      </c>
      <c r="N837" s="9">
        <v>0</v>
      </c>
      <c r="O837" s="9">
        <v>1</v>
      </c>
      <c r="P837" s="9">
        <v>29</v>
      </c>
      <c r="Q837" s="9">
        <v>30</v>
      </c>
    </row>
    <row r="838" spans="1:17">
      <c r="A838" s="9">
        <v>837</v>
      </c>
      <c r="B838" s="10">
        <v>40581</v>
      </c>
      <c r="C838" s="9">
        <v>1</v>
      </c>
      <c r="D838" s="9">
        <v>0</v>
      </c>
      <c r="E838" s="3" t="str">
        <f t="shared" si="43"/>
        <v>February</v>
      </c>
      <c r="F838" s="9">
        <v>7</v>
      </c>
      <c r="G838" s="3" t="b">
        <v>0</v>
      </c>
      <c r="H838" s="3" t="str">
        <f t="shared" si="42"/>
        <v>Monday</v>
      </c>
      <c r="I838" s="9">
        <v>1</v>
      </c>
      <c r="J838" s="3" t="str">
        <f t="shared" si="41"/>
        <v>Foggy</v>
      </c>
      <c r="K838" s="9">
        <v>0.18</v>
      </c>
      <c r="L838" s="9">
        <v>0.2424</v>
      </c>
      <c r="M838" s="9">
        <v>0.86</v>
      </c>
      <c r="N838" s="9">
        <v>0</v>
      </c>
      <c r="O838" s="9">
        <v>6</v>
      </c>
      <c r="P838" s="9">
        <v>89</v>
      </c>
      <c r="Q838" s="9">
        <v>95</v>
      </c>
    </row>
    <row r="839" spans="1:17">
      <c r="A839" s="9">
        <v>838</v>
      </c>
      <c r="B839" s="10">
        <v>40581</v>
      </c>
      <c r="C839" s="9">
        <v>1</v>
      </c>
      <c r="D839" s="9">
        <v>0</v>
      </c>
      <c r="E839" s="3" t="str">
        <f t="shared" si="43"/>
        <v>February</v>
      </c>
      <c r="F839" s="9">
        <v>8</v>
      </c>
      <c r="G839" s="3" t="b">
        <v>0</v>
      </c>
      <c r="H839" s="3" t="str">
        <f t="shared" si="42"/>
        <v>Monday</v>
      </c>
      <c r="I839" s="9">
        <v>1</v>
      </c>
      <c r="J839" s="3" t="str">
        <f t="shared" ref="J839:J902" si="44">IF($K839&lt;=0.24,"Foggy",IF($K839&gt;0.24,"Clear"))</f>
        <v>Foggy</v>
      </c>
      <c r="K839" s="9">
        <v>0.16</v>
      </c>
      <c r="L839" s="9">
        <v>0.2273</v>
      </c>
      <c r="M839" s="9">
        <v>1</v>
      </c>
      <c r="N839" s="9">
        <v>0</v>
      </c>
      <c r="O839" s="9">
        <v>7</v>
      </c>
      <c r="P839" s="9">
        <v>223</v>
      </c>
      <c r="Q839" s="9">
        <v>230</v>
      </c>
    </row>
    <row r="840" spans="1:17">
      <c r="A840" s="9">
        <v>839</v>
      </c>
      <c r="B840" s="10">
        <v>40581</v>
      </c>
      <c r="C840" s="9">
        <v>1</v>
      </c>
      <c r="D840" s="9">
        <v>0</v>
      </c>
      <c r="E840" s="3" t="str">
        <f t="shared" si="43"/>
        <v>February</v>
      </c>
      <c r="F840" s="9">
        <v>9</v>
      </c>
      <c r="G840" s="3" t="b">
        <v>0</v>
      </c>
      <c r="H840" s="3" t="str">
        <f t="shared" si="42"/>
        <v>Monday</v>
      </c>
      <c r="I840" s="9">
        <v>1</v>
      </c>
      <c r="J840" s="3" t="str">
        <f t="shared" si="44"/>
        <v>Foggy</v>
      </c>
      <c r="K840" s="9">
        <v>0.22</v>
      </c>
      <c r="L840" s="9">
        <v>0.2727</v>
      </c>
      <c r="M840" s="9">
        <v>0.8</v>
      </c>
      <c r="N840" s="9">
        <v>0</v>
      </c>
      <c r="O840" s="9">
        <v>3</v>
      </c>
      <c r="P840" s="9">
        <v>115</v>
      </c>
      <c r="Q840" s="9">
        <v>118</v>
      </c>
    </row>
    <row r="841" spans="1:17">
      <c r="A841" s="9">
        <v>840</v>
      </c>
      <c r="B841" s="10">
        <v>40581</v>
      </c>
      <c r="C841" s="9">
        <v>1</v>
      </c>
      <c r="D841" s="9">
        <v>0</v>
      </c>
      <c r="E841" s="3" t="str">
        <f t="shared" si="43"/>
        <v>February</v>
      </c>
      <c r="F841" s="9">
        <v>10</v>
      </c>
      <c r="G841" s="3" t="b">
        <v>0</v>
      </c>
      <c r="H841" s="3" t="str">
        <f t="shared" ref="H841:H904" si="45">TEXT(B841,"dddd")</f>
        <v>Monday</v>
      </c>
      <c r="I841" s="9">
        <v>1</v>
      </c>
      <c r="J841" s="3" t="str">
        <f t="shared" si="44"/>
        <v>Foggy</v>
      </c>
      <c r="K841" s="9">
        <v>0.24</v>
      </c>
      <c r="L841" s="9">
        <v>0.2576</v>
      </c>
      <c r="M841" s="9">
        <v>0.75</v>
      </c>
      <c r="N841" s="9">
        <v>0.1045</v>
      </c>
      <c r="O841" s="9">
        <v>6</v>
      </c>
      <c r="P841" s="9">
        <v>49</v>
      </c>
      <c r="Q841" s="9">
        <v>55</v>
      </c>
    </row>
    <row r="842" spans="1:17">
      <c r="A842" s="9">
        <v>841</v>
      </c>
      <c r="B842" s="10">
        <v>40581</v>
      </c>
      <c r="C842" s="9">
        <v>1</v>
      </c>
      <c r="D842" s="9">
        <v>0</v>
      </c>
      <c r="E842" s="3" t="str">
        <f t="shared" si="43"/>
        <v>February</v>
      </c>
      <c r="F842" s="9">
        <v>11</v>
      </c>
      <c r="G842" s="3" t="b">
        <v>0</v>
      </c>
      <c r="H842" s="3" t="str">
        <f t="shared" si="45"/>
        <v>Monday</v>
      </c>
      <c r="I842" s="9">
        <v>1</v>
      </c>
      <c r="J842" s="3" t="str">
        <f t="shared" si="44"/>
        <v>Clear</v>
      </c>
      <c r="K842" s="9">
        <v>0.3</v>
      </c>
      <c r="L842" s="9">
        <v>0.31819999999999998</v>
      </c>
      <c r="M842" s="9">
        <v>0.65</v>
      </c>
      <c r="N842" s="9">
        <v>8.9599999999999999E-2</v>
      </c>
      <c r="O842" s="9">
        <v>11</v>
      </c>
      <c r="P842" s="9">
        <v>36</v>
      </c>
      <c r="Q842" s="9">
        <v>47</v>
      </c>
    </row>
    <row r="843" spans="1:17">
      <c r="A843" s="9">
        <v>842</v>
      </c>
      <c r="B843" s="10">
        <v>40581</v>
      </c>
      <c r="C843" s="9">
        <v>1</v>
      </c>
      <c r="D843" s="9">
        <v>0</v>
      </c>
      <c r="E843" s="3" t="str">
        <f t="shared" si="43"/>
        <v>February</v>
      </c>
      <c r="F843" s="9">
        <v>12</v>
      </c>
      <c r="G843" s="3" t="b">
        <v>0</v>
      </c>
      <c r="H843" s="3" t="str">
        <f t="shared" si="45"/>
        <v>Monday</v>
      </c>
      <c r="I843" s="9">
        <v>1</v>
      </c>
      <c r="J843" s="3" t="str">
        <f t="shared" si="44"/>
        <v>Clear</v>
      </c>
      <c r="K843" s="9">
        <v>0.32</v>
      </c>
      <c r="L843" s="9">
        <v>0.34849999999999998</v>
      </c>
      <c r="M843" s="9">
        <v>0.62</v>
      </c>
      <c r="N843" s="9">
        <v>0</v>
      </c>
      <c r="O843" s="9">
        <v>7</v>
      </c>
      <c r="P843" s="9">
        <v>59</v>
      </c>
      <c r="Q843" s="9">
        <v>66</v>
      </c>
    </row>
    <row r="844" spans="1:17">
      <c r="A844" s="9">
        <v>843</v>
      </c>
      <c r="B844" s="10">
        <v>40581</v>
      </c>
      <c r="C844" s="9">
        <v>1</v>
      </c>
      <c r="D844" s="9">
        <v>0</v>
      </c>
      <c r="E844" s="3" t="str">
        <f t="shared" si="43"/>
        <v>February</v>
      </c>
      <c r="F844" s="9">
        <v>13</v>
      </c>
      <c r="G844" s="3" t="b">
        <v>0</v>
      </c>
      <c r="H844" s="3" t="str">
        <f t="shared" si="45"/>
        <v>Monday</v>
      </c>
      <c r="I844" s="9">
        <v>1</v>
      </c>
      <c r="J844" s="3" t="str">
        <f t="shared" si="44"/>
        <v>Clear</v>
      </c>
      <c r="K844" s="9">
        <v>0.36</v>
      </c>
      <c r="L844" s="9">
        <v>0.36359999999999998</v>
      </c>
      <c r="M844" s="9">
        <v>0.56999999999999995</v>
      </c>
      <c r="N844" s="9">
        <v>8.9599999999999999E-2</v>
      </c>
      <c r="O844" s="9">
        <v>10</v>
      </c>
      <c r="P844" s="9">
        <v>54</v>
      </c>
      <c r="Q844" s="9">
        <v>64</v>
      </c>
    </row>
    <row r="845" spans="1:17">
      <c r="A845" s="9">
        <v>844</v>
      </c>
      <c r="B845" s="10">
        <v>40581</v>
      </c>
      <c r="C845" s="9">
        <v>1</v>
      </c>
      <c r="D845" s="9">
        <v>0</v>
      </c>
      <c r="E845" s="3" t="str">
        <f t="shared" si="43"/>
        <v>February</v>
      </c>
      <c r="F845" s="9">
        <v>14</v>
      </c>
      <c r="G845" s="3" t="b">
        <v>0</v>
      </c>
      <c r="H845" s="3" t="str">
        <f t="shared" si="45"/>
        <v>Monday</v>
      </c>
      <c r="I845" s="9">
        <v>1</v>
      </c>
      <c r="J845" s="3" t="str">
        <f t="shared" si="44"/>
        <v>Clear</v>
      </c>
      <c r="K845" s="9">
        <v>0.36</v>
      </c>
      <c r="L845" s="9">
        <v>0.36359999999999998</v>
      </c>
      <c r="M845" s="9">
        <v>0.56999999999999995</v>
      </c>
      <c r="N845" s="9">
        <v>8.9599999999999999E-2</v>
      </c>
      <c r="O845" s="9">
        <v>8</v>
      </c>
      <c r="P845" s="9">
        <v>52</v>
      </c>
      <c r="Q845" s="9">
        <v>60</v>
      </c>
    </row>
    <row r="846" spans="1:17">
      <c r="A846" s="9">
        <v>845</v>
      </c>
      <c r="B846" s="10">
        <v>40581</v>
      </c>
      <c r="C846" s="9">
        <v>1</v>
      </c>
      <c r="D846" s="9">
        <v>0</v>
      </c>
      <c r="E846" s="3" t="str">
        <f t="shared" si="43"/>
        <v>February</v>
      </c>
      <c r="F846" s="9">
        <v>15</v>
      </c>
      <c r="G846" s="3" t="b">
        <v>0</v>
      </c>
      <c r="H846" s="3" t="str">
        <f t="shared" si="45"/>
        <v>Monday</v>
      </c>
      <c r="I846" s="9">
        <v>1</v>
      </c>
      <c r="J846" s="3" t="str">
        <f t="shared" si="44"/>
        <v>Clear</v>
      </c>
      <c r="K846" s="9">
        <v>0.38</v>
      </c>
      <c r="L846" s="9">
        <v>0.39389999999999997</v>
      </c>
      <c r="M846" s="9">
        <v>0.54</v>
      </c>
      <c r="N846" s="9">
        <v>8.9599999999999999E-2</v>
      </c>
      <c r="O846" s="9">
        <v>4</v>
      </c>
      <c r="P846" s="9">
        <v>46</v>
      </c>
      <c r="Q846" s="9">
        <v>50</v>
      </c>
    </row>
    <row r="847" spans="1:17">
      <c r="A847" s="9">
        <v>846</v>
      </c>
      <c r="B847" s="10">
        <v>40581</v>
      </c>
      <c r="C847" s="9">
        <v>1</v>
      </c>
      <c r="D847" s="9">
        <v>0</v>
      </c>
      <c r="E847" s="3" t="str">
        <f t="shared" si="43"/>
        <v>February</v>
      </c>
      <c r="F847" s="9">
        <v>16</v>
      </c>
      <c r="G847" s="3" t="b">
        <v>0</v>
      </c>
      <c r="H847" s="3" t="str">
        <f t="shared" si="45"/>
        <v>Monday</v>
      </c>
      <c r="I847" s="9">
        <v>1</v>
      </c>
      <c r="J847" s="3" t="str">
        <f t="shared" si="44"/>
        <v>Clear</v>
      </c>
      <c r="K847" s="9">
        <v>0.36</v>
      </c>
      <c r="L847" s="9">
        <v>0.34849999999999998</v>
      </c>
      <c r="M847" s="9">
        <v>0.56999999999999995</v>
      </c>
      <c r="N847" s="9">
        <v>0.1343</v>
      </c>
      <c r="O847" s="9">
        <v>16</v>
      </c>
      <c r="P847" s="9">
        <v>98</v>
      </c>
      <c r="Q847" s="9">
        <v>114</v>
      </c>
    </row>
    <row r="848" spans="1:17">
      <c r="A848" s="9">
        <v>847</v>
      </c>
      <c r="B848" s="10">
        <v>40581</v>
      </c>
      <c r="C848" s="9">
        <v>1</v>
      </c>
      <c r="D848" s="9">
        <v>0</v>
      </c>
      <c r="E848" s="3" t="str">
        <f t="shared" si="43"/>
        <v>February</v>
      </c>
      <c r="F848" s="9">
        <v>17</v>
      </c>
      <c r="G848" s="3" t="b">
        <v>0</v>
      </c>
      <c r="H848" s="3" t="str">
        <f t="shared" si="45"/>
        <v>Monday</v>
      </c>
      <c r="I848" s="9">
        <v>1</v>
      </c>
      <c r="J848" s="3" t="str">
        <f t="shared" si="44"/>
        <v>Clear</v>
      </c>
      <c r="K848" s="9">
        <v>0.32</v>
      </c>
      <c r="L848" s="9">
        <v>0.31819999999999998</v>
      </c>
      <c r="M848" s="9">
        <v>0.7</v>
      </c>
      <c r="N848" s="9">
        <v>0.16420000000000001</v>
      </c>
      <c r="O848" s="9">
        <v>9</v>
      </c>
      <c r="P848" s="9">
        <v>207</v>
      </c>
      <c r="Q848" s="9">
        <v>216</v>
      </c>
    </row>
    <row r="849" spans="1:17">
      <c r="A849" s="9">
        <v>848</v>
      </c>
      <c r="B849" s="10">
        <v>40581</v>
      </c>
      <c r="C849" s="9">
        <v>1</v>
      </c>
      <c r="D849" s="9">
        <v>0</v>
      </c>
      <c r="E849" s="3" t="str">
        <f t="shared" si="43"/>
        <v>February</v>
      </c>
      <c r="F849" s="9">
        <v>18</v>
      </c>
      <c r="G849" s="3" t="b">
        <v>0</v>
      </c>
      <c r="H849" s="3" t="str">
        <f t="shared" si="45"/>
        <v>Monday</v>
      </c>
      <c r="I849" s="9">
        <v>1</v>
      </c>
      <c r="J849" s="3" t="str">
        <f t="shared" si="44"/>
        <v>Clear</v>
      </c>
      <c r="K849" s="9">
        <v>0.34</v>
      </c>
      <c r="L849" s="9">
        <v>0.33329999999999999</v>
      </c>
      <c r="M849" s="9">
        <v>0.66</v>
      </c>
      <c r="N849" s="9">
        <v>0.1343</v>
      </c>
      <c r="O849" s="9">
        <v>5</v>
      </c>
      <c r="P849" s="9">
        <v>170</v>
      </c>
      <c r="Q849" s="9">
        <v>175</v>
      </c>
    </row>
    <row r="850" spans="1:17">
      <c r="A850" s="9">
        <v>849</v>
      </c>
      <c r="B850" s="10">
        <v>40581</v>
      </c>
      <c r="C850" s="9">
        <v>1</v>
      </c>
      <c r="D850" s="9">
        <v>0</v>
      </c>
      <c r="E850" s="3" t="str">
        <f t="shared" si="43"/>
        <v>February</v>
      </c>
      <c r="F850" s="9">
        <v>19</v>
      </c>
      <c r="G850" s="3" t="b">
        <v>0</v>
      </c>
      <c r="H850" s="3" t="str">
        <f t="shared" si="45"/>
        <v>Monday</v>
      </c>
      <c r="I850" s="9">
        <v>1</v>
      </c>
      <c r="J850" s="3" t="str">
        <f t="shared" si="44"/>
        <v>Clear</v>
      </c>
      <c r="K850" s="9">
        <v>0.32</v>
      </c>
      <c r="L850" s="9">
        <v>0.34849999999999998</v>
      </c>
      <c r="M850" s="9">
        <v>0.7</v>
      </c>
      <c r="N850" s="9">
        <v>0</v>
      </c>
      <c r="O850" s="9">
        <v>5</v>
      </c>
      <c r="P850" s="9">
        <v>123</v>
      </c>
      <c r="Q850" s="9">
        <v>128</v>
      </c>
    </row>
    <row r="851" spans="1:17">
      <c r="A851" s="9">
        <v>850</v>
      </c>
      <c r="B851" s="10">
        <v>40581</v>
      </c>
      <c r="C851" s="9">
        <v>1</v>
      </c>
      <c r="D851" s="9">
        <v>0</v>
      </c>
      <c r="E851" s="3" t="str">
        <f t="shared" si="43"/>
        <v>February</v>
      </c>
      <c r="F851" s="9">
        <v>20</v>
      </c>
      <c r="G851" s="3" t="b">
        <v>0</v>
      </c>
      <c r="H851" s="3" t="str">
        <f t="shared" si="45"/>
        <v>Monday</v>
      </c>
      <c r="I851" s="9">
        <v>1</v>
      </c>
      <c r="J851" s="3" t="str">
        <f t="shared" si="44"/>
        <v>Clear</v>
      </c>
      <c r="K851" s="9">
        <v>0.32</v>
      </c>
      <c r="L851" s="9">
        <v>0.33329999999999999</v>
      </c>
      <c r="M851" s="9">
        <v>0.7</v>
      </c>
      <c r="N851" s="9">
        <v>0.1045</v>
      </c>
      <c r="O851" s="9">
        <v>6</v>
      </c>
      <c r="P851" s="9">
        <v>82</v>
      </c>
      <c r="Q851" s="9">
        <v>88</v>
      </c>
    </row>
    <row r="852" spans="1:17">
      <c r="A852" s="9">
        <v>851</v>
      </c>
      <c r="B852" s="10">
        <v>40581</v>
      </c>
      <c r="C852" s="9">
        <v>1</v>
      </c>
      <c r="D852" s="9">
        <v>0</v>
      </c>
      <c r="E852" s="3" t="str">
        <f t="shared" si="43"/>
        <v>February</v>
      </c>
      <c r="F852" s="9">
        <v>21</v>
      </c>
      <c r="G852" s="3" t="b">
        <v>0</v>
      </c>
      <c r="H852" s="3" t="str">
        <f t="shared" si="45"/>
        <v>Monday</v>
      </c>
      <c r="I852" s="9">
        <v>1</v>
      </c>
      <c r="J852" s="3" t="str">
        <f t="shared" si="44"/>
        <v>Clear</v>
      </c>
      <c r="K852" s="9">
        <v>0.32</v>
      </c>
      <c r="L852" s="9">
        <v>0.34849999999999998</v>
      </c>
      <c r="M852" s="9">
        <v>0.7</v>
      </c>
      <c r="N852" s="9">
        <v>0</v>
      </c>
      <c r="O852" s="9">
        <v>3</v>
      </c>
      <c r="P852" s="9">
        <v>75</v>
      </c>
      <c r="Q852" s="9">
        <v>78</v>
      </c>
    </row>
    <row r="853" spans="1:17">
      <c r="A853" s="9">
        <v>852</v>
      </c>
      <c r="B853" s="10">
        <v>40581</v>
      </c>
      <c r="C853" s="9">
        <v>1</v>
      </c>
      <c r="D853" s="9">
        <v>0</v>
      </c>
      <c r="E853" s="3" t="str">
        <f t="shared" si="43"/>
        <v>February</v>
      </c>
      <c r="F853" s="9">
        <v>22</v>
      </c>
      <c r="G853" s="3" t="b">
        <v>0</v>
      </c>
      <c r="H853" s="3" t="str">
        <f t="shared" si="45"/>
        <v>Monday</v>
      </c>
      <c r="I853" s="9">
        <v>1</v>
      </c>
      <c r="J853" s="3" t="str">
        <f t="shared" si="44"/>
        <v>Clear</v>
      </c>
      <c r="K853" s="9">
        <v>0.28000000000000003</v>
      </c>
      <c r="L853" s="9">
        <v>0.30299999999999999</v>
      </c>
      <c r="M853" s="9">
        <v>0.81</v>
      </c>
      <c r="N853" s="9">
        <v>8.9599999999999999E-2</v>
      </c>
      <c r="O853" s="9">
        <v>3</v>
      </c>
      <c r="P853" s="9">
        <v>34</v>
      </c>
      <c r="Q853" s="9">
        <v>37</v>
      </c>
    </row>
    <row r="854" spans="1:17">
      <c r="A854" s="9">
        <v>853</v>
      </c>
      <c r="B854" s="10">
        <v>40581</v>
      </c>
      <c r="C854" s="9">
        <v>1</v>
      </c>
      <c r="D854" s="9">
        <v>0</v>
      </c>
      <c r="E854" s="3" t="str">
        <f t="shared" si="43"/>
        <v>February</v>
      </c>
      <c r="F854" s="9">
        <v>23</v>
      </c>
      <c r="G854" s="3" t="b">
        <v>0</v>
      </c>
      <c r="H854" s="3" t="str">
        <f t="shared" si="45"/>
        <v>Monday</v>
      </c>
      <c r="I854" s="9">
        <v>1</v>
      </c>
      <c r="J854" s="3" t="str">
        <f t="shared" si="44"/>
        <v>Clear</v>
      </c>
      <c r="K854" s="9">
        <v>0.3</v>
      </c>
      <c r="L854" s="9">
        <v>0.33329999999999999</v>
      </c>
      <c r="M854" s="9">
        <v>0.81</v>
      </c>
      <c r="N854" s="9">
        <v>0</v>
      </c>
      <c r="O854" s="9">
        <v>6</v>
      </c>
      <c r="P854" s="9">
        <v>19</v>
      </c>
      <c r="Q854" s="9">
        <v>25</v>
      </c>
    </row>
    <row r="855" spans="1:17">
      <c r="A855" s="9">
        <v>854</v>
      </c>
      <c r="B855" s="10">
        <v>40582</v>
      </c>
      <c r="C855" s="9">
        <v>1</v>
      </c>
      <c r="D855" s="9">
        <v>0</v>
      </c>
      <c r="E855" s="3" t="str">
        <f t="shared" si="43"/>
        <v>February</v>
      </c>
      <c r="F855" s="9">
        <v>0</v>
      </c>
      <c r="G855" s="3" t="b">
        <v>0</v>
      </c>
      <c r="H855" s="3" t="str">
        <f t="shared" si="45"/>
        <v>Tuesday</v>
      </c>
      <c r="I855" s="9">
        <v>2</v>
      </c>
      <c r="J855" s="3" t="str">
        <f t="shared" si="44"/>
        <v>Clear</v>
      </c>
      <c r="K855" s="9">
        <v>0.28000000000000003</v>
      </c>
      <c r="L855" s="9">
        <v>0.31819999999999998</v>
      </c>
      <c r="M855" s="9">
        <v>0.87</v>
      </c>
      <c r="N855" s="9">
        <v>0</v>
      </c>
      <c r="O855" s="9">
        <v>4</v>
      </c>
      <c r="P855" s="9">
        <v>6</v>
      </c>
      <c r="Q855" s="9">
        <v>10</v>
      </c>
    </row>
    <row r="856" spans="1:17">
      <c r="A856" s="9">
        <v>855</v>
      </c>
      <c r="B856" s="10">
        <v>40582</v>
      </c>
      <c r="C856" s="9">
        <v>1</v>
      </c>
      <c r="D856" s="9">
        <v>0</v>
      </c>
      <c r="E856" s="3" t="str">
        <f t="shared" si="43"/>
        <v>February</v>
      </c>
      <c r="F856" s="9">
        <v>1</v>
      </c>
      <c r="G856" s="3" t="b">
        <v>0</v>
      </c>
      <c r="H856" s="3" t="str">
        <f t="shared" si="45"/>
        <v>Tuesday</v>
      </c>
      <c r="I856" s="9">
        <v>2</v>
      </c>
      <c r="J856" s="3" t="str">
        <f t="shared" si="44"/>
        <v>Clear</v>
      </c>
      <c r="K856" s="9">
        <v>0.28000000000000003</v>
      </c>
      <c r="L856" s="9">
        <v>0.31819999999999998</v>
      </c>
      <c r="M856" s="9">
        <v>0.87</v>
      </c>
      <c r="N856" s="9">
        <v>0</v>
      </c>
      <c r="O856" s="9">
        <v>0</v>
      </c>
      <c r="P856" s="9">
        <v>4</v>
      </c>
      <c r="Q856" s="9">
        <v>4</v>
      </c>
    </row>
    <row r="857" spans="1:17">
      <c r="A857" s="9">
        <v>856</v>
      </c>
      <c r="B857" s="10">
        <v>40582</v>
      </c>
      <c r="C857" s="9">
        <v>1</v>
      </c>
      <c r="D857" s="9">
        <v>0</v>
      </c>
      <c r="E857" s="3" t="str">
        <f t="shared" si="43"/>
        <v>February</v>
      </c>
      <c r="F857" s="9">
        <v>2</v>
      </c>
      <c r="G857" s="3" t="b">
        <v>0</v>
      </c>
      <c r="H857" s="3" t="str">
        <f t="shared" si="45"/>
        <v>Tuesday</v>
      </c>
      <c r="I857" s="9">
        <v>2</v>
      </c>
      <c r="J857" s="3" t="str">
        <f t="shared" si="44"/>
        <v>Clear</v>
      </c>
      <c r="K857" s="9">
        <v>0.26</v>
      </c>
      <c r="L857" s="9">
        <v>0.2727</v>
      </c>
      <c r="M857" s="9">
        <v>0.93</v>
      </c>
      <c r="N857" s="9">
        <v>0.1045</v>
      </c>
      <c r="O857" s="9">
        <v>1</v>
      </c>
      <c r="P857" s="9">
        <v>1</v>
      </c>
      <c r="Q857" s="9">
        <v>2</v>
      </c>
    </row>
    <row r="858" spans="1:17">
      <c r="A858" s="9">
        <v>857</v>
      </c>
      <c r="B858" s="10">
        <v>40582</v>
      </c>
      <c r="C858" s="9">
        <v>1</v>
      </c>
      <c r="D858" s="9">
        <v>0</v>
      </c>
      <c r="E858" s="3" t="str">
        <f t="shared" si="43"/>
        <v>February</v>
      </c>
      <c r="F858" s="9">
        <v>3</v>
      </c>
      <c r="G858" s="3" t="b">
        <v>0</v>
      </c>
      <c r="H858" s="3" t="str">
        <f t="shared" si="45"/>
        <v>Tuesday</v>
      </c>
      <c r="I858" s="9">
        <v>2</v>
      </c>
      <c r="J858" s="3" t="str">
        <f t="shared" si="44"/>
        <v>Clear</v>
      </c>
      <c r="K858" s="9">
        <v>0.28000000000000003</v>
      </c>
      <c r="L858" s="9">
        <v>0.2727</v>
      </c>
      <c r="M858" s="9">
        <v>0.93</v>
      </c>
      <c r="N858" s="9">
        <v>0.16420000000000001</v>
      </c>
      <c r="O858" s="9">
        <v>0</v>
      </c>
      <c r="P858" s="9">
        <v>1</v>
      </c>
      <c r="Q858" s="9">
        <v>1</v>
      </c>
    </row>
    <row r="859" spans="1:17">
      <c r="A859" s="9">
        <v>858</v>
      </c>
      <c r="B859" s="10">
        <v>40582</v>
      </c>
      <c r="C859" s="9">
        <v>1</v>
      </c>
      <c r="D859" s="9">
        <v>0</v>
      </c>
      <c r="E859" s="3" t="str">
        <f t="shared" si="43"/>
        <v>February</v>
      </c>
      <c r="F859" s="9">
        <v>4</v>
      </c>
      <c r="G859" s="3" t="b">
        <v>0</v>
      </c>
      <c r="H859" s="3" t="str">
        <f t="shared" si="45"/>
        <v>Tuesday</v>
      </c>
      <c r="I859" s="9">
        <v>2</v>
      </c>
      <c r="J859" s="3" t="str">
        <f t="shared" si="44"/>
        <v>Clear</v>
      </c>
      <c r="K859" s="9">
        <v>0.26</v>
      </c>
      <c r="L859" s="9">
        <v>0.2576</v>
      </c>
      <c r="M859" s="9">
        <v>0.93</v>
      </c>
      <c r="N859" s="9">
        <v>0.16420000000000001</v>
      </c>
      <c r="O859" s="9">
        <v>0</v>
      </c>
      <c r="P859" s="9">
        <v>3</v>
      </c>
      <c r="Q859" s="9">
        <v>3</v>
      </c>
    </row>
    <row r="860" spans="1:17">
      <c r="A860" s="9">
        <v>859</v>
      </c>
      <c r="B860" s="10">
        <v>40582</v>
      </c>
      <c r="C860" s="9">
        <v>1</v>
      </c>
      <c r="D860" s="9">
        <v>0</v>
      </c>
      <c r="E860" s="3" t="str">
        <f t="shared" si="43"/>
        <v>February</v>
      </c>
      <c r="F860" s="9">
        <v>5</v>
      </c>
      <c r="G860" s="3" t="b">
        <v>0</v>
      </c>
      <c r="H860" s="3" t="str">
        <f t="shared" si="45"/>
        <v>Tuesday</v>
      </c>
      <c r="I860" s="9">
        <v>2</v>
      </c>
      <c r="J860" s="3" t="str">
        <f t="shared" si="44"/>
        <v>Clear</v>
      </c>
      <c r="K860" s="9">
        <v>0.26</v>
      </c>
      <c r="L860" s="9">
        <v>0.2273</v>
      </c>
      <c r="M860" s="9">
        <v>0.81</v>
      </c>
      <c r="N860" s="9">
        <v>0.32840000000000003</v>
      </c>
      <c r="O860" s="9">
        <v>0</v>
      </c>
      <c r="P860" s="9">
        <v>2</v>
      </c>
      <c r="Q860" s="9">
        <v>2</v>
      </c>
    </row>
    <row r="861" spans="1:17">
      <c r="A861" s="9">
        <v>860</v>
      </c>
      <c r="B861" s="10">
        <v>40582</v>
      </c>
      <c r="C861" s="9">
        <v>1</v>
      </c>
      <c r="D861" s="9">
        <v>0</v>
      </c>
      <c r="E861" s="3" t="str">
        <f t="shared" si="43"/>
        <v>February</v>
      </c>
      <c r="F861" s="9">
        <v>6</v>
      </c>
      <c r="G861" s="3" t="b">
        <v>0</v>
      </c>
      <c r="H861" s="3" t="str">
        <f t="shared" si="45"/>
        <v>Tuesday</v>
      </c>
      <c r="I861" s="9">
        <v>2</v>
      </c>
      <c r="J861" s="3" t="str">
        <f t="shared" si="44"/>
        <v>Clear</v>
      </c>
      <c r="K861" s="9">
        <v>0.26</v>
      </c>
      <c r="L861" s="9">
        <v>0.2273</v>
      </c>
      <c r="M861" s="9">
        <v>0.7</v>
      </c>
      <c r="N861" s="9">
        <v>0.32840000000000003</v>
      </c>
      <c r="O861" s="9">
        <v>0</v>
      </c>
      <c r="P861" s="9">
        <v>39</v>
      </c>
      <c r="Q861" s="9">
        <v>39</v>
      </c>
    </row>
    <row r="862" spans="1:17">
      <c r="A862" s="9">
        <v>861</v>
      </c>
      <c r="B862" s="10">
        <v>40582</v>
      </c>
      <c r="C862" s="9">
        <v>1</v>
      </c>
      <c r="D862" s="9">
        <v>0</v>
      </c>
      <c r="E862" s="3" t="str">
        <f t="shared" si="43"/>
        <v>February</v>
      </c>
      <c r="F862" s="9">
        <v>7</v>
      </c>
      <c r="G862" s="3" t="b">
        <v>0</v>
      </c>
      <c r="H862" s="3" t="str">
        <f t="shared" si="45"/>
        <v>Tuesday</v>
      </c>
      <c r="I862" s="9">
        <v>2</v>
      </c>
      <c r="J862" s="3" t="str">
        <f t="shared" si="44"/>
        <v>Foggy</v>
      </c>
      <c r="K862" s="9">
        <v>0.24</v>
      </c>
      <c r="L862" s="9">
        <v>0.19700000000000001</v>
      </c>
      <c r="M862" s="9">
        <v>0.65</v>
      </c>
      <c r="N862" s="9">
        <v>0.41789999999999999</v>
      </c>
      <c r="O862" s="9">
        <v>3</v>
      </c>
      <c r="P862" s="9">
        <v>97</v>
      </c>
      <c r="Q862" s="9">
        <v>100</v>
      </c>
    </row>
    <row r="863" spans="1:17">
      <c r="A863" s="9">
        <v>862</v>
      </c>
      <c r="B863" s="10">
        <v>40582</v>
      </c>
      <c r="C863" s="9">
        <v>1</v>
      </c>
      <c r="D863" s="9">
        <v>0</v>
      </c>
      <c r="E863" s="3" t="str">
        <f t="shared" si="43"/>
        <v>February</v>
      </c>
      <c r="F863" s="9">
        <v>8</v>
      </c>
      <c r="G863" s="3" t="b">
        <v>0</v>
      </c>
      <c r="H863" s="3" t="str">
        <f t="shared" si="45"/>
        <v>Tuesday</v>
      </c>
      <c r="I863" s="9">
        <v>2</v>
      </c>
      <c r="J863" s="3" t="str">
        <f t="shared" si="44"/>
        <v>Foggy</v>
      </c>
      <c r="K863" s="9">
        <v>0.24</v>
      </c>
      <c r="L863" s="9">
        <v>0.19700000000000001</v>
      </c>
      <c r="M863" s="9">
        <v>0.56000000000000005</v>
      </c>
      <c r="N863" s="9">
        <v>0.49249999999999999</v>
      </c>
      <c r="O863" s="9">
        <v>7</v>
      </c>
      <c r="P863" s="9">
        <v>236</v>
      </c>
      <c r="Q863" s="9">
        <v>243</v>
      </c>
    </row>
    <row r="864" spans="1:17">
      <c r="A864" s="9">
        <v>863</v>
      </c>
      <c r="B864" s="10">
        <v>40582</v>
      </c>
      <c r="C864" s="9">
        <v>1</v>
      </c>
      <c r="D864" s="9">
        <v>0</v>
      </c>
      <c r="E864" s="3" t="str">
        <f t="shared" si="43"/>
        <v>February</v>
      </c>
      <c r="F864" s="9">
        <v>9</v>
      </c>
      <c r="G864" s="3" t="b">
        <v>0</v>
      </c>
      <c r="H864" s="3" t="str">
        <f t="shared" si="45"/>
        <v>Tuesday</v>
      </c>
      <c r="I864" s="9">
        <v>2</v>
      </c>
      <c r="J864" s="3" t="str">
        <f t="shared" si="44"/>
        <v>Foggy</v>
      </c>
      <c r="K864" s="9">
        <v>0.24</v>
      </c>
      <c r="L864" s="9">
        <v>0.19700000000000001</v>
      </c>
      <c r="M864" s="9">
        <v>0.52</v>
      </c>
      <c r="N864" s="9">
        <v>0.49249999999999999</v>
      </c>
      <c r="O864" s="9">
        <v>7</v>
      </c>
      <c r="P864" s="9">
        <v>128</v>
      </c>
      <c r="Q864" s="9">
        <v>135</v>
      </c>
    </row>
    <row r="865" spans="1:17">
      <c r="A865" s="9">
        <v>864</v>
      </c>
      <c r="B865" s="10">
        <v>40582</v>
      </c>
      <c r="C865" s="9">
        <v>1</v>
      </c>
      <c r="D865" s="9">
        <v>0</v>
      </c>
      <c r="E865" s="3" t="str">
        <f t="shared" si="43"/>
        <v>February</v>
      </c>
      <c r="F865" s="9">
        <v>10</v>
      </c>
      <c r="G865" s="3" t="b">
        <v>0</v>
      </c>
      <c r="H865" s="3" t="str">
        <f t="shared" si="45"/>
        <v>Tuesday</v>
      </c>
      <c r="I865" s="9">
        <v>2</v>
      </c>
      <c r="J865" s="3" t="str">
        <f t="shared" si="44"/>
        <v>Foggy</v>
      </c>
      <c r="K865" s="9">
        <v>0.22</v>
      </c>
      <c r="L865" s="9">
        <v>0.18179999999999999</v>
      </c>
      <c r="M865" s="9">
        <v>0.47</v>
      </c>
      <c r="N865" s="9">
        <v>0.55220000000000002</v>
      </c>
      <c r="O865" s="9">
        <v>4</v>
      </c>
      <c r="P865" s="9">
        <v>44</v>
      </c>
      <c r="Q865" s="9">
        <v>48</v>
      </c>
    </row>
    <row r="866" spans="1:17">
      <c r="A866" s="9">
        <v>865</v>
      </c>
      <c r="B866" s="10">
        <v>40582</v>
      </c>
      <c r="C866" s="9">
        <v>1</v>
      </c>
      <c r="D866" s="9">
        <v>0</v>
      </c>
      <c r="E866" s="3" t="str">
        <f t="shared" si="43"/>
        <v>February</v>
      </c>
      <c r="F866" s="9">
        <v>11</v>
      </c>
      <c r="G866" s="3" t="b">
        <v>0</v>
      </c>
      <c r="H866" s="3" t="str">
        <f t="shared" si="45"/>
        <v>Tuesday</v>
      </c>
      <c r="I866" s="9">
        <v>2</v>
      </c>
      <c r="J866" s="3" t="str">
        <f t="shared" si="44"/>
        <v>Foggy</v>
      </c>
      <c r="K866" s="9">
        <v>0.22</v>
      </c>
      <c r="L866" s="9">
        <v>0.18179999999999999</v>
      </c>
      <c r="M866" s="9">
        <v>0.47</v>
      </c>
      <c r="N866" s="9">
        <v>0.4627</v>
      </c>
      <c r="O866" s="9">
        <v>1</v>
      </c>
      <c r="P866" s="9">
        <v>49</v>
      </c>
      <c r="Q866" s="9">
        <v>50</v>
      </c>
    </row>
    <row r="867" spans="1:17">
      <c r="A867" s="9">
        <v>866</v>
      </c>
      <c r="B867" s="10">
        <v>40582</v>
      </c>
      <c r="C867" s="9">
        <v>1</v>
      </c>
      <c r="D867" s="9">
        <v>0</v>
      </c>
      <c r="E867" s="3" t="str">
        <f t="shared" si="43"/>
        <v>February</v>
      </c>
      <c r="F867" s="9">
        <v>12</v>
      </c>
      <c r="G867" s="3" t="b">
        <v>0</v>
      </c>
      <c r="H867" s="3" t="str">
        <f t="shared" si="45"/>
        <v>Tuesday</v>
      </c>
      <c r="I867" s="9">
        <v>2</v>
      </c>
      <c r="J867" s="3" t="str">
        <f t="shared" si="44"/>
        <v>Foggy</v>
      </c>
      <c r="K867" s="9">
        <v>0.24</v>
      </c>
      <c r="L867" s="9">
        <v>0.19700000000000001</v>
      </c>
      <c r="M867" s="9">
        <v>0.38</v>
      </c>
      <c r="N867" s="9">
        <v>0.49249999999999999</v>
      </c>
      <c r="O867" s="9">
        <v>2</v>
      </c>
      <c r="P867" s="9">
        <v>63</v>
      </c>
      <c r="Q867" s="9">
        <v>65</v>
      </c>
    </row>
    <row r="868" spans="1:17">
      <c r="A868" s="9">
        <v>867</v>
      </c>
      <c r="B868" s="10">
        <v>40582</v>
      </c>
      <c r="C868" s="9">
        <v>1</v>
      </c>
      <c r="D868" s="9">
        <v>0</v>
      </c>
      <c r="E868" s="3" t="str">
        <f t="shared" si="43"/>
        <v>February</v>
      </c>
      <c r="F868" s="9">
        <v>13</v>
      </c>
      <c r="G868" s="3" t="b">
        <v>0</v>
      </c>
      <c r="H868" s="3" t="str">
        <f t="shared" si="45"/>
        <v>Tuesday</v>
      </c>
      <c r="I868" s="9">
        <v>2</v>
      </c>
      <c r="J868" s="3" t="str">
        <f t="shared" si="44"/>
        <v>Foggy</v>
      </c>
      <c r="K868" s="9">
        <v>0.24</v>
      </c>
      <c r="L868" s="9">
        <v>0.19700000000000001</v>
      </c>
      <c r="M868" s="9">
        <v>0.32</v>
      </c>
      <c r="N868" s="9">
        <v>0.44779999999999998</v>
      </c>
      <c r="O868" s="9">
        <v>2</v>
      </c>
      <c r="P868" s="9">
        <v>48</v>
      </c>
      <c r="Q868" s="9">
        <v>50</v>
      </c>
    </row>
    <row r="869" spans="1:17">
      <c r="A869" s="9">
        <v>868</v>
      </c>
      <c r="B869" s="10">
        <v>40582</v>
      </c>
      <c r="C869" s="9">
        <v>1</v>
      </c>
      <c r="D869" s="9">
        <v>0</v>
      </c>
      <c r="E869" s="3" t="str">
        <f t="shared" si="43"/>
        <v>February</v>
      </c>
      <c r="F869" s="9">
        <v>14</v>
      </c>
      <c r="G869" s="3" t="b">
        <v>0</v>
      </c>
      <c r="H869" s="3" t="str">
        <f t="shared" si="45"/>
        <v>Tuesday</v>
      </c>
      <c r="I869" s="9">
        <v>2</v>
      </c>
      <c r="J869" s="3" t="str">
        <f t="shared" si="44"/>
        <v>Foggy</v>
      </c>
      <c r="K869" s="9">
        <v>0.22</v>
      </c>
      <c r="L869" s="9">
        <v>0.19700000000000001</v>
      </c>
      <c r="M869" s="9">
        <v>0.37</v>
      </c>
      <c r="N869" s="9">
        <v>0.41789999999999999</v>
      </c>
      <c r="O869" s="9">
        <v>3</v>
      </c>
      <c r="P869" s="9">
        <v>61</v>
      </c>
      <c r="Q869" s="9">
        <v>64</v>
      </c>
    </row>
    <row r="870" spans="1:17">
      <c r="A870" s="9">
        <v>869</v>
      </c>
      <c r="B870" s="10">
        <v>40582</v>
      </c>
      <c r="C870" s="9">
        <v>1</v>
      </c>
      <c r="D870" s="9">
        <v>0</v>
      </c>
      <c r="E870" s="3" t="str">
        <f t="shared" si="43"/>
        <v>February</v>
      </c>
      <c r="F870" s="9">
        <v>15</v>
      </c>
      <c r="G870" s="3" t="b">
        <v>0</v>
      </c>
      <c r="H870" s="3" t="str">
        <f t="shared" si="45"/>
        <v>Tuesday</v>
      </c>
      <c r="I870" s="9">
        <v>2</v>
      </c>
      <c r="J870" s="3" t="str">
        <f t="shared" si="44"/>
        <v>Foggy</v>
      </c>
      <c r="K870" s="9">
        <v>0.22</v>
      </c>
      <c r="L870" s="9">
        <v>0.19700000000000001</v>
      </c>
      <c r="M870" s="9">
        <v>0.35</v>
      </c>
      <c r="N870" s="9">
        <v>0.3881</v>
      </c>
      <c r="O870" s="9">
        <v>6</v>
      </c>
      <c r="P870" s="9">
        <v>45</v>
      </c>
      <c r="Q870" s="9">
        <v>51</v>
      </c>
    </row>
    <row r="871" spans="1:17">
      <c r="A871" s="9">
        <v>870</v>
      </c>
      <c r="B871" s="10">
        <v>40582</v>
      </c>
      <c r="C871" s="9">
        <v>1</v>
      </c>
      <c r="D871" s="9">
        <v>0</v>
      </c>
      <c r="E871" s="3" t="str">
        <f t="shared" si="43"/>
        <v>February</v>
      </c>
      <c r="F871" s="9">
        <v>16</v>
      </c>
      <c r="G871" s="3" t="b">
        <v>0</v>
      </c>
      <c r="H871" s="3" t="str">
        <f t="shared" si="45"/>
        <v>Tuesday</v>
      </c>
      <c r="I871" s="9">
        <v>2</v>
      </c>
      <c r="J871" s="3" t="str">
        <f t="shared" si="44"/>
        <v>Foggy</v>
      </c>
      <c r="K871" s="9">
        <v>0.22</v>
      </c>
      <c r="L871" s="9">
        <v>0.18179999999999999</v>
      </c>
      <c r="M871" s="9">
        <v>0.35</v>
      </c>
      <c r="N871" s="9">
        <v>0.52239999999999998</v>
      </c>
      <c r="O871" s="9">
        <v>4</v>
      </c>
      <c r="P871" s="9">
        <v>79</v>
      </c>
      <c r="Q871" s="9">
        <v>83</v>
      </c>
    </row>
    <row r="872" spans="1:17">
      <c r="A872" s="9">
        <v>871</v>
      </c>
      <c r="B872" s="10">
        <v>40582</v>
      </c>
      <c r="C872" s="9">
        <v>1</v>
      </c>
      <c r="D872" s="9">
        <v>0</v>
      </c>
      <c r="E872" s="3" t="str">
        <f t="shared" si="43"/>
        <v>February</v>
      </c>
      <c r="F872" s="9">
        <v>17</v>
      </c>
      <c r="G872" s="3" t="b">
        <v>0</v>
      </c>
      <c r="H872" s="3" t="str">
        <f t="shared" si="45"/>
        <v>Tuesday</v>
      </c>
      <c r="I872" s="9">
        <v>2</v>
      </c>
      <c r="J872" s="3" t="str">
        <f t="shared" si="44"/>
        <v>Foggy</v>
      </c>
      <c r="K872" s="9">
        <v>0.22</v>
      </c>
      <c r="L872" s="9">
        <v>0.18179999999999999</v>
      </c>
      <c r="M872" s="9">
        <v>0.32</v>
      </c>
      <c r="N872" s="9">
        <v>0.58209999999999995</v>
      </c>
      <c r="O872" s="9">
        <v>4</v>
      </c>
      <c r="P872" s="9">
        <v>172</v>
      </c>
      <c r="Q872" s="9">
        <v>176</v>
      </c>
    </row>
    <row r="873" spans="1:17">
      <c r="A873" s="9">
        <v>872</v>
      </c>
      <c r="B873" s="10">
        <v>40582</v>
      </c>
      <c r="C873" s="9">
        <v>1</v>
      </c>
      <c r="D873" s="9">
        <v>0</v>
      </c>
      <c r="E873" s="3" t="str">
        <f t="shared" si="43"/>
        <v>February</v>
      </c>
      <c r="F873" s="9">
        <v>18</v>
      </c>
      <c r="G873" s="3" t="b">
        <v>0</v>
      </c>
      <c r="H873" s="3" t="str">
        <f t="shared" si="45"/>
        <v>Tuesday</v>
      </c>
      <c r="I873" s="9">
        <v>2</v>
      </c>
      <c r="J873" s="3" t="str">
        <f t="shared" si="44"/>
        <v>Foggy</v>
      </c>
      <c r="K873" s="9">
        <v>0.2</v>
      </c>
      <c r="L873" s="9">
        <v>0.18179999999999999</v>
      </c>
      <c r="M873" s="9">
        <v>0.32</v>
      </c>
      <c r="N873" s="9">
        <v>0.3881</v>
      </c>
      <c r="O873" s="9">
        <v>1</v>
      </c>
      <c r="P873" s="9">
        <v>151</v>
      </c>
      <c r="Q873" s="9">
        <v>152</v>
      </c>
    </row>
    <row r="874" spans="1:17">
      <c r="A874" s="9">
        <v>873</v>
      </c>
      <c r="B874" s="10">
        <v>40582</v>
      </c>
      <c r="C874" s="9">
        <v>1</v>
      </c>
      <c r="D874" s="9">
        <v>0</v>
      </c>
      <c r="E874" s="3" t="str">
        <f t="shared" si="43"/>
        <v>February</v>
      </c>
      <c r="F874" s="9">
        <v>19</v>
      </c>
      <c r="G874" s="3" t="b">
        <v>0</v>
      </c>
      <c r="H874" s="3" t="str">
        <f t="shared" si="45"/>
        <v>Tuesday</v>
      </c>
      <c r="I874" s="9">
        <v>2</v>
      </c>
      <c r="J874" s="3" t="str">
        <f t="shared" si="44"/>
        <v>Foggy</v>
      </c>
      <c r="K874" s="9">
        <v>0.16</v>
      </c>
      <c r="L874" s="9">
        <v>0.1212</v>
      </c>
      <c r="M874" s="9">
        <v>0.4</v>
      </c>
      <c r="N874" s="9">
        <v>0.4627</v>
      </c>
      <c r="O874" s="9">
        <v>1</v>
      </c>
      <c r="P874" s="9">
        <v>100</v>
      </c>
      <c r="Q874" s="9">
        <v>101</v>
      </c>
    </row>
    <row r="875" spans="1:17">
      <c r="A875" s="9">
        <v>874</v>
      </c>
      <c r="B875" s="10">
        <v>40582</v>
      </c>
      <c r="C875" s="9">
        <v>1</v>
      </c>
      <c r="D875" s="9">
        <v>0</v>
      </c>
      <c r="E875" s="3" t="str">
        <f t="shared" si="43"/>
        <v>February</v>
      </c>
      <c r="F875" s="9">
        <v>20</v>
      </c>
      <c r="G875" s="3" t="b">
        <v>0</v>
      </c>
      <c r="H875" s="3" t="str">
        <f t="shared" si="45"/>
        <v>Tuesday</v>
      </c>
      <c r="I875" s="9">
        <v>2</v>
      </c>
      <c r="J875" s="3" t="str">
        <f t="shared" si="44"/>
        <v>Foggy</v>
      </c>
      <c r="K875" s="9">
        <v>0.16</v>
      </c>
      <c r="L875" s="9">
        <v>0.13639999999999999</v>
      </c>
      <c r="M875" s="9">
        <v>0.4</v>
      </c>
      <c r="N875" s="9">
        <v>0.32840000000000003</v>
      </c>
      <c r="O875" s="9">
        <v>3</v>
      </c>
      <c r="P875" s="9">
        <v>53</v>
      </c>
      <c r="Q875" s="9">
        <v>56</v>
      </c>
    </row>
    <row r="876" spans="1:17">
      <c r="A876" s="9">
        <v>875</v>
      </c>
      <c r="B876" s="10">
        <v>40582</v>
      </c>
      <c r="C876" s="9">
        <v>1</v>
      </c>
      <c r="D876" s="9">
        <v>0</v>
      </c>
      <c r="E876" s="3" t="str">
        <f t="shared" si="43"/>
        <v>February</v>
      </c>
      <c r="F876" s="9">
        <v>21</v>
      </c>
      <c r="G876" s="3" t="b">
        <v>0</v>
      </c>
      <c r="H876" s="3" t="str">
        <f t="shared" si="45"/>
        <v>Tuesday</v>
      </c>
      <c r="I876" s="9">
        <v>2</v>
      </c>
      <c r="J876" s="3" t="str">
        <f t="shared" si="44"/>
        <v>Foggy</v>
      </c>
      <c r="K876" s="9">
        <v>0.14000000000000001</v>
      </c>
      <c r="L876" s="9">
        <v>0.1061</v>
      </c>
      <c r="M876" s="9">
        <v>0.33</v>
      </c>
      <c r="N876" s="9">
        <v>0.4627</v>
      </c>
      <c r="O876" s="9">
        <v>8</v>
      </c>
      <c r="P876" s="9">
        <v>46</v>
      </c>
      <c r="Q876" s="9">
        <v>54</v>
      </c>
    </row>
    <row r="877" spans="1:17">
      <c r="A877" s="9">
        <v>876</v>
      </c>
      <c r="B877" s="10">
        <v>40582</v>
      </c>
      <c r="C877" s="9">
        <v>1</v>
      </c>
      <c r="D877" s="9">
        <v>0</v>
      </c>
      <c r="E877" s="3" t="str">
        <f t="shared" si="43"/>
        <v>February</v>
      </c>
      <c r="F877" s="9">
        <v>22</v>
      </c>
      <c r="G877" s="3" t="b">
        <v>0</v>
      </c>
      <c r="H877" s="3" t="str">
        <f t="shared" si="45"/>
        <v>Tuesday</v>
      </c>
      <c r="I877" s="9">
        <v>2</v>
      </c>
      <c r="J877" s="3" t="str">
        <f t="shared" si="44"/>
        <v>Foggy</v>
      </c>
      <c r="K877" s="9">
        <v>0.12</v>
      </c>
      <c r="L877" s="9">
        <v>0.1061</v>
      </c>
      <c r="M877" s="9">
        <v>0.33</v>
      </c>
      <c r="N877" s="9">
        <v>0.35820000000000002</v>
      </c>
      <c r="O877" s="9">
        <v>0</v>
      </c>
      <c r="P877" s="9">
        <v>29</v>
      </c>
      <c r="Q877" s="9">
        <v>29</v>
      </c>
    </row>
    <row r="878" spans="1:17">
      <c r="A878" s="9">
        <v>877</v>
      </c>
      <c r="B878" s="10">
        <v>40582</v>
      </c>
      <c r="C878" s="9">
        <v>1</v>
      </c>
      <c r="D878" s="9">
        <v>0</v>
      </c>
      <c r="E878" s="3" t="str">
        <f t="shared" si="43"/>
        <v>February</v>
      </c>
      <c r="F878" s="9">
        <v>23</v>
      </c>
      <c r="G878" s="3" t="b">
        <v>0</v>
      </c>
      <c r="H878" s="3" t="str">
        <f t="shared" si="45"/>
        <v>Tuesday</v>
      </c>
      <c r="I878" s="9">
        <v>2</v>
      </c>
      <c r="J878" s="3" t="str">
        <f t="shared" si="44"/>
        <v>Foggy</v>
      </c>
      <c r="K878" s="9">
        <v>0.12</v>
      </c>
      <c r="L878" s="9">
        <v>0.1061</v>
      </c>
      <c r="M878" s="9">
        <v>0.33</v>
      </c>
      <c r="N878" s="9">
        <v>0.32840000000000003</v>
      </c>
      <c r="O878" s="9">
        <v>3</v>
      </c>
      <c r="P878" s="9">
        <v>9</v>
      </c>
      <c r="Q878" s="9">
        <v>12</v>
      </c>
    </row>
    <row r="879" spans="1:17">
      <c r="A879" s="9">
        <v>878</v>
      </c>
      <c r="B879" s="10">
        <v>40583</v>
      </c>
      <c r="C879" s="9">
        <v>1</v>
      </c>
      <c r="D879" s="9">
        <v>0</v>
      </c>
      <c r="E879" s="3" t="str">
        <f t="shared" si="43"/>
        <v>February</v>
      </c>
      <c r="F879" s="9">
        <v>0</v>
      </c>
      <c r="G879" s="3" t="b">
        <v>0</v>
      </c>
      <c r="H879" s="3" t="str">
        <f t="shared" si="45"/>
        <v>Wednesday</v>
      </c>
      <c r="I879" s="9">
        <v>3</v>
      </c>
      <c r="J879" s="3" t="str">
        <f t="shared" si="44"/>
        <v>Foggy</v>
      </c>
      <c r="K879" s="9">
        <v>0.1</v>
      </c>
      <c r="L879" s="9">
        <v>7.5800000000000006E-2</v>
      </c>
      <c r="M879" s="9">
        <v>0.36</v>
      </c>
      <c r="N879" s="9">
        <v>0.35820000000000002</v>
      </c>
      <c r="O879" s="9">
        <v>0</v>
      </c>
      <c r="P879" s="9">
        <v>17</v>
      </c>
      <c r="Q879" s="9">
        <v>17</v>
      </c>
    </row>
    <row r="880" spans="1:17">
      <c r="A880" s="9">
        <v>879</v>
      </c>
      <c r="B880" s="10">
        <v>40583</v>
      </c>
      <c r="C880" s="9">
        <v>1</v>
      </c>
      <c r="D880" s="9">
        <v>0</v>
      </c>
      <c r="E880" s="3" t="str">
        <f t="shared" si="43"/>
        <v>February</v>
      </c>
      <c r="F880" s="9">
        <v>1</v>
      </c>
      <c r="G880" s="3" t="b">
        <v>0</v>
      </c>
      <c r="H880" s="3" t="str">
        <f t="shared" si="45"/>
        <v>Wednesday</v>
      </c>
      <c r="I880" s="9">
        <v>3</v>
      </c>
      <c r="J880" s="3" t="str">
        <f t="shared" si="44"/>
        <v>Foggy</v>
      </c>
      <c r="K880" s="9">
        <v>0.1</v>
      </c>
      <c r="L880" s="9">
        <v>0.1061</v>
      </c>
      <c r="M880" s="9">
        <v>0.36</v>
      </c>
      <c r="N880" s="9">
        <v>0.22389999999999999</v>
      </c>
      <c r="O880" s="9">
        <v>0</v>
      </c>
      <c r="P880" s="9">
        <v>7</v>
      </c>
      <c r="Q880" s="9">
        <v>7</v>
      </c>
    </row>
    <row r="881" spans="1:17">
      <c r="A881" s="9">
        <v>880</v>
      </c>
      <c r="B881" s="10">
        <v>40583</v>
      </c>
      <c r="C881" s="9">
        <v>1</v>
      </c>
      <c r="D881" s="9">
        <v>0</v>
      </c>
      <c r="E881" s="3" t="str">
        <f t="shared" si="43"/>
        <v>February</v>
      </c>
      <c r="F881" s="9">
        <v>2</v>
      </c>
      <c r="G881" s="3" t="b">
        <v>0</v>
      </c>
      <c r="H881" s="3" t="str">
        <f t="shared" si="45"/>
        <v>Wednesday</v>
      </c>
      <c r="I881" s="9">
        <v>3</v>
      </c>
      <c r="J881" s="3" t="str">
        <f t="shared" si="44"/>
        <v>Foggy</v>
      </c>
      <c r="K881" s="9">
        <v>0.08</v>
      </c>
      <c r="L881" s="9">
        <v>7.5800000000000006E-2</v>
      </c>
      <c r="M881" s="9">
        <v>0.38</v>
      </c>
      <c r="N881" s="9">
        <v>0.28360000000000002</v>
      </c>
      <c r="O881" s="9">
        <v>1</v>
      </c>
      <c r="P881" s="9">
        <v>2</v>
      </c>
      <c r="Q881" s="9">
        <v>3</v>
      </c>
    </row>
    <row r="882" spans="1:17">
      <c r="A882" s="9">
        <v>881</v>
      </c>
      <c r="B882" s="10">
        <v>40583</v>
      </c>
      <c r="C882" s="9">
        <v>1</v>
      </c>
      <c r="D882" s="9">
        <v>0</v>
      </c>
      <c r="E882" s="3" t="str">
        <f t="shared" si="43"/>
        <v>February</v>
      </c>
      <c r="F882" s="9">
        <v>3</v>
      </c>
      <c r="G882" s="3" t="b">
        <v>0</v>
      </c>
      <c r="H882" s="3" t="str">
        <f t="shared" si="45"/>
        <v>Wednesday</v>
      </c>
      <c r="I882" s="9">
        <v>3</v>
      </c>
      <c r="J882" s="3" t="str">
        <f t="shared" si="44"/>
        <v>Foggy</v>
      </c>
      <c r="K882" s="9">
        <v>0.06</v>
      </c>
      <c r="L882" s="9">
        <v>7.5800000000000006E-2</v>
      </c>
      <c r="M882" s="9">
        <v>0.45</v>
      </c>
      <c r="N882" s="9">
        <v>0.1343</v>
      </c>
      <c r="O882" s="9">
        <v>0</v>
      </c>
      <c r="P882" s="9">
        <v>2</v>
      </c>
      <c r="Q882" s="9">
        <v>2</v>
      </c>
    </row>
    <row r="883" spans="1:17">
      <c r="A883" s="9">
        <v>882</v>
      </c>
      <c r="B883" s="10">
        <v>40583</v>
      </c>
      <c r="C883" s="9">
        <v>1</v>
      </c>
      <c r="D883" s="9">
        <v>0</v>
      </c>
      <c r="E883" s="3" t="str">
        <f t="shared" si="43"/>
        <v>February</v>
      </c>
      <c r="F883" s="9">
        <v>5</v>
      </c>
      <c r="G883" s="3" t="b">
        <v>0</v>
      </c>
      <c r="H883" s="3" t="str">
        <f t="shared" si="45"/>
        <v>Wednesday</v>
      </c>
      <c r="I883" s="9">
        <v>3</v>
      </c>
      <c r="J883" s="3" t="str">
        <f t="shared" si="44"/>
        <v>Foggy</v>
      </c>
      <c r="K883" s="9">
        <v>0.06</v>
      </c>
      <c r="L883" s="9">
        <v>0.1061</v>
      </c>
      <c r="M883" s="9">
        <v>0.45</v>
      </c>
      <c r="N883" s="9">
        <v>0.1045</v>
      </c>
      <c r="O883" s="9">
        <v>0</v>
      </c>
      <c r="P883" s="9">
        <v>7</v>
      </c>
      <c r="Q883" s="9">
        <v>7</v>
      </c>
    </row>
    <row r="884" spans="1:17">
      <c r="A884" s="9">
        <v>883</v>
      </c>
      <c r="B884" s="10">
        <v>40583</v>
      </c>
      <c r="C884" s="9">
        <v>1</v>
      </c>
      <c r="D884" s="9">
        <v>0</v>
      </c>
      <c r="E884" s="3" t="str">
        <f t="shared" si="43"/>
        <v>February</v>
      </c>
      <c r="F884" s="9">
        <v>6</v>
      </c>
      <c r="G884" s="3" t="b">
        <v>0</v>
      </c>
      <c r="H884" s="3" t="str">
        <f t="shared" si="45"/>
        <v>Wednesday</v>
      </c>
      <c r="I884" s="9">
        <v>3</v>
      </c>
      <c r="J884" s="3" t="str">
        <f t="shared" si="44"/>
        <v>Foggy</v>
      </c>
      <c r="K884" s="9">
        <v>0.06</v>
      </c>
      <c r="L884" s="9">
        <v>0.1515</v>
      </c>
      <c r="M884" s="9">
        <v>0.45</v>
      </c>
      <c r="N884" s="9">
        <v>0</v>
      </c>
      <c r="O884" s="9">
        <v>0</v>
      </c>
      <c r="P884" s="9">
        <v>43</v>
      </c>
      <c r="Q884" s="9">
        <v>43</v>
      </c>
    </row>
    <row r="885" spans="1:17">
      <c r="A885" s="9">
        <v>884</v>
      </c>
      <c r="B885" s="10">
        <v>40583</v>
      </c>
      <c r="C885" s="9">
        <v>1</v>
      </c>
      <c r="D885" s="9">
        <v>0</v>
      </c>
      <c r="E885" s="3" t="str">
        <f t="shared" si="43"/>
        <v>February</v>
      </c>
      <c r="F885" s="9">
        <v>7</v>
      </c>
      <c r="G885" s="3" t="b">
        <v>0</v>
      </c>
      <c r="H885" s="3" t="str">
        <f t="shared" si="45"/>
        <v>Wednesday</v>
      </c>
      <c r="I885" s="9">
        <v>3</v>
      </c>
      <c r="J885" s="3" t="str">
        <f t="shared" si="44"/>
        <v>Foggy</v>
      </c>
      <c r="K885" s="9">
        <v>0.06</v>
      </c>
      <c r="L885" s="9">
        <v>0.1061</v>
      </c>
      <c r="M885" s="9">
        <v>0.49</v>
      </c>
      <c r="N885" s="9">
        <v>0.1045</v>
      </c>
      <c r="O885" s="9">
        <v>4</v>
      </c>
      <c r="P885" s="9">
        <v>95</v>
      </c>
      <c r="Q885" s="9">
        <v>99</v>
      </c>
    </row>
    <row r="886" spans="1:17">
      <c r="A886" s="9">
        <v>885</v>
      </c>
      <c r="B886" s="10">
        <v>40583</v>
      </c>
      <c r="C886" s="9">
        <v>1</v>
      </c>
      <c r="D886" s="9">
        <v>0</v>
      </c>
      <c r="E886" s="3" t="str">
        <f t="shared" si="43"/>
        <v>February</v>
      </c>
      <c r="F886" s="9">
        <v>8</v>
      </c>
      <c r="G886" s="3" t="b">
        <v>0</v>
      </c>
      <c r="H886" s="3" t="str">
        <f t="shared" si="45"/>
        <v>Wednesday</v>
      </c>
      <c r="I886" s="9">
        <v>3</v>
      </c>
      <c r="J886" s="3" t="str">
        <f t="shared" si="44"/>
        <v>Foggy</v>
      </c>
      <c r="K886" s="9">
        <v>0.1</v>
      </c>
      <c r="L886" s="9">
        <v>0.13639999999999999</v>
      </c>
      <c r="M886" s="9">
        <v>0.42</v>
      </c>
      <c r="N886" s="9">
        <v>0</v>
      </c>
      <c r="O886" s="9">
        <v>1</v>
      </c>
      <c r="P886" s="9">
        <v>198</v>
      </c>
      <c r="Q886" s="9">
        <v>199</v>
      </c>
    </row>
    <row r="887" spans="1:17">
      <c r="A887" s="9">
        <v>886</v>
      </c>
      <c r="B887" s="10">
        <v>40583</v>
      </c>
      <c r="C887" s="9">
        <v>1</v>
      </c>
      <c r="D887" s="9">
        <v>0</v>
      </c>
      <c r="E887" s="3" t="str">
        <f t="shared" si="43"/>
        <v>February</v>
      </c>
      <c r="F887" s="9">
        <v>9</v>
      </c>
      <c r="G887" s="3" t="b">
        <v>0</v>
      </c>
      <c r="H887" s="3" t="str">
        <f t="shared" si="45"/>
        <v>Wednesday</v>
      </c>
      <c r="I887" s="9">
        <v>3</v>
      </c>
      <c r="J887" s="3" t="str">
        <f t="shared" si="44"/>
        <v>Foggy</v>
      </c>
      <c r="K887" s="9">
        <v>0.12</v>
      </c>
      <c r="L887" s="9">
        <v>0.13639999999999999</v>
      </c>
      <c r="M887" s="9">
        <v>0.39</v>
      </c>
      <c r="N887" s="9">
        <v>0.16420000000000001</v>
      </c>
      <c r="O887" s="9">
        <v>4</v>
      </c>
      <c r="P887" s="9">
        <v>119</v>
      </c>
      <c r="Q887" s="9">
        <v>123</v>
      </c>
    </row>
    <row r="888" spans="1:17">
      <c r="A888" s="9">
        <v>887</v>
      </c>
      <c r="B888" s="10">
        <v>40583</v>
      </c>
      <c r="C888" s="9">
        <v>1</v>
      </c>
      <c r="D888" s="9">
        <v>0</v>
      </c>
      <c r="E888" s="3" t="str">
        <f t="shared" si="43"/>
        <v>February</v>
      </c>
      <c r="F888" s="9">
        <v>10</v>
      </c>
      <c r="G888" s="3" t="b">
        <v>0</v>
      </c>
      <c r="H888" s="3" t="str">
        <f t="shared" si="45"/>
        <v>Wednesday</v>
      </c>
      <c r="I888" s="9">
        <v>3</v>
      </c>
      <c r="J888" s="3" t="str">
        <f t="shared" si="44"/>
        <v>Foggy</v>
      </c>
      <c r="K888" s="9">
        <v>0.14000000000000001</v>
      </c>
      <c r="L888" s="9">
        <v>0.18179999999999999</v>
      </c>
      <c r="M888" s="9">
        <v>0.36</v>
      </c>
      <c r="N888" s="9">
        <v>0</v>
      </c>
      <c r="O888" s="9">
        <v>8</v>
      </c>
      <c r="P888" s="9">
        <v>51</v>
      </c>
      <c r="Q888" s="9">
        <v>59</v>
      </c>
    </row>
    <row r="889" spans="1:17">
      <c r="A889" s="9">
        <v>888</v>
      </c>
      <c r="B889" s="10">
        <v>40583</v>
      </c>
      <c r="C889" s="9">
        <v>1</v>
      </c>
      <c r="D889" s="9">
        <v>0</v>
      </c>
      <c r="E889" s="3" t="str">
        <f t="shared" si="43"/>
        <v>February</v>
      </c>
      <c r="F889" s="9">
        <v>11</v>
      </c>
      <c r="G889" s="3" t="b">
        <v>0</v>
      </c>
      <c r="H889" s="3" t="str">
        <f t="shared" si="45"/>
        <v>Wednesday</v>
      </c>
      <c r="I889" s="9">
        <v>3</v>
      </c>
      <c r="J889" s="3" t="str">
        <f t="shared" si="44"/>
        <v>Foggy</v>
      </c>
      <c r="K889" s="9">
        <v>0.14000000000000001</v>
      </c>
      <c r="L889" s="9">
        <v>0.1515</v>
      </c>
      <c r="M889" s="9">
        <v>0.43</v>
      </c>
      <c r="N889" s="9">
        <v>0.16420000000000001</v>
      </c>
      <c r="O889" s="9">
        <v>1</v>
      </c>
      <c r="P889" s="9">
        <v>40</v>
      </c>
      <c r="Q889" s="9">
        <v>41</v>
      </c>
    </row>
    <row r="890" spans="1:17">
      <c r="A890" s="9">
        <v>889</v>
      </c>
      <c r="B890" s="10">
        <v>40583</v>
      </c>
      <c r="C890" s="9">
        <v>1</v>
      </c>
      <c r="D890" s="9">
        <v>0</v>
      </c>
      <c r="E890" s="3" t="str">
        <f t="shared" si="43"/>
        <v>February</v>
      </c>
      <c r="F890" s="9">
        <v>12</v>
      </c>
      <c r="G890" s="3" t="b">
        <v>0</v>
      </c>
      <c r="H890" s="3" t="str">
        <f t="shared" si="45"/>
        <v>Wednesday</v>
      </c>
      <c r="I890" s="9">
        <v>3</v>
      </c>
      <c r="J890" s="3" t="str">
        <f t="shared" si="44"/>
        <v>Foggy</v>
      </c>
      <c r="K890" s="9">
        <v>0.18</v>
      </c>
      <c r="L890" s="9">
        <v>0.18179999999999999</v>
      </c>
      <c r="M890" s="9">
        <v>0.4</v>
      </c>
      <c r="N890" s="9">
        <v>0.22389999999999999</v>
      </c>
      <c r="O890" s="9">
        <v>4</v>
      </c>
      <c r="P890" s="9">
        <v>57</v>
      </c>
      <c r="Q890" s="9">
        <v>61</v>
      </c>
    </row>
    <row r="891" spans="1:17">
      <c r="A891" s="9">
        <v>890</v>
      </c>
      <c r="B891" s="10">
        <v>40583</v>
      </c>
      <c r="C891" s="9">
        <v>1</v>
      </c>
      <c r="D891" s="9">
        <v>0</v>
      </c>
      <c r="E891" s="3" t="str">
        <f t="shared" si="43"/>
        <v>February</v>
      </c>
      <c r="F891" s="9">
        <v>13</v>
      </c>
      <c r="G891" s="3" t="b">
        <v>0</v>
      </c>
      <c r="H891" s="3" t="str">
        <f t="shared" si="45"/>
        <v>Wednesday</v>
      </c>
      <c r="I891" s="9">
        <v>3</v>
      </c>
      <c r="J891" s="3" t="str">
        <f t="shared" si="44"/>
        <v>Foggy</v>
      </c>
      <c r="K891" s="9">
        <v>0.18</v>
      </c>
      <c r="L891" s="9">
        <v>0.16669999999999999</v>
      </c>
      <c r="M891" s="9">
        <v>0.4</v>
      </c>
      <c r="N891" s="9">
        <v>0.25369999999999998</v>
      </c>
      <c r="O891" s="9">
        <v>2</v>
      </c>
      <c r="P891" s="9">
        <v>67</v>
      </c>
      <c r="Q891" s="9">
        <v>69</v>
      </c>
    </row>
    <row r="892" spans="1:17">
      <c r="A892" s="9">
        <v>891</v>
      </c>
      <c r="B892" s="10">
        <v>40583</v>
      </c>
      <c r="C892" s="9">
        <v>1</v>
      </c>
      <c r="D892" s="9">
        <v>0</v>
      </c>
      <c r="E892" s="3" t="str">
        <f t="shared" si="43"/>
        <v>February</v>
      </c>
      <c r="F892" s="9">
        <v>14</v>
      </c>
      <c r="G892" s="3" t="b">
        <v>0</v>
      </c>
      <c r="H892" s="3" t="str">
        <f t="shared" si="45"/>
        <v>Wednesday</v>
      </c>
      <c r="I892" s="9">
        <v>3</v>
      </c>
      <c r="J892" s="3" t="str">
        <f t="shared" si="44"/>
        <v>Foggy</v>
      </c>
      <c r="K892" s="9">
        <v>0.2</v>
      </c>
      <c r="L892" s="9">
        <v>0.18179999999999999</v>
      </c>
      <c r="M892" s="9">
        <v>0.34</v>
      </c>
      <c r="N892" s="9">
        <v>0.29849999999999999</v>
      </c>
      <c r="O892" s="9">
        <v>2</v>
      </c>
      <c r="P892" s="9">
        <v>56</v>
      </c>
      <c r="Q892" s="9">
        <v>58</v>
      </c>
    </row>
    <row r="893" spans="1:17">
      <c r="A893" s="9">
        <v>892</v>
      </c>
      <c r="B893" s="10">
        <v>40583</v>
      </c>
      <c r="C893" s="9">
        <v>1</v>
      </c>
      <c r="D893" s="9">
        <v>0</v>
      </c>
      <c r="E893" s="3" t="str">
        <f t="shared" si="43"/>
        <v>February</v>
      </c>
      <c r="F893" s="9">
        <v>15</v>
      </c>
      <c r="G893" s="3" t="b">
        <v>0</v>
      </c>
      <c r="H893" s="3" t="str">
        <f t="shared" si="45"/>
        <v>Wednesday</v>
      </c>
      <c r="I893" s="9">
        <v>3</v>
      </c>
      <c r="J893" s="3" t="str">
        <f t="shared" si="44"/>
        <v>Foggy</v>
      </c>
      <c r="K893" s="9">
        <v>0.2</v>
      </c>
      <c r="L893" s="9">
        <v>0.18179999999999999</v>
      </c>
      <c r="M893" s="9">
        <v>0.34</v>
      </c>
      <c r="N893" s="9">
        <v>0.28360000000000002</v>
      </c>
      <c r="O893" s="9">
        <v>3</v>
      </c>
      <c r="P893" s="9">
        <v>61</v>
      </c>
      <c r="Q893" s="9">
        <v>64</v>
      </c>
    </row>
    <row r="894" spans="1:17">
      <c r="A894" s="9">
        <v>893</v>
      </c>
      <c r="B894" s="10">
        <v>40583</v>
      </c>
      <c r="C894" s="9">
        <v>1</v>
      </c>
      <c r="D894" s="9">
        <v>0</v>
      </c>
      <c r="E894" s="3" t="str">
        <f t="shared" si="43"/>
        <v>February</v>
      </c>
      <c r="F894" s="9">
        <v>16</v>
      </c>
      <c r="G894" s="3" t="b">
        <v>0</v>
      </c>
      <c r="H894" s="3" t="str">
        <f t="shared" si="45"/>
        <v>Wednesday</v>
      </c>
      <c r="I894" s="9">
        <v>3</v>
      </c>
      <c r="J894" s="3" t="str">
        <f t="shared" si="44"/>
        <v>Foggy</v>
      </c>
      <c r="K894" s="9">
        <v>0.2</v>
      </c>
      <c r="L894" s="9">
        <v>0.19700000000000001</v>
      </c>
      <c r="M894" s="9">
        <v>0.37</v>
      </c>
      <c r="N894" s="9">
        <v>0.25369999999999998</v>
      </c>
      <c r="O894" s="9">
        <v>7</v>
      </c>
      <c r="P894" s="9">
        <v>72</v>
      </c>
      <c r="Q894" s="9">
        <v>79</v>
      </c>
    </row>
    <row r="895" spans="1:17">
      <c r="A895" s="9">
        <v>894</v>
      </c>
      <c r="B895" s="10">
        <v>40583</v>
      </c>
      <c r="C895" s="9">
        <v>1</v>
      </c>
      <c r="D895" s="9">
        <v>0</v>
      </c>
      <c r="E895" s="3" t="str">
        <f t="shared" si="43"/>
        <v>February</v>
      </c>
      <c r="F895" s="9">
        <v>17</v>
      </c>
      <c r="G895" s="3" t="b">
        <v>0</v>
      </c>
      <c r="H895" s="3" t="str">
        <f t="shared" si="45"/>
        <v>Wednesday</v>
      </c>
      <c r="I895" s="9">
        <v>3</v>
      </c>
      <c r="J895" s="3" t="str">
        <f t="shared" si="44"/>
        <v>Foggy</v>
      </c>
      <c r="K895" s="9">
        <v>0.2</v>
      </c>
      <c r="L895" s="9">
        <v>0.19700000000000001</v>
      </c>
      <c r="M895" s="9">
        <v>0.34</v>
      </c>
      <c r="N895" s="9">
        <v>0.25369999999999998</v>
      </c>
      <c r="O895" s="9">
        <v>9</v>
      </c>
      <c r="P895" s="9">
        <v>157</v>
      </c>
      <c r="Q895" s="9">
        <v>166</v>
      </c>
    </row>
    <row r="896" spans="1:17">
      <c r="A896" s="9">
        <v>895</v>
      </c>
      <c r="B896" s="10">
        <v>40583</v>
      </c>
      <c r="C896" s="9">
        <v>1</v>
      </c>
      <c r="D896" s="9">
        <v>0</v>
      </c>
      <c r="E896" s="3" t="str">
        <f t="shared" si="43"/>
        <v>February</v>
      </c>
      <c r="F896" s="9">
        <v>18</v>
      </c>
      <c r="G896" s="3" t="b">
        <v>0</v>
      </c>
      <c r="H896" s="3" t="str">
        <f t="shared" si="45"/>
        <v>Wednesday</v>
      </c>
      <c r="I896" s="9">
        <v>3</v>
      </c>
      <c r="J896" s="3" t="str">
        <f t="shared" si="44"/>
        <v>Foggy</v>
      </c>
      <c r="K896" s="9">
        <v>0.18</v>
      </c>
      <c r="L896" s="9">
        <v>0.16669999999999999</v>
      </c>
      <c r="M896" s="9">
        <v>0.47</v>
      </c>
      <c r="N896" s="9">
        <v>0.29849999999999999</v>
      </c>
      <c r="O896" s="9">
        <v>2</v>
      </c>
      <c r="P896" s="9">
        <v>168</v>
      </c>
      <c r="Q896" s="9">
        <v>170</v>
      </c>
    </row>
    <row r="897" spans="1:17">
      <c r="A897" s="9">
        <v>896</v>
      </c>
      <c r="B897" s="10">
        <v>40583</v>
      </c>
      <c r="C897" s="9">
        <v>1</v>
      </c>
      <c r="D897" s="9">
        <v>0</v>
      </c>
      <c r="E897" s="3" t="str">
        <f t="shared" si="43"/>
        <v>February</v>
      </c>
      <c r="F897" s="9">
        <v>19</v>
      </c>
      <c r="G897" s="3" t="b">
        <v>0</v>
      </c>
      <c r="H897" s="3" t="str">
        <f t="shared" si="45"/>
        <v>Wednesday</v>
      </c>
      <c r="I897" s="9">
        <v>3</v>
      </c>
      <c r="J897" s="3" t="str">
        <f t="shared" si="44"/>
        <v>Foggy</v>
      </c>
      <c r="K897" s="9">
        <v>0.14000000000000001</v>
      </c>
      <c r="L897" s="9">
        <v>0.1212</v>
      </c>
      <c r="M897" s="9">
        <v>0.86</v>
      </c>
      <c r="N897" s="9">
        <v>0.25369999999999998</v>
      </c>
      <c r="O897" s="9">
        <v>1</v>
      </c>
      <c r="P897" s="9">
        <v>87</v>
      </c>
      <c r="Q897" s="9">
        <v>88</v>
      </c>
    </row>
    <row r="898" spans="1:17">
      <c r="A898" s="9">
        <v>897</v>
      </c>
      <c r="B898" s="10">
        <v>40583</v>
      </c>
      <c r="C898" s="9">
        <v>1</v>
      </c>
      <c r="D898" s="9">
        <v>0</v>
      </c>
      <c r="E898" s="3" t="str">
        <f t="shared" si="43"/>
        <v>February</v>
      </c>
      <c r="F898" s="9">
        <v>20</v>
      </c>
      <c r="G898" s="3" t="b">
        <v>0</v>
      </c>
      <c r="H898" s="3" t="str">
        <f t="shared" si="45"/>
        <v>Wednesday</v>
      </c>
      <c r="I898" s="9">
        <v>3</v>
      </c>
      <c r="J898" s="3" t="str">
        <f t="shared" si="44"/>
        <v>Foggy</v>
      </c>
      <c r="K898" s="9">
        <v>0.14000000000000001</v>
      </c>
      <c r="L898" s="9">
        <v>0.1515</v>
      </c>
      <c r="M898" s="9">
        <v>0.86</v>
      </c>
      <c r="N898" s="9">
        <v>0.16420000000000001</v>
      </c>
      <c r="O898" s="9">
        <v>0</v>
      </c>
      <c r="P898" s="9">
        <v>84</v>
      </c>
      <c r="Q898" s="9">
        <v>84</v>
      </c>
    </row>
    <row r="899" spans="1:17">
      <c r="A899" s="9">
        <v>898</v>
      </c>
      <c r="B899" s="10">
        <v>40583</v>
      </c>
      <c r="C899" s="9">
        <v>1</v>
      </c>
      <c r="D899" s="9">
        <v>0</v>
      </c>
      <c r="E899" s="3" t="str">
        <f t="shared" ref="E899:E962" si="46">TEXT(B899,"MMMM")</f>
        <v>February</v>
      </c>
      <c r="F899" s="9">
        <v>21</v>
      </c>
      <c r="G899" s="3" t="b">
        <v>0</v>
      </c>
      <c r="H899" s="3" t="str">
        <f t="shared" si="45"/>
        <v>Wednesday</v>
      </c>
      <c r="I899" s="9">
        <v>3</v>
      </c>
      <c r="J899" s="3" t="str">
        <f t="shared" si="44"/>
        <v>Foggy</v>
      </c>
      <c r="K899" s="9">
        <v>0.14000000000000001</v>
      </c>
      <c r="L899" s="9">
        <v>0.1515</v>
      </c>
      <c r="M899" s="9">
        <v>0.86</v>
      </c>
      <c r="N899" s="9">
        <v>0.16420000000000001</v>
      </c>
      <c r="O899" s="9">
        <v>0</v>
      </c>
      <c r="P899" s="9">
        <v>83</v>
      </c>
      <c r="Q899" s="9">
        <v>83</v>
      </c>
    </row>
    <row r="900" spans="1:17">
      <c r="A900" s="9">
        <v>899</v>
      </c>
      <c r="B900" s="10">
        <v>40583</v>
      </c>
      <c r="C900" s="9">
        <v>1</v>
      </c>
      <c r="D900" s="9">
        <v>0</v>
      </c>
      <c r="E900" s="3" t="str">
        <f t="shared" si="46"/>
        <v>February</v>
      </c>
      <c r="F900" s="9">
        <v>22</v>
      </c>
      <c r="G900" s="3" t="b">
        <v>0</v>
      </c>
      <c r="H900" s="3" t="str">
        <f t="shared" si="45"/>
        <v>Wednesday</v>
      </c>
      <c r="I900" s="9">
        <v>3</v>
      </c>
      <c r="J900" s="3" t="str">
        <f t="shared" si="44"/>
        <v>Foggy</v>
      </c>
      <c r="K900" s="9">
        <v>0.16</v>
      </c>
      <c r="L900" s="9">
        <v>0.16669999999999999</v>
      </c>
      <c r="M900" s="9">
        <v>0.8</v>
      </c>
      <c r="N900" s="9">
        <v>0.16420000000000001</v>
      </c>
      <c r="O900" s="9">
        <v>4</v>
      </c>
      <c r="P900" s="9">
        <v>42</v>
      </c>
      <c r="Q900" s="9">
        <v>46</v>
      </c>
    </row>
    <row r="901" spans="1:17">
      <c r="A901" s="9">
        <v>900</v>
      </c>
      <c r="B901" s="10">
        <v>40583</v>
      </c>
      <c r="C901" s="9">
        <v>1</v>
      </c>
      <c r="D901" s="9">
        <v>0</v>
      </c>
      <c r="E901" s="3" t="str">
        <f t="shared" si="46"/>
        <v>February</v>
      </c>
      <c r="F901" s="9">
        <v>23</v>
      </c>
      <c r="G901" s="3" t="b">
        <v>0</v>
      </c>
      <c r="H901" s="3" t="str">
        <f t="shared" si="45"/>
        <v>Wednesday</v>
      </c>
      <c r="I901" s="9">
        <v>3</v>
      </c>
      <c r="J901" s="3" t="str">
        <f t="shared" si="44"/>
        <v>Foggy</v>
      </c>
      <c r="K901" s="9">
        <v>0.16</v>
      </c>
      <c r="L901" s="9">
        <v>0.1515</v>
      </c>
      <c r="M901" s="9">
        <v>0.8</v>
      </c>
      <c r="N901" s="9">
        <v>0.19400000000000001</v>
      </c>
      <c r="O901" s="9">
        <v>0</v>
      </c>
      <c r="P901" s="9">
        <v>37</v>
      </c>
      <c r="Q901" s="9">
        <v>37</v>
      </c>
    </row>
    <row r="902" spans="1:17">
      <c r="A902" s="9">
        <v>901</v>
      </c>
      <c r="B902" s="10">
        <v>40584</v>
      </c>
      <c r="C902" s="9">
        <v>1</v>
      </c>
      <c r="D902" s="9">
        <v>0</v>
      </c>
      <c r="E902" s="3" t="str">
        <f t="shared" si="46"/>
        <v>February</v>
      </c>
      <c r="F902" s="9">
        <v>0</v>
      </c>
      <c r="G902" s="3" t="b">
        <v>0</v>
      </c>
      <c r="H902" s="3" t="str">
        <f t="shared" si="45"/>
        <v>Thursday</v>
      </c>
      <c r="I902" s="9">
        <v>4</v>
      </c>
      <c r="J902" s="3" t="str">
        <f t="shared" si="44"/>
        <v>Foggy</v>
      </c>
      <c r="K902" s="9">
        <v>0.14000000000000001</v>
      </c>
      <c r="L902" s="9">
        <v>0.13639999999999999</v>
      </c>
      <c r="M902" s="9">
        <v>0.86</v>
      </c>
      <c r="N902" s="9">
        <v>0.19400000000000001</v>
      </c>
      <c r="O902" s="9">
        <v>0</v>
      </c>
      <c r="P902" s="9">
        <v>16</v>
      </c>
      <c r="Q902" s="9">
        <v>16</v>
      </c>
    </row>
    <row r="903" spans="1:17">
      <c r="A903" s="9">
        <v>902</v>
      </c>
      <c r="B903" s="10">
        <v>40584</v>
      </c>
      <c r="C903" s="9">
        <v>1</v>
      </c>
      <c r="D903" s="9">
        <v>0</v>
      </c>
      <c r="E903" s="3" t="str">
        <f t="shared" si="46"/>
        <v>February</v>
      </c>
      <c r="F903" s="9">
        <v>1</v>
      </c>
      <c r="G903" s="3" t="b">
        <v>0</v>
      </c>
      <c r="H903" s="3" t="str">
        <f t="shared" si="45"/>
        <v>Thursday</v>
      </c>
      <c r="I903" s="9">
        <v>4</v>
      </c>
      <c r="J903" s="3" t="str">
        <f t="shared" ref="J903:J966" si="47">IF($K903&lt;=0.24,"Foggy",IF($K903&gt;0.24,"Clear"))</f>
        <v>Foggy</v>
      </c>
      <c r="K903" s="9">
        <v>0.14000000000000001</v>
      </c>
      <c r="L903" s="9">
        <v>0.1515</v>
      </c>
      <c r="M903" s="9">
        <v>0.8</v>
      </c>
      <c r="N903" s="9">
        <v>0.1343</v>
      </c>
      <c r="O903" s="9">
        <v>0</v>
      </c>
      <c r="P903" s="9">
        <v>7</v>
      </c>
      <c r="Q903" s="9">
        <v>7</v>
      </c>
    </row>
    <row r="904" spans="1:17">
      <c r="A904" s="9">
        <v>903</v>
      </c>
      <c r="B904" s="10">
        <v>40584</v>
      </c>
      <c r="C904" s="9">
        <v>1</v>
      </c>
      <c r="D904" s="9">
        <v>0</v>
      </c>
      <c r="E904" s="3" t="str">
        <f t="shared" si="46"/>
        <v>February</v>
      </c>
      <c r="F904" s="9">
        <v>2</v>
      </c>
      <c r="G904" s="3" t="b">
        <v>0</v>
      </c>
      <c r="H904" s="3" t="str">
        <f t="shared" si="45"/>
        <v>Thursday</v>
      </c>
      <c r="I904" s="9">
        <v>4</v>
      </c>
      <c r="J904" s="3" t="str">
        <f t="shared" si="47"/>
        <v>Foggy</v>
      </c>
      <c r="K904" s="9">
        <v>0.14000000000000001</v>
      </c>
      <c r="L904" s="9">
        <v>0.1515</v>
      </c>
      <c r="M904" s="9">
        <v>0.8</v>
      </c>
      <c r="N904" s="9">
        <v>0.1343</v>
      </c>
      <c r="O904" s="9">
        <v>0</v>
      </c>
      <c r="P904" s="9">
        <v>3</v>
      </c>
      <c r="Q904" s="9">
        <v>3</v>
      </c>
    </row>
    <row r="905" spans="1:17">
      <c r="A905" s="9">
        <v>904</v>
      </c>
      <c r="B905" s="10">
        <v>40584</v>
      </c>
      <c r="C905" s="9">
        <v>1</v>
      </c>
      <c r="D905" s="9">
        <v>0</v>
      </c>
      <c r="E905" s="3" t="str">
        <f t="shared" si="46"/>
        <v>February</v>
      </c>
      <c r="F905" s="9">
        <v>4</v>
      </c>
      <c r="G905" s="3" t="b">
        <v>0</v>
      </c>
      <c r="H905" s="3" t="str">
        <f t="shared" ref="H905:H968" si="48">TEXT(B905,"dddd")</f>
        <v>Thursday</v>
      </c>
      <c r="I905" s="9">
        <v>4</v>
      </c>
      <c r="J905" s="3" t="str">
        <f t="shared" si="47"/>
        <v>Foggy</v>
      </c>
      <c r="K905" s="9">
        <v>0.14000000000000001</v>
      </c>
      <c r="L905" s="9">
        <v>0.13639999999999999</v>
      </c>
      <c r="M905" s="9">
        <v>0.59</v>
      </c>
      <c r="N905" s="9">
        <v>0.22389999999999999</v>
      </c>
      <c r="O905" s="9">
        <v>0</v>
      </c>
      <c r="P905" s="9">
        <v>1</v>
      </c>
      <c r="Q905" s="9">
        <v>1</v>
      </c>
    </row>
    <row r="906" spans="1:17">
      <c r="A906" s="9">
        <v>905</v>
      </c>
      <c r="B906" s="10">
        <v>40584</v>
      </c>
      <c r="C906" s="9">
        <v>1</v>
      </c>
      <c r="D906" s="9">
        <v>0</v>
      </c>
      <c r="E906" s="3" t="str">
        <f t="shared" si="46"/>
        <v>February</v>
      </c>
      <c r="F906" s="9">
        <v>5</v>
      </c>
      <c r="G906" s="3" t="b">
        <v>0</v>
      </c>
      <c r="H906" s="3" t="str">
        <f t="shared" si="48"/>
        <v>Thursday</v>
      </c>
      <c r="I906" s="9">
        <v>4</v>
      </c>
      <c r="J906" s="3" t="str">
        <f t="shared" si="47"/>
        <v>Foggy</v>
      </c>
      <c r="K906" s="9">
        <v>0.12</v>
      </c>
      <c r="L906" s="9">
        <v>0.1212</v>
      </c>
      <c r="M906" s="9">
        <v>0.5</v>
      </c>
      <c r="N906" s="9">
        <v>0.22389999999999999</v>
      </c>
      <c r="O906" s="9">
        <v>0</v>
      </c>
      <c r="P906" s="9">
        <v>6</v>
      </c>
      <c r="Q906" s="9">
        <v>6</v>
      </c>
    </row>
    <row r="907" spans="1:17">
      <c r="A907" s="9">
        <v>906</v>
      </c>
      <c r="B907" s="10">
        <v>40584</v>
      </c>
      <c r="C907" s="9">
        <v>1</v>
      </c>
      <c r="D907" s="9">
        <v>0</v>
      </c>
      <c r="E907" s="3" t="str">
        <f t="shared" si="46"/>
        <v>February</v>
      </c>
      <c r="F907" s="9">
        <v>6</v>
      </c>
      <c r="G907" s="3" t="b">
        <v>0</v>
      </c>
      <c r="H907" s="3" t="str">
        <f t="shared" si="48"/>
        <v>Thursday</v>
      </c>
      <c r="I907" s="9">
        <v>4</v>
      </c>
      <c r="J907" s="3" t="str">
        <f t="shared" si="47"/>
        <v>Foggy</v>
      </c>
      <c r="K907" s="9">
        <v>0.12</v>
      </c>
      <c r="L907" s="9">
        <v>0.1212</v>
      </c>
      <c r="M907" s="9">
        <v>0.54</v>
      </c>
      <c r="N907" s="9">
        <v>0.28360000000000002</v>
      </c>
      <c r="O907" s="9">
        <v>0</v>
      </c>
      <c r="P907" s="9">
        <v>26</v>
      </c>
      <c r="Q907" s="9">
        <v>26</v>
      </c>
    </row>
    <row r="908" spans="1:17">
      <c r="A908" s="9">
        <v>907</v>
      </c>
      <c r="B908" s="10">
        <v>40584</v>
      </c>
      <c r="C908" s="9">
        <v>1</v>
      </c>
      <c r="D908" s="9">
        <v>0</v>
      </c>
      <c r="E908" s="3" t="str">
        <f t="shared" si="46"/>
        <v>February</v>
      </c>
      <c r="F908" s="9">
        <v>7</v>
      </c>
      <c r="G908" s="3" t="b">
        <v>0</v>
      </c>
      <c r="H908" s="3" t="str">
        <f t="shared" si="48"/>
        <v>Thursday</v>
      </c>
      <c r="I908" s="9">
        <v>4</v>
      </c>
      <c r="J908" s="3" t="str">
        <f t="shared" si="47"/>
        <v>Foggy</v>
      </c>
      <c r="K908" s="9">
        <v>0.1</v>
      </c>
      <c r="L908" s="9">
        <v>7.5800000000000006E-2</v>
      </c>
      <c r="M908" s="9">
        <v>0.5</v>
      </c>
      <c r="N908" s="9">
        <v>0.41789999999999999</v>
      </c>
      <c r="O908" s="9">
        <v>0</v>
      </c>
      <c r="P908" s="9">
        <v>99</v>
      </c>
      <c r="Q908" s="9">
        <v>99</v>
      </c>
    </row>
    <row r="909" spans="1:17">
      <c r="A909" s="9">
        <v>908</v>
      </c>
      <c r="B909" s="10">
        <v>40584</v>
      </c>
      <c r="C909" s="9">
        <v>1</v>
      </c>
      <c r="D909" s="9">
        <v>0</v>
      </c>
      <c r="E909" s="3" t="str">
        <f t="shared" si="46"/>
        <v>February</v>
      </c>
      <c r="F909" s="9">
        <v>8</v>
      </c>
      <c r="G909" s="3" t="b">
        <v>0</v>
      </c>
      <c r="H909" s="3" t="str">
        <f t="shared" si="48"/>
        <v>Thursday</v>
      </c>
      <c r="I909" s="9">
        <v>4</v>
      </c>
      <c r="J909" s="3" t="str">
        <f t="shared" si="47"/>
        <v>Foggy</v>
      </c>
      <c r="K909" s="9">
        <v>0.1</v>
      </c>
      <c r="L909" s="9">
        <v>7.5800000000000006E-2</v>
      </c>
      <c r="M909" s="9">
        <v>0.49</v>
      </c>
      <c r="N909" s="9">
        <v>0.32840000000000003</v>
      </c>
      <c r="O909" s="9">
        <v>5</v>
      </c>
      <c r="P909" s="9">
        <v>173</v>
      </c>
      <c r="Q909" s="9">
        <v>178</v>
      </c>
    </row>
    <row r="910" spans="1:17">
      <c r="A910" s="9">
        <v>909</v>
      </c>
      <c r="B910" s="10">
        <v>40584</v>
      </c>
      <c r="C910" s="9">
        <v>1</v>
      </c>
      <c r="D910" s="9">
        <v>0</v>
      </c>
      <c r="E910" s="3" t="str">
        <f t="shared" si="46"/>
        <v>February</v>
      </c>
      <c r="F910" s="9">
        <v>9</v>
      </c>
      <c r="G910" s="3" t="b">
        <v>0</v>
      </c>
      <c r="H910" s="3" t="str">
        <f t="shared" si="48"/>
        <v>Thursday</v>
      </c>
      <c r="I910" s="9">
        <v>4</v>
      </c>
      <c r="J910" s="3" t="str">
        <f t="shared" si="47"/>
        <v>Foggy</v>
      </c>
      <c r="K910" s="9">
        <v>0.12</v>
      </c>
      <c r="L910" s="9">
        <v>0.1061</v>
      </c>
      <c r="M910" s="9">
        <v>0.42</v>
      </c>
      <c r="N910" s="9">
        <v>0.35820000000000002</v>
      </c>
      <c r="O910" s="9">
        <v>1</v>
      </c>
      <c r="P910" s="9">
        <v>121</v>
      </c>
      <c r="Q910" s="9">
        <v>122</v>
      </c>
    </row>
    <row r="911" spans="1:17">
      <c r="A911" s="9">
        <v>910</v>
      </c>
      <c r="B911" s="10">
        <v>40584</v>
      </c>
      <c r="C911" s="9">
        <v>1</v>
      </c>
      <c r="D911" s="9">
        <v>0</v>
      </c>
      <c r="E911" s="3" t="str">
        <f t="shared" si="46"/>
        <v>February</v>
      </c>
      <c r="F911" s="9">
        <v>10</v>
      </c>
      <c r="G911" s="3" t="b">
        <v>0</v>
      </c>
      <c r="H911" s="3" t="str">
        <f t="shared" si="48"/>
        <v>Thursday</v>
      </c>
      <c r="I911" s="9">
        <v>4</v>
      </c>
      <c r="J911" s="3" t="str">
        <f t="shared" si="47"/>
        <v>Foggy</v>
      </c>
      <c r="K911" s="9">
        <v>0.12</v>
      </c>
      <c r="L911" s="9">
        <v>0.1061</v>
      </c>
      <c r="M911" s="9">
        <v>0.42</v>
      </c>
      <c r="N911" s="9">
        <v>0.29849999999999999</v>
      </c>
      <c r="O911" s="9">
        <v>1</v>
      </c>
      <c r="P911" s="9">
        <v>34</v>
      </c>
      <c r="Q911" s="9">
        <v>35</v>
      </c>
    </row>
    <row r="912" spans="1:17">
      <c r="A912" s="9">
        <v>911</v>
      </c>
      <c r="B912" s="10">
        <v>40584</v>
      </c>
      <c r="C912" s="9">
        <v>1</v>
      </c>
      <c r="D912" s="9">
        <v>0</v>
      </c>
      <c r="E912" s="3" t="str">
        <f t="shared" si="46"/>
        <v>February</v>
      </c>
      <c r="F912" s="9">
        <v>11</v>
      </c>
      <c r="G912" s="3" t="b">
        <v>0</v>
      </c>
      <c r="H912" s="3" t="str">
        <f t="shared" si="48"/>
        <v>Thursday</v>
      </c>
      <c r="I912" s="9">
        <v>4</v>
      </c>
      <c r="J912" s="3" t="str">
        <f t="shared" si="47"/>
        <v>Foggy</v>
      </c>
      <c r="K912" s="9">
        <v>0.14000000000000001</v>
      </c>
      <c r="L912" s="9">
        <v>0.1212</v>
      </c>
      <c r="M912" s="9">
        <v>0.39</v>
      </c>
      <c r="N912" s="9">
        <v>0.35820000000000002</v>
      </c>
      <c r="O912" s="9">
        <v>1</v>
      </c>
      <c r="P912" s="9">
        <v>44</v>
      </c>
      <c r="Q912" s="9">
        <v>45</v>
      </c>
    </row>
    <row r="913" spans="1:17">
      <c r="A913" s="9">
        <v>912</v>
      </c>
      <c r="B913" s="10">
        <v>40584</v>
      </c>
      <c r="C913" s="9">
        <v>1</v>
      </c>
      <c r="D913" s="9">
        <v>0</v>
      </c>
      <c r="E913" s="3" t="str">
        <f t="shared" si="46"/>
        <v>February</v>
      </c>
      <c r="F913" s="9">
        <v>12</v>
      </c>
      <c r="G913" s="3" t="b">
        <v>0</v>
      </c>
      <c r="H913" s="3" t="str">
        <f t="shared" si="48"/>
        <v>Thursday</v>
      </c>
      <c r="I913" s="9">
        <v>4</v>
      </c>
      <c r="J913" s="3" t="str">
        <f t="shared" si="47"/>
        <v>Foggy</v>
      </c>
      <c r="K913" s="9">
        <v>0.16</v>
      </c>
      <c r="L913" s="9">
        <v>0.13639999999999999</v>
      </c>
      <c r="M913" s="9">
        <v>0.34</v>
      </c>
      <c r="N913" s="9">
        <v>0.3881</v>
      </c>
      <c r="O913" s="9">
        <v>4</v>
      </c>
      <c r="P913" s="9">
        <v>65</v>
      </c>
      <c r="Q913" s="9">
        <v>69</v>
      </c>
    </row>
    <row r="914" spans="1:17">
      <c r="A914" s="9">
        <v>913</v>
      </c>
      <c r="B914" s="10">
        <v>40584</v>
      </c>
      <c r="C914" s="9">
        <v>1</v>
      </c>
      <c r="D914" s="9">
        <v>0</v>
      </c>
      <c r="E914" s="3" t="str">
        <f t="shared" si="46"/>
        <v>February</v>
      </c>
      <c r="F914" s="9">
        <v>13</v>
      </c>
      <c r="G914" s="3" t="b">
        <v>0</v>
      </c>
      <c r="H914" s="3" t="str">
        <f t="shared" si="48"/>
        <v>Thursday</v>
      </c>
      <c r="I914" s="9">
        <v>4</v>
      </c>
      <c r="J914" s="3" t="str">
        <f t="shared" si="47"/>
        <v>Foggy</v>
      </c>
      <c r="K914" s="9">
        <v>0.18</v>
      </c>
      <c r="L914" s="9">
        <v>0.16669999999999999</v>
      </c>
      <c r="M914" s="9">
        <v>0.28999999999999998</v>
      </c>
      <c r="N914" s="9">
        <v>0.29849999999999999</v>
      </c>
      <c r="O914" s="9">
        <v>3</v>
      </c>
      <c r="P914" s="9">
        <v>59</v>
      </c>
      <c r="Q914" s="9">
        <v>62</v>
      </c>
    </row>
    <row r="915" spans="1:17">
      <c r="A915" s="9">
        <v>914</v>
      </c>
      <c r="B915" s="10">
        <v>40584</v>
      </c>
      <c r="C915" s="9">
        <v>1</v>
      </c>
      <c r="D915" s="9">
        <v>0</v>
      </c>
      <c r="E915" s="3" t="str">
        <f t="shared" si="46"/>
        <v>February</v>
      </c>
      <c r="F915" s="9">
        <v>14</v>
      </c>
      <c r="G915" s="3" t="b">
        <v>0</v>
      </c>
      <c r="H915" s="3" t="str">
        <f t="shared" si="48"/>
        <v>Thursday</v>
      </c>
      <c r="I915" s="9">
        <v>4</v>
      </c>
      <c r="J915" s="3" t="str">
        <f t="shared" si="47"/>
        <v>Foggy</v>
      </c>
      <c r="K915" s="9">
        <v>0.2</v>
      </c>
      <c r="L915" s="9">
        <v>0.18179999999999999</v>
      </c>
      <c r="M915" s="9">
        <v>0.27</v>
      </c>
      <c r="N915" s="9">
        <v>0.28360000000000002</v>
      </c>
      <c r="O915" s="9">
        <v>6</v>
      </c>
      <c r="P915" s="9">
        <v>42</v>
      </c>
      <c r="Q915" s="9">
        <v>48</v>
      </c>
    </row>
    <row r="916" spans="1:17">
      <c r="A916" s="9">
        <v>915</v>
      </c>
      <c r="B916" s="10">
        <v>40584</v>
      </c>
      <c r="C916" s="9">
        <v>1</v>
      </c>
      <c r="D916" s="9">
        <v>0</v>
      </c>
      <c r="E916" s="3" t="str">
        <f t="shared" si="46"/>
        <v>February</v>
      </c>
      <c r="F916" s="9">
        <v>15</v>
      </c>
      <c r="G916" s="3" t="b">
        <v>0</v>
      </c>
      <c r="H916" s="3" t="str">
        <f t="shared" si="48"/>
        <v>Thursday</v>
      </c>
      <c r="I916" s="9">
        <v>4</v>
      </c>
      <c r="J916" s="3" t="str">
        <f t="shared" si="47"/>
        <v>Foggy</v>
      </c>
      <c r="K916" s="9">
        <v>0.2</v>
      </c>
      <c r="L916" s="9">
        <v>0.19700000000000001</v>
      </c>
      <c r="M916" s="9">
        <v>0.25</v>
      </c>
      <c r="N916" s="9">
        <v>0.25369999999999998</v>
      </c>
      <c r="O916" s="9">
        <v>0</v>
      </c>
      <c r="P916" s="9">
        <v>50</v>
      </c>
      <c r="Q916" s="9">
        <v>50</v>
      </c>
    </row>
    <row r="917" spans="1:17">
      <c r="A917" s="9">
        <v>916</v>
      </c>
      <c r="B917" s="10">
        <v>40584</v>
      </c>
      <c r="C917" s="9">
        <v>1</v>
      </c>
      <c r="D917" s="9">
        <v>0</v>
      </c>
      <c r="E917" s="3" t="str">
        <f t="shared" si="46"/>
        <v>February</v>
      </c>
      <c r="F917" s="9">
        <v>16</v>
      </c>
      <c r="G917" s="3" t="b">
        <v>0</v>
      </c>
      <c r="H917" s="3" t="str">
        <f t="shared" si="48"/>
        <v>Thursday</v>
      </c>
      <c r="I917" s="9">
        <v>4</v>
      </c>
      <c r="J917" s="3" t="str">
        <f t="shared" si="47"/>
        <v>Foggy</v>
      </c>
      <c r="K917" s="9">
        <v>0.2</v>
      </c>
      <c r="L917" s="9">
        <v>0.18179999999999999</v>
      </c>
      <c r="M917" s="9">
        <v>0.27</v>
      </c>
      <c r="N917" s="9">
        <v>0.29849999999999999</v>
      </c>
      <c r="O917" s="9">
        <v>4</v>
      </c>
      <c r="P917" s="9">
        <v>76</v>
      </c>
      <c r="Q917" s="9">
        <v>80</v>
      </c>
    </row>
    <row r="918" spans="1:17">
      <c r="A918" s="9">
        <v>917</v>
      </c>
      <c r="B918" s="10">
        <v>40584</v>
      </c>
      <c r="C918" s="9">
        <v>1</v>
      </c>
      <c r="D918" s="9">
        <v>0</v>
      </c>
      <c r="E918" s="3" t="str">
        <f t="shared" si="46"/>
        <v>February</v>
      </c>
      <c r="F918" s="9">
        <v>17</v>
      </c>
      <c r="G918" s="3" t="b">
        <v>0</v>
      </c>
      <c r="H918" s="3" t="str">
        <f t="shared" si="48"/>
        <v>Thursday</v>
      </c>
      <c r="I918" s="9">
        <v>4</v>
      </c>
      <c r="J918" s="3" t="str">
        <f t="shared" si="47"/>
        <v>Foggy</v>
      </c>
      <c r="K918" s="9">
        <v>0.18</v>
      </c>
      <c r="L918" s="9">
        <v>0.18179999999999999</v>
      </c>
      <c r="M918" s="9">
        <v>0.26</v>
      </c>
      <c r="N918" s="9">
        <v>0.19400000000000001</v>
      </c>
      <c r="O918" s="9">
        <v>6</v>
      </c>
      <c r="P918" s="9">
        <v>159</v>
      </c>
      <c r="Q918" s="9">
        <v>165</v>
      </c>
    </row>
    <row r="919" spans="1:17">
      <c r="A919" s="9">
        <v>918</v>
      </c>
      <c r="B919" s="10">
        <v>40584</v>
      </c>
      <c r="C919" s="9">
        <v>1</v>
      </c>
      <c r="D919" s="9">
        <v>0</v>
      </c>
      <c r="E919" s="3" t="str">
        <f t="shared" si="46"/>
        <v>February</v>
      </c>
      <c r="F919" s="9">
        <v>18</v>
      </c>
      <c r="G919" s="3" t="b">
        <v>0</v>
      </c>
      <c r="H919" s="3" t="str">
        <f t="shared" si="48"/>
        <v>Thursday</v>
      </c>
      <c r="I919" s="9">
        <v>4</v>
      </c>
      <c r="J919" s="3" t="str">
        <f t="shared" si="47"/>
        <v>Foggy</v>
      </c>
      <c r="K919" s="9">
        <v>0.16</v>
      </c>
      <c r="L919" s="9">
        <v>0.18179999999999999</v>
      </c>
      <c r="M919" s="9">
        <v>0.28000000000000003</v>
      </c>
      <c r="N919" s="9">
        <v>0.1343</v>
      </c>
      <c r="O919" s="9">
        <v>3</v>
      </c>
      <c r="P919" s="9">
        <v>157</v>
      </c>
      <c r="Q919" s="9">
        <v>160</v>
      </c>
    </row>
    <row r="920" spans="1:17">
      <c r="A920" s="9">
        <v>919</v>
      </c>
      <c r="B920" s="10">
        <v>40584</v>
      </c>
      <c r="C920" s="9">
        <v>1</v>
      </c>
      <c r="D920" s="9">
        <v>0</v>
      </c>
      <c r="E920" s="3" t="str">
        <f t="shared" si="46"/>
        <v>February</v>
      </c>
      <c r="F920" s="9">
        <v>19</v>
      </c>
      <c r="G920" s="3" t="b">
        <v>0</v>
      </c>
      <c r="H920" s="3" t="str">
        <f t="shared" si="48"/>
        <v>Thursday</v>
      </c>
      <c r="I920" s="9">
        <v>4</v>
      </c>
      <c r="J920" s="3" t="str">
        <f t="shared" si="47"/>
        <v>Foggy</v>
      </c>
      <c r="K920" s="9">
        <v>0.14000000000000001</v>
      </c>
      <c r="L920" s="9">
        <v>0.16669999999999999</v>
      </c>
      <c r="M920" s="9">
        <v>0.28000000000000003</v>
      </c>
      <c r="N920" s="9">
        <v>0.1045</v>
      </c>
      <c r="O920" s="9">
        <v>2</v>
      </c>
      <c r="P920" s="9">
        <v>110</v>
      </c>
      <c r="Q920" s="9">
        <v>112</v>
      </c>
    </row>
    <row r="921" spans="1:17">
      <c r="A921" s="9">
        <v>920</v>
      </c>
      <c r="B921" s="10">
        <v>40584</v>
      </c>
      <c r="C921" s="9">
        <v>1</v>
      </c>
      <c r="D921" s="9">
        <v>0</v>
      </c>
      <c r="E921" s="3" t="str">
        <f t="shared" si="46"/>
        <v>February</v>
      </c>
      <c r="F921" s="9">
        <v>20</v>
      </c>
      <c r="G921" s="3" t="b">
        <v>0</v>
      </c>
      <c r="H921" s="3" t="str">
        <f t="shared" si="48"/>
        <v>Thursday</v>
      </c>
      <c r="I921" s="9">
        <v>4</v>
      </c>
      <c r="J921" s="3" t="str">
        <f t="shared" si="47"/>
        <v>Foggy</v>
      </c>
      <c r="K921" s="9">
        <v>0.14000000000000001</v>
      </c>
      <c r="L921" s="9">
        <v>0.18179999999999999</v>
      </c>
      <c r="M921" s="9">
        <v>0.31</v>
      </c>
      <c r="N921" s="9">
        <v>8.9599999999999999E-2</v>
      </c>
      <c r="O921" s="9">
        <v>4</v>
      </c>
      <c r="P921" s="9">
        <v>93</v>
      </c>
      <c r="Q921" s="9">
        <v>97</v>
      </c>
    </row>
    <row r="922" spans="1:17">
      <c r="A922" s="9">
        <v>921</v>
      </c>
      <c r="B922" s="10">
        <v>40584</v>
      </c>
      <c r="C922" s="9">
        <v>1</v>
      </c>
      <c r="D922" s="9">
        <v>0</v>
      </c>
      <c r="E922" s="3" t="str">
        <f t="shared" si="46"/>
        <v>February</v>
      </c>
      <c r="F922" s="9">
        <v>21</v>
      </c>
      <c r="G922" s="3" t="b">
        <v>0</v>
      </c>
      <c r="H922" s="3" t="str">
        <f t="shared" si="48"/>
        <v>Thursday</v>
      </c>
      <c r="I922" s="9">
        <v>4</v>
      </c>
      <c r="J922" s="3" t="str">
        <f t="shared" si="47"/>
        <v>Foggy</v>
      </c>
      <c r="K922" s="9">
        <v>0.14000000000000001</v>
      </c>
      <c r="L922" s="9">
        <v>0.21210000000000001</v>
      </c>
      <c r="M922" s="9">
        <v>0.39</v>
      </c>
      <c r="N922" s="9">
        <v>0</v>
      </c>
      <c r="O922" s="9">
        <v>2</v>
      </c>
      <c r="P922" s="9">
        <v>70</v>
      </c>
      <c r="Q922" s="9">
        <v>72</v>
      </c>
    </row>
    <row r="923" spans="1:17">
      <c r="A923" s="9">
        <v>922</v>
      </c>
      <c r="B923" s="10">
        <v>40584</v>
      </c>
      <c r="C923" s="9">
        <v>1</v>
      </c>
      <c r="D923" s="9">
        <v>0</v>
      </c>
      <c r="E923" s="3" t="str">
        <f t="shared" si="46"/>
        <v>February</v>
      </c>
      <c r="F923" s="9">
        <v>22</v>
      </c>
      <c r="G923" s="3" t="b">
        <v>0</v>
      </c>
      <c r="H923" s="3" t="str">
        <f t="shared" si="48"/>
        <v>Thursday</v>
      </c>
      <c r="I923" s="9">
        <v>4</v>
      </c>
      <c r="J923" s="3" t="str">
        <f t="shared" si="47"/>
        <v>Foggy</v>
      </c>
      <c r="K923" s="9">
        <v>0.12</v>
      </c>
      <c r="L923" s="9">
        <v>0.19700000000000001</v>
      </c>
      <c r="M923" s="9">
        <v>0.39</v>
      </c>
      <c r="N923" s="9">
        <v>0</v>
      </c>
      <c r="O923" s="9">
        <v>4</v>
      </c>
      <c r="P923" s="9">
        <v>47</v>
      </c>
      <c r="Q923" s="9">
        <v>51</v>
      </c>
    </row>
    <row r="924" spans="1:17">
      <c r="A924" s="9">
        <v>923</v>
      </c>
      <c r="B924" s="10">
        <v>40584</v>
      </c>
      <c r="C924" s="9">
        <v>1</v>
      </c>
      <c r="D924" s="9">
        <v>0</v>
      </c>
      <c r="E924" s="3" t="str">
        <f t="shared" si="46"/>
        <v>February</v>
      </c>
      <c r="F924" s="9">
        <v>23</v>
      </c>
      <c r="G924" s="3" t="b">
        <v>0</v>
      </c>
      <c r="H924" s="3" t="str">
        <f t="shared" si="48"/>
        <v>Thursday</v>
      </c>
      <c r="I924" s="9">
        <v>4</v>
      </c>
      <c r="J924" s="3" t="str">
        <f t="shared" si="47"/>
        <v>Foggy</v>
      </c>
      <c r="K924" s="9">
        <v>0.12</v>
      </c>
      <c r="L924" s="9">
        <v>0.1515</v>
      </c>
      <c r="M924" s="9">
        <v>0.42</v>
      </c>
      <c r="N924" s="9">
        <v>0.1045</v>
      </c>
      <c r="O924" s="9">
        <v>1</v>
      </c>
      <c r="P924" s="9">
        <v>33</v>
      </c>
      <c r="Q924" s="9">
        <v>34</v>
      </c>
    </row>
    <row r="925" spans="1:17">
      <c r="A925" s="9">
        <v>924</v>
      </c>
      <c r="B925" s="10">
        <v>40585</v>
      </c>
      <c r="C925" s="9">
        <v>1</v>
      </c>
      <c r="D925" s="9">
        <v>0</v>
      </c>
      <c r="E925" s="3" t="str">
        <f t="shared" si="46"/>
        <v>February</v>
      </c>
      <c r="F925" s="9">
        <v>0</v>
      </c>
      <c r="G925" s="3" t="b">
        <v>0</v>
      </c>
      <c r="H925" s="3" t="str">
        <f t="shared" si="48"/>
        <v>Friday</v>
      </c>
      <c r="I925" s="9">
        <v>5</v>
      </c>
      <c r="J925" s="3" t="str">
        <f t="shared" si="47"/>
        <v>Foggy</v>
      </c>
      <c r="K925" s="9">
        <v>0.1</v>
      </c>
      <c r="L925" s="9">
        <v>0.13639999999999999</v>
      </c>
      <c r="M925" s="9">
        <v>0.49</v>
      </c>
      <c r="N925" s="9">
        <v>0.1045</v>
      </c>
      <c r="O925" s="9">
        <v>2</v>
      </c>
      <c r="P925" s="9">
        <v>12</v>
      </c>
      <c r="Q925" s="9">
        <v>14</v>
      </c>
    </row>
    <row r="926" spans="1:17">
      <c r="A926" s="9">
        <v>925</v>
      </c>
      <c r="B926" s="10">
        <v>40585</v>
      </c>
      <c r="C926" s="9">
        <v>1</v>
      </c>
      <c r="D926" s="9">
        <v>0</v>
      </c>
      <c r="E926" s="3" t="str">
        <f t="shared" si="46"/>
        <v>February</v>
      </c>
      <c r="F926" s="9">
        <v>1</v>
      </c>
      <c r="G926" s="3" t="b">
        <v>0</v>
      </c>
      <c r="H926" s="3" t="str">
        <f t="shared" si="48"/>
        <v>Friday</v>
      </c>
      <c r="I926" s="9">
        <v>5</v>
      </c>
      <c r="J926" s="3" t="str">
        <f t="shared" si="47"/>
        <v>Foggy</v>
      </c>
      <c r="K926" s="9">
        <v>0.1</v>
      </c>
      <c r="L926" s="9">
        <v>0.13639999999999999</v>
      </c>
      <c r="M926" s="9">
        <v>0.54</v>
      </c>
      <c r="N926" s="9">
        <v>8.9599999999999999E-2</v>
      </c>
      <c r="O926" s="9">
        <v>1</v>
      </c>
      <c r="P926" s="9">
        <v>6</v>
      </c>
      <c r="Q926" s="9">
        <v>7</v>
      </c>
    </row>
    <row r="927" spans="1:17">
      <c r="A927" s="9">
        <v>926</v>
      </c>
      <c r="B927" s="10">
        <v>40585</v>
      </c>
      <c r="C927" s="9">
        <v>1</v>
      </c>
      <c r="D927" s="9">
        <v>0</v>
      </c>
      <c r="E927" s="3" t="str">
        <f t="shared" si="46"/>
        <v>February</v>
      </c>
      <c r="F927" s="9">
        <v>2</v>
      </c>
      <c r="G927" s="3" t="b">
        <v>0</v>
      </c>
      <c r="H927" s="3" t="str">
        <f t="shared" si="48"/>
        <v>Friday</v>
      </c>
      <c r="I927" s="9">
        <v>5</v>
      </c>
      <c r="J927" s="3" t="str">
        <f t="shared" si="47"/>
        <v>Foggy</v>
      </c>
      <c r="K927" s="9">
        <v>0.1</v>
      </c>
      <c r="L927" s="9">
        <v>0.13639999999999999</v>
      </c>
      <c r="M927" s="9">
        <v>0.54</v>
      </c>
      <c r="N927" s="9">
        <v>8.9599999999999999E-2</v>
      </c>
      <c r="O927" s="9">
        <v>0</v>
      </c>
      <c r="P927" s="9">
        <v>3</v>
      </c>
      <c r="Q927" s="9">
        <v>3</v>
      </c>
    </row>
    <row r="928" spans="1:17">
      <c r="A928" s="9">
        <v>927</v>
      </c>
      <c r="B928" s="10">
        <v>40585</v>
      </c>
      <c r="C928" s="9">
        <v>1</v>
      </c>
      <c r="D928" s="9">
        <v>0</v>
      </c>
      <c r="E928" s="3" t="str">
        <f t="shared" si="46"/>
        <v>February</v>
      </c>
      <c r="F928" s="9">
        <v>5</v>
      </c>
      <c r="G928" s="3" t="b">
        <v>0</v>
      </c>
      <c r="H928" s="3" t="str">
        <f t="shared" si="48"/>
        <v>Friday</v>
      </c>
      <c r="I928" s="9">
        <v>5</v>
      </c>
      <c r="J928" s="3" t="str">
        <f t="shared" si="47"/>
        <v>Foggy</v>
      </c>
      <c r="K928" s="9">
        <v>0.08</v>
      </c>
      <c r="L928" s="9">
        <v>0.1212</v>
      </c>
      <c r="M928" s="9">
        <v>0.63</v>
      </c>
      <c r="N928" s="9">
        <v>8.9599999999999999E-2</v>
      </c>
      <c r="O928" s="9">
        <v>0</v>
      </c>
      <c r="P928" s="9">
        <v>4</v>
      </c>
      <c r="Q928" s="9">
        <v>4</v>
      </c>
    </row>
    <row r="929" spans="1:17">
      <c r="A929" s="9">
        <v>928</v>
      </c>
      <c r="B929" s="10">
        <v>40585</v>
      </c>
      <c r="C929" s="9">
        <v>1</v>
      </c>
      <c r="D929" s="9">
        <v>0</v>
      </c>
      <c r="E929" s="3" t="str">
        <f t="shared" si="46"/>
        <v>February</v>
      </c>
      <c r="F929" s="9">
        <v>6</v>
      </c>
      <c r="G929" s="3" t="b">
        <v>0</v>
      </c>
      <c r="H929" s="3" t="str">
        <f t="shared" si="48"/>
        <v>Friday</v>
      </c>
      <c r="I929" s="9">
        <v>5</v>
      </c>
      <c r="J929" s="3" t="str">
        <f t="shared" si="47"/>
        <v>Foggy</v>
      </c>
      <c r="K929" s="9">
        <v>0.1</v>
      </c>
      <c r="L929" s="9">
        <v>0.18179999999999999</v>
      </c>
      <c r="M929" s="9">
        <v>0.68</v>
      </c>
      <c r="N929" s="9">
        <v>0</v>
      </c>
      <c r="O929" s="9">
        <v>1</v>
      </c>
      <c r="P929" s="9">
        <v>23</v>
      </c>
      <c r="Q929" s="9">
        <v>24</v>
      </c>
    </row>
    <row r="930" spans="1:17">
      <c r="A930" s="9">
        <v>929</v>
      </c>
      <c r="B930" s="10">
        <v>40585</v>
      </c>
      <c r="C930" s="9">
        <v>1</v>
      </c>
      <c r="D930" s="9">
        <v>0</v>
      </c>
      <c r="E930" s="3" t="str">
        <f t="shared" si="46"/>
        <v>February</v>
      </c>
      <c r="F930" s="9">
        <v>7</v>
      </c>
      <c r="G930" s="3" t="b">
        <v>0</v>
      </c>
      <c r="H930" s="3" t="str">
        <f t="shared" si="48"/>
        <v>Friday</v>
      </c>
      <c r="I930" s="9">
        <v>5</v>
      </c>
      <c r="J930" s="3" t="str">
        <f t="shared" si="47"/>
        <v>Foggy</v>
      </c>
      <c r="K930" s="9">
        <v>0.08</v>
      </c>
      <c r="L930" s="9">
        <v>0.16669999999999999</v>
      </c>
      <c r="M930" s="9">
        <v>0.73</v>
      </c>
      <c r="N930" s="9">
        <v>0</v>
      </c>
      <c r="O930" s="9">
        <v>1</v>
      </c>
      <c r="P930" s="9">
        <v>73</v>
      </c>
      <c r="Q930" s="9">
        <v>74</v>
      </c>
    </row>
    <row r="931" spans="1:17">
      <c r="A931" s="9">
        <v>930</v>
      </c>
      <c r="B931" s="10">
        <v>40585</v>
      </c>
      <c r="C931" s="9">
        <v>1</v>
      </c>
      <c r="D931" s="9">
        <v>0</v>
      </c>
      <c r="E931" s="3" t="str">
        <f t="shared" si="46"/>
        <v>February</v>
      </c>
      <c r="F931" s="9">
        <v>8</v>
      </c>
      <c r="G931" s="3" t="b">
        <v>0</v>
      </c>
      <c r="H931" s="3" t="str">
        <f t="shared" si="48"/>
        <v>Friday</v>
      </c>
      <c r="I931" s="9">
        <v>5</v>
      </c>
      <c r="J931" s="3" t="str">
        <f t="shared" si="47"/>
        <v>Foggy</v>
      </c>
      <c r="K931" s="9">
        <v>0.1</v>
      </c>
      <c r="L931" s="9">
        <v>0.1212</v>
      </c>
      <c r="M931" s="9">
        <v>0.74</v>
      </c>
      <c r="N931" s="9">
        <v>0.16420000000000001</v>
      </c>
      <c r="O931" s="9">
        <v>4</v>
      </c>
      <c r="P931" s="9">
        <v>212</v>
      </c>
      <c r="Q931" s="9">
        <v>216</v>
      </c>
    </row>
    <row r="932" spans="1:17">
      <c r="A932" s="9">
        <v>931</v>
      </c>
      <c r="B932" s="10">
        <v>40585</v>
      </c>
      <c r="C932" s="9">
        <v>1</v>
      </c>
      <c r="D932" s="9">
        <v>0</v>
      </c>
      <c r="E932" s="3" t="str">
        <f t="shared" si="46"/>
        <v>February</v>
      </c>
      <c r="F932" s="9">
        <v>9</v>
      </c>
      <c r="G932" s="3" t="b">
        <v>0</v>
      </c>
      <c r="H932" s="3" t="str">
        <f t="shared" si="48"/>
        <v>Friday</v>
      </c>
      <c r="I932" s="9">
        <v>5</v>
      </c>
      <c r="J932" s="3" t="str">
        <f t="shared" si="47"/>
        <v>Foggy</v>
      </c>
      <c r="K932" s="9">
        <v>0.12</v>
      </c>
      <c r="L932" s="9">
        <v>0.1212</v>
      </c>
      <c r="M932" s="9">
        <v>0.74</v>
      </c>
      <c r="N932" s="9">
        <v>0.22389999999999999</v>
      </c>
      <c r="O932" s="9">
        <v>8</v>
      </c>
      <c r="P932" s="9">
        <v>132</v>
      </c>
      <c r="Q932" s="9">
        <v>140</v>
      </c>
    </row>
    <row r="933" spans="1:17">
      <c r="A933" s="9">
        <v>932</v>
      </c>
      <c r="B933" s="10">
        <v>40585</v>
      </c>
      <c r="C933" s="9">
        <v>1</v>
      </c>
      <c r="D933" s="9">
        <v>0</v>
      </c>
      <c r="E933" s="3" t="str">
        <f t="shared" si="46"/>
        <v>February</v>
      </c>
      <c r="F933" s="9">
        <v>10</v>
      </c>
      <c r="G933" s="3" t="b">
        <v>0</v>
      </c>
      <c r="H933" s="3" t="str">
        <f t="shared" si="48"/>
        <v>Friday</v>
      </c>
      <c r="I933" s="9">
        <v>5</v>
      </c>
      <c r="J933" s="3" t="str">
        <f t="shared" si="47"/>
        <v>Foggy</v>
      </c>
      <c r="K933" s="9">
        <v>0.14000000000000001</v>
      </c>
      <c r="L933" s="9">
        <v>0.13639999999999999</v>
      </c>
      <c r="M933" s="9">
        <v>0.69</v>
      </c>
      <c r="N933" s="9">
        <v>0.19400000000000001</v>
      </c>
      <c r="O933" s="9">
        <v>5</v>
      </c>
      <c r="P933" s="9">
        <v>39</v>
      </c>
      <c r="Q933" s="9">
        <v>44</v>
      </c>
    </row>
    <row r="934" spans="1:17">
      <c r="A934" s="9">
        <v>933</v>
      </c>
      <c r="B934" s="10">
        <v>40585</v>
      </c>
      <c r="C934" s="9">
        <v>1</v>
      </c>
      <c r="D934" s="9">
        <v>0</v>
      </c>
      <c r="E934" s="3" t="str">
        <f t="shared" si="46"/>
        <v>February</v>
      </c>
      <c r="F934" s="9">
        <v>11</v>
      </c>
      <c r="G934" s="3" t="b">
        <v>0</v>
      </c>
      <c r="H934" s="3" t="str">
        <f t="shared" si="48"/>
        <v>Friday</v>
      </c>
      <c r="I934" s="9">
        <v>5</v>
      </c>
      <c r="J934" s="3" t="str">
        <f t="shared" si="47"/>
        <v>Foggy</v>
      </c>
      <c r="K934" s="9">
        <v>0.22</v>
      </c>
      <c r="L934" s="9">
        <v>0.2273</v>
      </c>
      <c r="M934" s="9">
        <v>0.47</v>
      </c>
      <c r="N934" s="9">
        <v>0.1343</v>
      </c>
      <c r="O934" s="9">
        <v>12</v>
      </c>
      <c r="P934" s="9">
        <v>52</v>
      </c>
      <c r="Q934" s="9">
        <v>64</v>
      </c>
    </row>
    <row r="935" spans="1:17">
      <c r="A935" s="9">
        <v>934</v>
      </c>
      <c r="B935" s="10">
        <v>40585</v>
      </c>
      <c r="C935" s="9">
        <v>1</v>
      </c>
      <c r="D935" s="9">
        <v>0</v>
      </c>
      <c r="E935" s="3" t="str">
        <f t="shared" si="46"/>
        <v>February</v>
      </c>
      <c r="F935" s="9">
        <v>12</v>
      </c>
      <c r="G935" s="3" t="b">
        <v>0</v>
      </c>
      <c r="H935" s="3" t="str">
        <f t="shared" si="48"/>
        <v>Friday</v>
      </c>
      <c r="I935" s="9">
        <v>5</v>
      </c>
      <c r="J935" s="3" t="str">
        <f t="shared" si="47"/>
        <v>Foggy</v>
      </c>
      <c r="K935" s="9">
        <v>0.22</v>
      </c>
      <c r="L935" s="9">
        <v>0.2273</v>
      </c>
      <c r="M935" s="9">
        <v>0.47</v>
      </c>
      <c r="N935" s="9">
        <v>0.1343</v>
      </c>
      <c r="O935" s="9">
        <v>7</v>
      </c>
      <c r="P935" s="9">
        <v>64</v>
      </c>
      <c r="Q935" s="9">
        <v>71</v>
      </c>
    </row>
    <row r="936" spans="1:17">
      <c r="A936" s="9">
        <v>935</v>
      </c>
      <c r="B936" s="10">
        <v>40585</v>
      </c>
      <c r="C936" s="9">
        <v>1</v>
      </c>
      <c r="D936" s="9">
        <v>0</v>
      </c>
      <c r="E936" s="3" t="str">
        <f t="shared" si="46"/>
        <v>February</v>
      </c>
      <c r="F936" s="9">
        <v>13</v>
      </c>
      <c r="G936" s="3" t="b">
        <v>0</v>
      </c>
      <c r="H936" s="3" t="str">
        <f t="shared" si="48"/>
        <v>Friday</v>
      </c>
      <c r="I936" s="9">
        <v>5</v>
      </c>
      <c r="J936" s="3" t="str">
        <f t="shared" si="47"/>
        <v>Foggy</v>
      </c>
      <c r="K936" s="9">
        <v>0.24</v>
      </c>
      <c r="L936" s="9">
        <v>0.2273</v>
      </c>
      <c r="M936" s="9">
        <v>0.35</v>
      </c>
      <c r="N936" s="9">
        <v>0.19400000000000001</v>
      </c>
      <c r="O936" s="9">
        <v>21</v>
      </c>
      <c r="P936" s="9">
        <v>89</v>
      </c>
      <c r="Q936" s="9">
        <v>110</v>
      </c>
    </row>
    <row r="937" spans="1:17">
      <c r="A937" s="9">
        <v>936</v>
      </c>
      <c r="B937" s="10">
        <v>40585</v>
      </c>
      <c r="C937" s="9">
        <v>1</v>
      </c>
      <c r="D937" s="9">
        <v>0</v>
      </c>
      <c r="E937" s="3" t="str">
        <f t="shared" si="46"/>
        <v>February</v>
      </c>
      <c r="F937" s="9">
        <v>14</v>
      </c>
      <c r="G937" s="3" t="b">
        <v>0</v>
      </c>
      <c r="H937" s="3" t="str">
        <f t="shared" si="48"/>
        <v>Friday</v>
      </c>
      <c r="I937" s="9">
        <v>5</v>
      </c>
      <c r="J937" s="3" t="str">
        <f t="shared" si="47"/>
        <v>Clear</v>
      </c>
      <c r="K937" s="9">
        <v>0.3</v>
      </c>
      <c r="L937" s="9">
        <v>0.28789999999999999</v>
      </c>
      <c r="M937" s="9">
        <v>0.26</v>
      </c>
      <c r="N937" s="9">
        <v>0.25369999999999998</v>
      </c>
      <c r="O937" s="9">
        <v>17</v>
      </c>
      <c r="P937" s="9">
        <v>67</v>
      </c>
      <c r="Q937" s="9">
        <v>84</v>
      </c>
    </row>
    <row r="938" spans="1:17">
      <c r="A938" s="9">
        <v>937</v>
      </c>
      <c r="B938" s="10">
        <v>40585</v>
      </c>
      <c r="C938" s="9">
        <v>1</v>
      </c>
      <c r="D938" s="9">
        <v>0</v>
      </c>
      <c r="E938" s="3" t="str">
        <f t="shared" si="46"/>
        <v>February</v>
      </c>
      <c r="F938" s="9">
        <v>15</v>
      </c>
      <c r="G938" s="3" t="b">
        <v>0</v>
      </c>
      <c r="H938" s="3" t="str">
        <f t="shared" si="48"/>
        <v>Friday</v>
      </c>
      <c r="I938" s="9">
        <v>5</v>
      </c>
      <c r="J938" s="3" t="str">
        <f t="shared" si="47"/>
        <v>Clear</v>
      </c>
      <c r="K938" s="9">
        <v>0.32</v>
      </c>
      <c r="L938" s="9">
        <v>0.31819999999999998</v>
      </c>
      <c r="M938" s="9">
        <v>0.21</v>
      </c>
      <c r="N938" s="9">
        <v>0.16420000000000001</v>
      </c>
      <c r="O938" s="9">
        <v>12</v>
      </c>
      <c r="P938" s="9">
        <v>62</v>
      </c>
      <c r="Q938" s="9">
        <v>74</v>
      </c>
    </row>
    <row r="939" spans="1:17">
      <c r="A939" s="9">
        <v>938</v>
      </c>
      <c r="B939" s="10">
        <v>40585</v>
      </c>
      <c r="C939" s="9">
        <v>1</v>
      </c>
      <c r="D939" s="9">
        <v>0</v>
      </c>
      <c r="E939" s="3" t="str">
        <f t="shared" si="46"/>
        <v>February</v>
      </c>
      <c r="F939" s="9">
        <v>16</v>
      </c>
      <c r="G939" s="3" t="b">
        <v>0</v>
      </c>
      <c r="H939" s="3" t="str">
        <f t="shared" si="48"/>
        <v>Friday</v>
      </c>
      <c r="I939" s="9">
        <v>5</v>
      </c>
      <c r="J939" s="3" t="str">
        <f t="shared" si="47"/>
        <v>Clear</v>
      </c>
      <c r="K939" s="9">
        <v>0.3</v>
      </c>
      <c r="L939" s="9">
        <v>0.28789999999999999</v>
      </c>
      <c r="M939" s="9">
        <v>0.28000000000000003</v>
      </c>
      <c r="N939" s="9">
        <v>0.19400000000000001</v>
      </c>
      <c r="O939" s="9">
        <v>14</v>
      </c>
      <c r="P939" s="9">
        <v>111</v>
      </c>
      <c r="Q939" s="9">
        <v>125</v>
      </c>
    </row>
    <row r="940" spans="1:17">
      <c r="A940" s="9">
        <v>939</v>
      </c>
      <c r="B940" s="10">
        <v>40585</v>
      </c>
      <c r="C940" s="9">
        <v>1</v>
      </c>
      <c r="D940" s="9">
        <v>0</v>
      </c>
      <c r="E940" s="3" t="str">
        <f t="shared" si="46"/>
        <v>February</v>
      </c>
      <c r="F940" s="9">
        <v>17</v>
      </c>
      <c r="G940" s="3" t="b">
        <v>0</v>
      </c>
      <c r="H940" s="3" t="str">
        <f t="shared" si="48"/>
        <v>Friday</v>
      </c>
      <c r="I940" s="9">
        <v>5</v>
      </c>
      <c r="J940" s="3" t="str">
        <f t="shared" si="47"/>
        <v>Clear</v>
      </c>
      <c r="K940" s="9">
        <v>0.3</v>
      </c>
      <c r="L940" s="9">
        <v>0.33329999999999999</v>
      </c>
      <c r="M940" s="9">
        <v>0.24</v>
      </c>
      <c r="N940" s="9">
        <v>0</v>
      </c>
      <c r="O940" s="9">
        <v>18</v>
      </c>
      <c r="P940" s="9">
        <v>193</v>
      </c>
      <c r="Q940" s="9">
        <v>211</v>
      </c>
    </row>
    <row r="941" spans="1:17">
      <c r="A941" s="9">
        <v>940</v>
      </c>
      <c r="B941" s="10">
        <v>40585</v>
      </c>
      <c r="C941" s="9">
        <v>1</v>
      </c>
      <c r="D941" s="9">
        <v>0</v>
      </c>
      <c r="E941" s="3" t="str">
        <f t="shared" si="46"/>
        <v>February</v>
      </c>
      <c r="F941" s="9">
        <v>18</v>
      </c>
      <c r="G941" s="3" t="b">
        <v>0</v>
      </c>
      <c r="H941" s="3" t="str">
        <f t="shared" si="48"/>
        <v>Friday</v>
      </c>
      <c r="I941" s="9">
        <v>5</v>
      </c>
      <c r="J941" s="3" t="str">
        <f t="shared" si="47"/>
        <v>Clear</v>
      </c>
      <c r="K941" s="9">
        <v>0.28000000000000003</v>
      </c>
      <c r="L941" s="9">
        <v>0.31819999999999998</v>
      </c>
      <c r="M941" s="9">
        <v>0.28000000000000003</v>
      </c>
      <c r="N941" s="9">
        <v>0</v>
      </c>
      <c r="O941" s="9">
        <v>9</v>
      </c>
      <c r="P941" s="9">
        <v>165</v>
      </c>
      <c r="Q941" s="9">
        <v>174</v>
      </c>
    </row>
    <row r="942" spans="1:17">
      <c r="A942" s="9">
        <v>941</v>
      </c>
      <c r="B942" s="10">
        <v>40585</v>
      </c>
      <c r="C942" s="9">
        <v>1</v>
      </c>
      <c r="D942" s="9">
        <v>0</v>
      </c>
      <c r="E942" s="3" t="str">
        <f t="shared" si="46"/>
        <v>February</v>
      </c>
      <c r="F942" s="9">
        <v>19</v>
      </c>
      <c r="G942" s="3" t="b">
        <v>0</v>
      </c>
      <c r="H942" s="3" t="str">
        <f t="shared" si="48"/>
        <v>Friday</v>
      </c>
      <c r="I942" s="9">
        <v>5</v>
      </c>
      <c r="J942" s="3" t="str">
        <f t="shared" si="47"/>
        <v>Clear</v>
      </c>
      <c r="K942" s="9">
        <v>0.26</v>
      </c>
      <c r="L942" s="9">
        <v>0.30299999999999999</v>
      </c>
      <c r="M942" s="9">
        <v>0.33</v>
      </c>
      <c r="N942" s="9">
        <v>0</v>
      </c>
      <c r="O942" s="9">
        <v>7</v>
      </c>
      <c r="P942" s="9">
        <v>94</v>
      </c>
      <c r="Q942" s="9">
        <v>101</v>
      </c>
    </row>
    <row r="943" spans="1:17">
      <c r="A943" s="9">
        <v>942</v>
      </c>
      <c r="B943" s="10">
        <v>40585</v>
      </c>
      <c r="C943" s="9">
        <v>1</v>
      </c>
      <c r="D943" s="9">
        <v>0</v>
      </c>
      <c r="E943" s="3" t="str">
        <f t="shared" si="46"/>
        <v>February</v>
      </c>
      <c r="F943" s="9">
        <v>20</v>
      </c>
      <c r="G943" s="3" t="b">
        <v>0</v>
      </c>
      <c r="H943" s="3" t="str">
        <f t="shared" si="48"/>
        <v>Friday</v>
      </c>
      <c r="I943" s="9">
        <v>5</v>
      </c>
      <c r="J943" s="3" t="str">
        <f t="shared" si="47"/>
        <v>Foggy</v>
      </c>
      <c r="K943" s="9">
        <v>0.22</v>
      </c>
      <c r="L943" s="9">
        <v>0.2273</v>
      </c>
      <c r="M943" s="9">
        <v>0.55000000000000004</v>
      </c>
      <c r="N943" s="9">
        <v>0.1343</v>
      </c>
      <c r="O943" s="9">
        <v>2</v>
      </c>
      <c r="P943" s="9">
        <v>61</v>
      </c>
      <c r="Q943" s="9">
        <v>63</v>
      </c>
    </row>
    <row r="944" spans="1:17">
      <c r="A944" s="9">
        <v>943</v>
      </c>
      <c r="B944" s="10">
        <v>40585</v>
      </c>
      <c r="C944" s="9">
        <v>1</v>
      </c>
      <c r="D944" s="9">
        <v>0</v>
      </c>
      <c r="E944" s="3" t="str">
        <f t="shared" si="46"/>
        <v>February</v>
      </c>
      <c r="F944" s="9">
        <v>21</v>
      </c>
      <c r="G944" s="3" t="b">
        <v>0</v>
      </c>
      <c r="H944" s="3" t="str">
        <f t="shared" si="48"/>
        <v>Friday</v>
      </c>
      <c r="I944" s="9">
        <v>5</v>
      </c>
      <c r="J944" s="3" t="str">
        <f t="shared" si="47"/>
        <v>Foggy</v>
      </c>
      <c r="K944" s="9">
        <v>0.2</v>
      </c>
      <c r="L944" s="9">
        <v>0.21210000000000001</v>
      </c>
      <c r="M944" s="9">
        <v>0.59</v>
      </c>
      <c r="N944" s="9">
        <v>0.1343</v>
      </c>
      <c r="O944" s="9">
        <v>1</v>
      </c>
      <c r="P944" s="9">
        <v>46</v>
      </c>
      <c r="Q944" s="9">
        <v>47</v>
      </c>
    </row>
    <row r="945" spans="1:17">
      <c r="A945" s="9">
        <v>944</v>
      </c>
      <c r="B945" s="10">
        <v>40585</v>
      </c>
      <c r="C945" s="9">
        <v>1</v>
      </c>
      <c r="D945" s="9">
        <v>0</v>
      </c>
      <c r="E945" s="3" t="str">
        <f t="shared" si="46"/>
        <v>February</v>
      </c>
      <c r="F945" s="9">
        <v>22</v>
      </c>
      <c r="G945" s="3" t="b">
        <v>0</v>
      </c>
      <c r="H945" s="3" t="str">
        <f t="shared" si="48"/>
        <v>Friday</v>
      </c>
      <c r="I945" s="9">
        <v>5</v>
      </c>
      <c r="J945" s="3" t="str">
        <f t="shared" si="47"/>
        <v>Foggy</v>
      </c>
      <c r="K945" s="9">
        <v>0.2</v>
      </c>
      <c r="L945" s="9">
        <v>0.2273</v>
      </c>
      <c r="M945" s="9">
        <v>0.64</v>
      </c>
      <c r="N945" s="9">
        <v>8.9599999999999999E-2</v>
      </c>
      <c r="O945" s="9">
        <v>2</v>
      </c>
      <c r="P945" s="9">
        <v>41</v>
      </c>
      <c r="Q945" s="9">
        <v>43</v>
      </c>
    </row>
    <row r="946" spans="1:17">
      <c r="A946" s="9">
        <v>945</v>
      </c>
      <c r="B946" s="10">
        <v>40585</v>
      </c>
      <c r="C946" s="9">
        <v>1</v>
      </c>
      <c r="D946" s="9">
        <v>0</v>
      </c>
      <c r="E946" s="3" t="str">
        <f t="shared" si="46"/>
        <v>February</v>
      </c>
      <c r="F946" s="9">
        <v>23</v>
      </c>
      <c r="G946" s="3" t="b">
        <v>0</v>
      </c>
      <c r="H946" s="3" t="str">
        <f t="shared" si="48"/>
        <v>Friday</v>
      </c>
      <c r="I946" s="9">
        <v>5</v>
      </c>
      <c r="J946" s="3" t="str">
        <f t="shared" si="47"/>
        <v>Foggy</v>
      </c>
      <c r="K946" s="9">
        <v>0.18</v>
      </c>
      <c r="L946" s="9">
        <v>0.2424</v>
      </c>
      <c r="M946" s="9">
        <v>0.69</v>
      </c>
      <c r="N946" s="9">
        <v>0</v>
      </c>
      <c r="O946" s="9">
        <v>5</v>
      </c>
      <c r="P946" s="9">
        <v>48</v>
      </c>
      <c r="Q946" s="9">
        <v>53</v>
      </c>
    </row>
    <row r="947" spans="1:17">
      <c r="A947" s="9">
        <v>946</v>
      </c>
      <c r="B947" s="10">
        <v>40586</v>
      </c>
      <c r="C947" s="9">
        <v>1</v>
      </c>
      <c r="D947" s="9">
        <v>0</v>
      </c>
      <c r="E947" s="3" t="str">
        <f t="shared" si="46"/>
        <v>February</v>
      </c>
      <c r="F947" s="9">
        <v>0</v>
      </c>
      <c r="G947" s="3" t="b">
        <v>0</v>
      </c>
      <c r="H947" s="3" t="str">
        <f t="shared" si="48"/>
        <v>Saturday</v>
      </c>
      <c r="I947" s="9">
        <v>6</v>
      </c>
      <c r="J947" s="3" t="str">
        <f t="shared" si="47"/>
        <v>Foggy</v>
      </c>
      <c r="K947" s="9">
        <v>0.16</v>
      </c>
      <c r="L947" s="9">
        <v>0.19700000000000001</v>
      </c>
      <c r="M947" s="9">
        <v>0.69</v>
      </c>
      <c r="N947" s="9">
        <v>8.9599999999999999E-2</v>
      </c>
      <c r="O947" s="9">
        <v>3</v>
      </c>
      <c r="P947" s="9">
        <v>27</v>
      </c>
      <c r="Q947" s="9">
        <v>30</v>
      </c>
    </row>
    <row r="948" spans="1:17">
      <c r="A948" s="9">
        <v>947</v>
      </c>
      <c r="B948" s="10">
        <v>40586</v>
      </c>
      <c r="C948" s="9">
        <v>1</v>
      </c>
      <c r="D948" s="9">
        <v>0</v>
      </c>
      <c r="E948" s="3" t="str">
        <f t="shared" si="46"/>
        <v>February</v>
      </c>
      <c r="F948" s="9">
        <v>1</v>
      </c>
      <c r="G948" s="3" t="b">
        <v>0</v>
      </c>
      <c r="H948" s="3" t="str">
        <f t="shared" si="48"/>
        <v>Saturday</v>
      </c>
      <c r="I948" s="9">
        <v>6</v>
      </c>
      <c r="J948" s="3" t="str">
        <f t="shared" si="47"/>
        <v>Foggy</v>
      </c>
      <c r="K948" s="9">
        <v>0.14000000000000001</v>
      </c>
      <c r="L948" s="9">
        <v>0.21210000000000001</v>
      </c>
      <c r="M948" s="9">
        <v>0.86</v>
      </c>
      <c r="N948" s="9">
        <v>0</v>
      </c>
      <c r="O948" s="9">
        <v>2</v>
      </c>
      <c r="P948" s="9">
        <v>22</v>
      </c>
      <c r="Q948" s="9">
        <v>24</v>
      </c>
    </row>
    <row r="949" spans="1:17">
      <c r="A949" s="9">
        <v>948</v>
      </c>
      <c r="B949" s="10">
        <v>40586</v>
      </c>
      <c r="C949" s="9">
        <v>1</v>
      </c>
      <c r="D949" s="9">
        <v>0</v>
      </c>
      <c r="E949" s="3" t="str">
        <f t="shared" si="46"/>
        <v>February</v>
      </c>
      <c r="F949" s="9">
        <v>2</v>
      </c>
      <c r="G949" s="3" t="b">
        <v>0</v>
      </c>
      <c r="H949" s="3" t="str">
        <f t="shared" si="48"/>
        <v>Saturday</v>
      </c>
      <c r="I949" s="9">
        <v>6</v>
      </c>
      <c r="J949" s="3" t="str">
        <f t="shared" si="47"/>
        <v>Foggy</v>
      </c>
      <c r="K949" s="9">
        <v>0.14000000000000001</v>
      </c>
      <c r="L949" s="9">
        <v>0.21210000000000001</v>
      </c>
      <c r="M949" s="9">
        <v>0.8</v>
      </c>
      <c r="N949" s="9">
        <v>0</v>
      </c>
      <c r="O949" s="9">
        <v>2</v>
      </c>
      <c r="P949" s="9">
        <v>13</v>
      </c>
      <c r="Q949" s="9">
        <v>15</v>
      </c>
    </row>
    <row r="950" spans="1:17">
      <c r="A950" s="9">
        <v>949</v>
      </c>
      <c r="B950" s="10">
        <v>40586</v>
      </c>
      <c r="C950" s="9">
        <v>1</v>
      </c>
      <c r="D950" s="9">
        <v>0</v>
      </c>
      <c r="E950" s="3" t="str">
        <f t="shared" si="46"/>
        <v>February</v>
      </c>
      <c r="F950" s="9">
        <v>3</v>
      </c>
      <c r="G950" s="3" t="b">
        <v>0</v>
      </c>
      <c r="H950" s="3" t="str">
        <f t="shared" si="48"/>
        <v>Saturday</v>
      </c>
      <c r="I950" s="9">
        <v>6</v>
      </c>
      <c r="J950" s="3" t="str">
        <f t="shared" si="47"/>
        <v>Foggy</v>
      </c>
      <c r="K950" s="9">
        <v>0.12</v>
      </c>
      <c r="L950" s="9">
        <v>0.19700000000000001</v>
      </c>
      <c r="M950" s="9">
        <v>0.8</v>
      </c>
      <c r="N950" s="9">
        <v>0</v>
      </c>
      <c r="O950" s="9">
        <v>3</v>
      </c>
      <c r="P950" s="9">
        <v>7</v>
      </c>
      <c r="Q950" s="9">
        <v>10</v>
      </c>
    </row>
    <row r="951" spans="1:17">
      <c r="A951" s="9">
        <v>950</v>
      </c>
      <c r="B951" s="10">
        <v>40586</v>
      </c>
      <c r="C951" s="9">
        <v>1</v>
      </c>
      <c r="D951" s="9">
        <v>0</v>
      </c>
      <c r="E951" s="3" t="str">
        <f t="shared" si="46"/>
        <v>February</v>
      </c>
      <c r="F951" s="9">
        <v>4</v>
      </c>
      <c r="G951" s="3" t="b">
        <v>0</v>
      </c>
      <c r="H951" s="3" t="str">
        <f t="shared" si="48"/>
        <v>Saturday</v>
      </c>
      <c r="I951" s="9">
        <v>6</v>
      </c>
      <c r="J951" s="3" t="str">
        <f t="shared" si="47"/>
        <v>Foggy</v>
      </c>
      <c r="K951" s="9">
        <v>0.12</v>
      </c>
      <c r="L951" s="9">
        <v>0.16669999999999999</v>
      </c>
      <c r="M951" s="9">
        <v>0.74</v>
      </c>
      <c r="N951" s="9">
        <v>8.9599999999999999E-2</v>
      </c>
      <c r="O951" s="9">
        <v>0</v>
      </c>
      <c r="P951" s="9">
        <v>4</v>
      </c>
      <c r="Q951" s="9">
        <v>4</v>
      </c>
    </row>
    <row r="952" spans="1:17">
      <c r="A952" s="9">
        <v>951</v>
      </c>
      <c r="B952" s="10">
        <v>40586</v>
      </c>
      <c r="C952" s="9">
        <v>1</v>
      </c>
      <c r="D952" s="9">
        <v>0</v>
      </c>
      <c r="E952" s="3" t="str">
        <f t="shared" si="46"/>
        <v>February</v>
      </c>
      <c r="F952" s="9">
        <v>5</v>
      </c>
      <c r="G952" s="3" t="b">
        <v>0</v>
      </c>
      <c r="H952" s="3" t="str">
        <f t="shared" si="48"/>
        <v>Saturday</v>
      </c>
      <c r="I952" s="9">
        <v>6</v>
      </c>
      <c r="J952" s="3" t="str">
        <f t="shared" si="47"/>
        <v>Foggy</v>
      </c>
      <c r="K952" s="9">
        <v>0.12</v>
      </c>
      <c r="L952" s="9">
        <v>0.16669999999999999</v>
      </c>
      <c r="M952" s="9">
        <v>0.74</v>
      </c>
      <c r="N952" s="9">
        <v>8.9599999999999999E-2</v>
      </c>
      <c r="O952" s="9">
        <v>0</v>
      </c>
      <c r="P952" s="9">
        <v>1</v>
      </c>
      <c r="Q952" s="9">
        <v>1</v>
      </c>
    </row>
    <row r="953" spans="1:17">
      <c r="A953" s="9">
        <v>952</v>
      </c>
      <c r="B953" s="10">
        <v>40586</v>
      </c>
      <c r="C953" s="9">
        <v>1</v>
      </c>
      <c r="D953" s="9">
        <v>0</v>
      </c>
      <c r="E953" s="3" t="str">
        <f t="shared" si="46"/>
        <v>February</v>
      </c>
      <c r="F953" s="9">
        <v>6</v>
      </c>
      <c r="G953" s="3" t="b">
        <v>0</v>
      </c>
      <c r="H953" s="3" t="str">
        <f t="shared" si="48"/>
        <v>Saturday</v>
      </c>
      <c r="I953" s="9">
        <v>6</v>
      </c>
      <c r="J953" s="3" t="str">
        <f t="shared" si="47"/>
        <v>Foggy</v>
      </c>
      <c r="K953" s="9">
        <v>0.12</v>
      </c>
      <c r="L953" s="9">
        <v>0.13639999999999999</v>
      </c>
      <c r="M953" s="9">
        <v>0.93</v>
      </c>
      <c r="N953" s="9">
        <v>0.19400000000000001</v>
      </c>
      <c r="O953" s="9">
        <v>1</v>
      </c>
      <c r="P953" s="9">
        <v>1</v>
      </c>
      <c r="Q953" s="9">
        <v>2</v>
      </c>
    </row>
    <row r="954" spans="1:17">
      <c r="A954" s="9">
        <v>953</v>
      </c>
      <c r="B954" s="10">
        <v>40586</v>
      </c>
      <c r="C954" s="9">
        <v>1</v>
      </c>
      <c r="D954" s="9">
        <v>0</v>
      </c>
      <c r="E954" s="3" t="str">
        <f t="shared" si="46"/>
        <v>February</v>
      </c>
      <c r="F954" s="9">
        <v>7</v>
      </c>
      <c r="G954" s="3" t="b">
        <v>0</v>
      </c>
      <c r="H954" s="3" t="str">
        <f t="shared" si="48"/>
        <v>Saturday</v>
      </c>
      <c r="I954" s="9">
        <v>6</v>
      </c>
      <c r="J954" s="3" t="str">
        <f t="shared" si="47"/>
        <v>Foggy</v>
      </c>
      <c r="K954" s="9">
        <v>0.12</v>
      </c>
      <c r="L954" s="9">
        <v>0.1515</v>
      </c>
      <c r="M954" s="9">
        <v>0.8</v>
      </c>
      <c r="N954" s="9">
        <v>0.1045</v>
      </c>
      <c r="O954" s="9">
        <v>2</v>
      </c>
      <c r="P954" s="9">
        <v>9</v>
      </c>
      <c r="Q954" s="9">
        <v>11</v>
      </c>
    </row>
    <row r="955" spans="1:17">
      <c r="A955" s="9">
        <v>954</v>
      </c>
      <c r="B955" s="10">
        <v>40586</v>
      </c>
      <c r="C955" s="9">
        <v>1</v>
      </c>
      <c r="D955" s="9">
        <v>0</v>
      </c>
      <c r="E955" s="3" t="str">
        <f t="shared" si="46"/>
        <v>February</v>
      </c>
      <c r="F955" s="9">
        <v>8</v>
      </c>
      <c r="G955" s="3" t="b">
        <v>0</v>
      </c>
      <c r="H955" s="3" t="str">
        <f t="shared" si="48"/>
        <v>Saturday</v>
      </c>
      <c r="I955" s="9">
        <v>6</v>
      </c>
      <c r="J955" s="3" t="str">
        <f t="shared" si="47"/>
        <v>Foggy</v>
      </c>
      <c r="K955" s="9">
        <v>0.14000000000000001</v>
      </c>
      <c r="L955" s="9">
        <v>0.1515</v>
      </c>
      <c r="M955" s="9">
        <v>0.86</v>
      </c>
      <c r="N955" s="9">
        <v>0.1343</v>
      </c>
      <c r="O955" s="9">
        <v>2</v>
      </c>
      <c r="P955" s="9">
        <v>28</v>
      </c>
      <c r="Q955" s="9">
        <v>30</v>
      </c>
    </row>
    <row r="956" spans="1:17">
      <c r="A956" s="9">
        <v>955</v>
      </c>
      <c r="B956" s="10">
        <v>40586</v>
      </c>
      <c r="C956" s="9">
        <v>1</v>
      </c>
      <c r="D956" s="9">
        <v>0</v>
      </c>
      <c r="E956" s="3" t="str">
        <f t="shared" si="46"/>
        <v>February</v>
      </c>
      <c r="F956" s="9">
        <v>9</v>
      </c>
      <c r="G956" s="3" t="b">
        <v>0</v>
      </c>
      <c r="H956" s="3" t="str">
        <f t="shared" si="48"/>
        <v>Saturday</v>
      </c>
      <c r="I956" s="9">
        <v>6</v>
      </c>
      <c r="J956" s="3" t="str">
        <f t="shared" si="47"/>
        <v>Foggy</v>
      </c>
      <c r="K956" s="9">
        <v>0.16</v>
      </c>
      <c r="L956" s="9">
        <v>0.18179999999999999</v>
      </c>
      <c r="M956" s="9">
        <v>0.64</v>
      </c>
      <c r="N956" s="9">
        <v>0.1343</v>
      </c>
      <c r="O956" s="9">
        <v>5</v>
      </c>
      <c r="P956" s="9">
        <v>38</v>
      </c>
      <c r="Q956" s="9">
        <v>43</v>
      </c>
    </row>
    <row r="957" spans="1:17">
      <c r="A957" s="9">
        <v>956</v>
      </c>
      <c r="B957" s="10">
        <v>40586</v>
      </c>
      <c r="C957" s="9">
        <v>1</v>
      </c>
      <c r="D957" s="9">
        <v>0</v>
      </c>
      <c r="E957" s="3" t="str">
        <f t="shared" si="46"/>
        <v>February</v>
      </c>
      <c r="F957" s="9">
        <v>10</v>
      </c>
      <c r="G957" s="3" t="b">
        <v>0</v>
      </c>
      <c r="H957" s="3" t="str">
        <f t="shared" si="48"/>
        <v>Saturday</v>
      </c>
      <c r="I957" s="9">
        <v>6</v>
      </c>
      <c r="J957" s="3" t="str">
        <f t="shared" si="47"/>
        <v>Foggy</v>
      </c>
      <c r="K957" s="9">
        <v>0.22</v>
      </c>
      <c r="L957" s="9">
        <v>0.21210000000000001</v>
      </c>
      <c r="M957" s="9">
        <v>0.41</v>
      </c>
      <c r="N957" s="9">
        <v>0.25369999999999998</v>
      </c>
      <c r="O957" s="9">
        <v>13</v>
      </c>
      <c r="P957" s="9">
        <v>71</v>
      </c>
      <c r="Q957" s="9">
        <v>84</v>
      </c>
    </row>
    <row r="958" spans="1:17">
      <c r="A958" s="9">
        <v>957</v>
      </c>
      <c r="B958" s="10">
        <v>40586</v>
      </c>
      <c r="C958" s="9">
        <v>1</v>
      </c>
      <c r="D958" s="9">
        <v>0</v>
      </c>
      <c r="E958" s="3" t="str">
        <f t="shared" si="46"/>
        <v>February</v>
      </c>
      <c r="F958" s="9">
        <v>11</v>
      </c>
      <c r="G958" s="3" t="b">
        <v>0</v>
      </c>
      <c r="H958" s="3" t="str">
        <f t="shared" si="48"/>
        <v>Saturday</v>
      </c>
      <c r="I958" s="9">
        <v>6</v>
      </c>
      <c r="J958" s="3" t="str">
        <f t="shared" si="47"/>
        <v>Clear</v>
      </c>
      <c r="K958" s="9">
        <v>0.3</v>
      </c>
      <c r="L958" s="9">
        <v>0.2727</v>
      </c>
      <c r="M958" s="9">
        <v>0.28000000000000003</v>
      </c>
      <c r="N958" s="9">
        <v>0.32840000000000003</v>
      </c>
      <c r="O958" s="9">
        <v>30</v>
      </c>
      <c r="P958" s="9">
        <v>84</v>
      </c>
      <c r="Q958" s="9">
        <v>114</v>
      </c>
    </row>
    <row r="959" spans="1:17">
      <c r="A959" s="9">
        <v>958</v>
      </c>
      <c r="B959" s="10">
        <v>40586</v>
      </c>
      <c r="C959" s="9">
        <v>1</v>
      </c>
      <c r="D959" s="9">
        <v>0</v>
      </c>
      <c r="E959" s="3" t="str">
        <f t="shared" si="46"/>
        <v>February</v>
      </c>
      <c r="F959" s="9">
        <v>12</v>
      </c>
      <c r="G959" s="3" t="b">
        <v>0</v>
      </c>
      <c r="H959" s="3" t="str">
        <f t="shared" si="48"/>
        <v>Saturday</v>
      </c>
      <c r="I959" s="9">
        <v>6</v>
      </c>
      <c r="J959" s="3" t="str">
        <f t="shared" si="47"/>
        <v>Clear</v>
      </c>
      <c r="K959" s="9">
        <v>0.3</v>
      </c>
      <c r="L959" s="9">
        <v>0.2727</v>
      </c>
      <c r="M959" s="9">
        <v>0.39</v>
      </c>
      <c r="N959" s="9">
        <v>0.4627</v>
      </c>
      <c r="O959" s="9">
        <v>27</v>
      </c>
      <c r="P959" s="9">
        <v>93</v>
      </c>
      <c r="Q959" s="9">
        <v>120</v>
      </c>
    </row>
    <row r="960" spans="1:17">
      <c r="A960" s="9">
        <v>959</v>
      </c>
      <c r="B960" s="10">
        <v>40586</v>
      </c>
      <c r="C960" s="9">
        <v>1</v>
      </c>
      <c r="D960" s="9">
        <v>0</v>
      </c>
      <c r="E960" s="3" t="str">
        <f t="shared" si="46"/>
        <v>February</v>
      </c>
      <c r="F960" s="9">
        <v>13</v>
      </c>
      <c r="G960" s="3" t="b">
        <v>0</v>
      </c>
      <c r="H960" s="3" t="str">
        <f t="shared" si="48"/>
        <v>Saturday</v>
      </c>
      <c r="I960" s="9">
        <v>6</v>
      </c>
      <c r="J960" s="3" t="str">
        <f t="shared" si="47"/>
        <v>Clear</v>
      </c>
      <c r="K960" s="9">
        <v>0.3</v>
      </c>
      <c r="L960" s="9">
        <v>0.2727</v>
      </c>
      <c r="M960" s="9">
        <v>0.39</v>
      </c>
      <c r="N960" s="9">
        <v>0.41789999999999999</v>
      </c>
      <c r="O960" s="9">
        <v>32</v>
      </c>
      <c r="P960" s="9">
        <v>103</v>
      </c>
      <c r="Q960" s="9">
        <v>135</v>
      </c>
    </row>
    <row r="961" spans="1:17">
      <c r="A961" s="9">
        <v>960</v>
      </c>
      <c r="B961" s="10">
        <v>40586</v>
      </c>
      <c r="C961" s="9">
        <v>1</v>
      </c>
      <c r="D961" s="9">
        <v>0</v>
      </c>
      <c r="E961" s="3" t="str">
        <f t="shared" si="46"/>
        <v>February</v>
      </c>
      <c r="F961" s="9">
        <v>14</v>
      </c>
      <c r="G961" s="3" t="b">
        <v>0</v>
      </c>
      <c r="H961" s="3" t="str">
        <f t="shared" si="48"/>
        <v>Saturday</v>
      </c>
      <c r="I961" s="9">
        <v>6</v>
      </c>
      <c r="J961" s="3" t="str">
        <f t="shared" si="47"/>
        <v>Clear</v>
      </c>
      <c r="K961" s="9">
        <v>0.34</v>
      </c>
      <c r="L961" s="9">
        <v>0.31819999999999998</v>
      </c>
      <c r="M961" s="9">
        <v>0.31</v>
      </c>
      <c r="N961" s="9">
        <v>0.28360000000000002</v>
      </c>
      <c r="O961" s="9">
        <v>30</v>
      </c>
      <c r="P961" s="9">
        <v>90</v>
      </c>
      <c r="Q961" s="9">
        <v>120</v>
      </c>
    </row>
    <row r="962" spans="1:17">
      <c r="A962" s="9">
        <v>961</v>
      </c>
      <c r="B962" s="10">
        <v>40586</v>
      </c>
      <c r="C962" s="9">
        <v>1</v>
      </c>
      <c r="D962" s="9">
        <v>0</v>
      </c>
      <c r="E962" s="3" t="str">
        <f t="shared" si="46"/>
        <v>February</v>
      </c>
      <c r="F962" s="9">
        <v>15</v>
      </c>
      <c r="G962" s="3" t="b">
        <v>0</v>
      </c>
      <c r="H962" s="3" t="str">
        <f t="shared" si="48"/>
        <v>Saturday</v>
      </c>
      <c r="I962" s="9">
        <v>6</v>
      </c>
      <c r="J962" s="3" t="str">
        <f t="shared" si="47"/>
        <v>Clear</v>
      </c>
      <c r="K962" s="9">
        <v>0.34</v>
      </c>
      <c r="L962" s="9">
        <v>0.30299999999999999</v>
      </c>
      <c r="M962" s="9">
        <v>0.28999999999999998</v>
      </c>
      <c r="N962" s="9">
        <v>0.41789999999999999</v>
      </c>
      <c r="O962" s="9">
        <v>47</v>
      </c>
      <c r="P962" s="9">
        <v>127</v>
      </c>
      <c r="Q962" s="9">
        <v>174</v>
      </c>
    </row>
    <row r="963" spans="1:17">
      <c r="A963" s="9">
        <v>962</v>
      </c>
      <c r="B963" s="10">
        <v>40586</v>
      </c>
      <c r="C963" s="9">
        <v>1</v>
      </c>
      <c r="D963" s="9">
        <v>0</v>
      </c>
      <c r="E963" s="3" t="str">
        <f t="shared" ref="E963:E1001" si="49">TEXT(B963,"MMMM")</f>
        <v>February</v>
      </c>
      <c r="F963" s="9">
        <v>16</v>
      </c>
      <c r="G963" s="3" t="b">
        <v>0</v>
      </c>
      <c r="H963" s="3" t="str">
        <f t="shared" si="48"/>
        <v>Saturday</v>
      </c>
      <c r="I963" s="9">
        <v>6</v>
      </c>
      <c r="J963" s="3" t="str">
        <f t="shared" si="47"/>
        <v>Clear</v>
      </c>
      <c r="K963" s="9">
        <v>0.34</v>
      </c>
      <c r="L963" s="9">
        <v>0.30299999999999999</v>
      </c>
      <c r="M963" s="9">
        <v>0.28999999999999998</v>
      </c>
      <c r="N963" s="9">
        <v>0.41789999999999999</v>
      </c>
      <c r="O963" s="9">
        <v>42</v>
      </c>
      <c r="P963" s="9">
        <v>103</v>
      </c>
      <c r="Q963" s="9">
        <v>145</v>
      </c>
    </row>
    <row r="964" spans="1:17">
      <c r="A964" s="9">
        <v>963</v>
      </c>
      <c r="B964" s="10">
        <v>40586</v>
      </c>
      <c r="C964" s="9">
        <v>1</v>
      </c>
      <c r="D964" s="9">
        <v>0</v>
      </c>
      <c r="E964" s="3" t="str">
        <f t="shared" si="49"/>
        <v>February</v>
      </c>
      <c r="F964" s="9">
        <v>17</v>
      </c>
      <c r="G964" s="3" t="b">
        <v>0</v>
      </c>
      <c r="H964" s="3" t="str">
        <f t="shared" si="48"/>
        <v>Saturday</v>
      </c>
      <c r="I964" s="9">
        <v>6</v>
      </c>
      <c r="J964" s="3" t="str">
        <f t="shared" si="47"/>
        <v>Clear</v>
      </c>
      <c r="K964" s="9">
        <v>0.32</v>
      </c>
      <c r="L964" s="9">
        <v>0.28789999999999999</v>
      </c>
      <c r="M964" s="9">
        <v>0.31</v>
      </c>
      <c r="N964" s="9">
        <v>0.52239999999999998</v>
      </c>
      <c r="O964" s="9">
        <v>24</v>
      </c>
      <c r="P964" s="9">
        <v>113</v>
      </c>
      <c r="Q964" s="9">
        <v>137</v>
      </c>
    </row>
    <row r="965" spans="1:17">
      <c r="A965" s="9">
        <v>964</v>
      </c>
      <c r="B965" s="10">
        <v>40586</v>
      </c>
      <c r="C965" s="9">
        <v>1</v>
      </c>
      <c r="D965" s="9">
        <v>0</v>
      </c>
      <c r="E965" s="3" t="str">
        <f t="shared" si="49"/>
        <v>February</v>
      </c>
      <c r="F965" s="9">
        <v>18</v>
      </c>
      <c r="G965" s="3" t="b">
        <v>0</v>
      </c>
      <c r="H965" s="3" t="str">
        <f t="shared" si="48"/>
        <v>Saturday</v>
      </c>
      <c r="I965" s="9">
        <v>6</v>
      </c>
      <c r="J965" s="3" t="str">
        <f t="shared" si="47"/>
        <v>Clear</v>
      </c>
      <c r="K965" s="9">
        <v>0.28000000000000003</v>
      </c>
      <c r="L965" s="9">
        <v>0.2576</v>
      </c>
      <c r="M965" s="9">
        <v>0.38</v>
      </c>
      <c r="N965" s="9">
        <v>0.32840000000000003</v>
      </c>
      <c r="O965" s="9">
        <v>4</v>
      </c>
      <c r="P965" s="9">
        <v>60</v>
      </c>
      <c r="Q965" s="9">
        <v>64</v>
      </c>
    </row>
    <row r="966" spans="1:17">
      <c r="A966" s="9">
        <v>965</v>
      </c>
      <c r="B966" s="10">
        <v>40586</v>
      </c>
      <c r="C966" s="9">
        <v>1</v>
      </c>
      <c r="D966" s="9">
        <v>0</v>
      </c>
      <c r="E966" s="3" t="str">
        <f t="shared" si="49"/>
        <v>February</v>
      </c>
      <c r="F966" s="9">
        <v>19</v>
      </c>
      <c r="G966" s="3" t="b">
        <v>0</v>
      </c>
      <c r="H966" s="3" t="str">
        <f t="shared" si="48"/>
        <v>Saturday</v>
      </c>
      <c r="I966" s="9">
        <v>6</v>
      </c>
      <c r="J966" s="3" t="str">
        <f t="shared" si="47"/>
        <v>Clear</v>
      </c>
      <c r="K966" s="9">
        <v>0.28000000000000003</v>
      </c>
      <c r="L966" s="9">
        <v>0.2727</v>
      </c>
      <c r="M966" s="9">
        <v>0.38</v>
      </c>
      <c r="N966" s="9">
        <v>0.16420000000000001</v>
      </c>
      <c r="O966" s="9">
        <v>2</v>
      </c>
      <c r="P966" s="9">
        <v>39</v>
      </c>
      <c r="Q966" s="9">
        <v>41</v>
      </c>
    </row>
    <row r="967" spans="1:17">
      <c r="A967" s="9">
        <v>966</v>
      </c>
      <c r="B967" s="10">
        <v>40586</v>
      </c>
      <c r="C967" s="9">
        <v>1</v>
      </c>
      <c r="D967" s="9">
        <v>0</v>
      </c>
      <c r="E967" s="3" t="str">
        <f t="shared" si="49"/>
        <v>February</v>
      </c>
      <c r="F967" s="9">
        <v>20</v>
      </c>
      <c r="G967" s="3" t="b">
        <v>0</v>
      </c>
      <c r="H967" s="3" t="str">
        <f t="shared" si="48"/>
        <v>Saturday</v>
      </c>
      <c r="I967" s="9">
        <v>6</v>
      </c>
      <c r="J967" s="3" t="str">
        <f t="shared" ref="J967:J1001" si="50">IF($K967&lt;=0.24,"Foggy",IF($K967&gt;0.24,"Clear"))</f>
        <v>Clear</v>
      </c>
      <c r="K967" s="9">
        <v>0.26</v>
      </c>
      <c r="L967" s="9">
        <v>0.2576</v>
      </c>
      <c r="M967" s="9">
        <v>0.41</v>
      </c>
      <c r="N967" s="9">
        <v>0.22389999999999999</v>
      </c>
      <c r="O967" s="9">
        <v>1</v>
      </c>
      <c r="P967" s="9">
        <v>39</v>
      </c>
      <c r="Q967" s="9">
        <v>40</v>
      </c>
    </row>
    <row r="968" spans="1:17">
      <c r="A968" s="9">
        <v>967</v>
      </c>
      <c r="B968" s="10">
        <v>40586</v>
      </c>
      <c r="C968" s="9">
        <v>1</v>
      </c>
      <c r="D968" s="9">
        <v>0</v>
      </c>
      <c r="E968" s="3" t="str">
        <f t="shared" si="49"/>
        <v>February</v>
      </c>
      <c r="F968" s="9">
        <v>21</v>
      </c>
      <c r="G968" s="3" t="b">
        <v>0</v>
      </c>
      <c r="H968" s="3" t="str">
        <f t="shared" si="48"/>
        <v>Saturday</v>
      </c>
      <c r="I968" s="9">
        <v>6</v>
      </c>
      <c r="J968" s="3" t="str">
        <f t="shared" si="50"/>
        <v>Clear</v>
      </c>
      <c r="K968" s="9">
        <v>0.26</v>
      </c>
      <c r="L968" s="9">
        <v>0.30299999999999999</v>
      </c>
      <c r="M968" s="9">
        <v>0.41</v>
      </c>
      <c r="N968" s="9">
        <v>0</v>
      </c>
      <c r="O968" s="9">
        <v>9</v>
      </c>
      <c r="P968" s="9">
        <v>42</v>
      </c>
      <c r="Q968" s="9">
        <v>51</v>
      </c>
    </row>
    <row r="969" spans="1:17">
      <c r="A969" s="9">
        <v>968</v>
      </c>
      <c r="B969" s="10">
        <v>40586</v>
      </c>
      <c r="C969" s="9">
        <v>1</v>
      </c>
      <c r="D969" s="9">
        <v>0</v>
      </c>
      <c r="E969" s="3" t="str">
        <f t="shared" si="49"/>
        <v>February</v>
      </c>
      <c r="F969" s="9">
        <v>22</v>
      </c>
      <c r="G969" s="3" t="b">
        <v>0</v>
      </c>
      <c r="H969" s="3" t="str">
        <f t="shared" ref="H969:H1001" si="51">TEXT(B969,"dddd")</f>
        <v>Saturday</v>
      </c>
      <c r="I969" s="9">
        <v>6</v>
      </c>
      <c r="J969" s="3" t="str">
        <f t="shared" si="50"/>
        <v>Foggy</v>
      </c>
      <c r="K969" s="9">
        <v>0.24</v>
      </c>
      <c r="L969" s="9">
        <v>0.2576</v>
      </c>
      <c r="M969" s="9">
        <v>0.44</v>
      </c>
      <c r="N969" s="9">
        <v>8.9599999999999999E-2</v>
      </c>
      <c r="O969" s="9">
        <v>6</v>
      </c>
      <c r="P969" s="9">
        <v>39</v>
      </c>
      <c r="Q969" s="9">
        <v>45</v>
      </c>
    </row>
    <row r="970" spans="1:17">
      <c r="A970" s="9">
        <v>969</v>
      </c>
      <c r="B970" s="10">
        <v>40586</v>
      </c>
      <c r="C970" s="9">
        <v>1</v>
      </c>
      <c r="D970" s="9">
        <v>0</v>
      </c>
      <c r="E970" s="3" t="str">
        <f t="shared" si="49"/>
        <v>February</v>
      </c>
      <c r="F970" s="9">
        <v>23</v>
      </c>
      <c r="G970" s="3" t="b">
        <v>0</v>
      </c>
      <c r="H970" s="3" t="str">
        <f t="shared" si="51"/>
        <v>Saturday</v>
      </c>
      <c r="I970" s="9">
        <v>6</v>
      </c>
      <c r="J970" s="3" t="str">
        <f t="shared" si="50"/>
        <v>Foggy</v>
      </c>
      <c r="K970" s="9">
        <v>0.22</v>
      </c>
      <c r="L970" s="9">
        <v>0.2273</v>
      </c>
      <c r="M970" s="9">
        <v>0.51</v>
      </c>
      <c r="N970" s="9">
        <v>0.1343</v>
      </c>
      <c r="O970" s="9">
        <v>1</v>
      </c>
      <c r="P970" s="9">
        <v>31</v>
      </c>
      <c r="Q970" s="9">
        <v>32</v>
      </c>
    </row>
    <row r="971" spans="1:17">
      <c r="A971" s="9">
        <v>970</v>
      </c>
      <c r="B971" s="10">
        <v>40587</v>
      </c>
      <c r="C971" s="9">
        <v>1</v>
      </c>
      <c r="D971" s="9">
        <v>0</v>
      </c>
      <c r="E971" s="3" t="str">
        <f t="shared" si="49"/>
        <v>February</v>
      </c>
      <c r="F971" s="9">
        <v>0</v>
      </c>
      <c r="G971" s="3" t="b">
        <v>0</v>
      </c>
      <c r="H971" s="3" t="str">
        <f t="shared" si="51"/>
        <v>Sunday</v>
      </c>
      <c r="I971" s="9">
        <v>0</v>
      </c>
      <c r="J971" s="3" t="str">
        <f t="shared" si="50"/>
        <v>Foggy</v>
      </c>
      <c r="K971" s="9">
        <v>0.2</v>
      </c>
      <c r="L971" s="9">
        <v>0.2273</v>
      </c>
      <c r="M971" s="9">
        <v>0.64</v>
      </c>
      <c r="N971" s="9">
        <v>0.1045</v>
      </c>
      <c r="O971" s="9">
        <v>5</v>
      </c>
      <c r="P971" s="9">
        <v>34</v>
      </c>
      <c r="Q971" s="9">
        <v>39</v>
      </c>
    </row>
    <row r="972" spans="1:17">
      <c r="A972" s="9">
        <v>971</v>
      </c>
      <c r="B972" s="10">
        <v>40587</v>
      </c>
      <c r="C972" s="9">
        <v>1</v>
      </c>
      <c r="D972" s="9">
        <v>0</v>
      </c>
      <c r="E972" s="3" t="str">
        <f t="shared" si="49"/>
        <v>February</v>
      </c>
      <c r="F972" s="9">
        <v>1</v>
      </c>
      <c r="G972" s="3" t="b">
        <v>0</v>
      </c>
      <c r="H972" s="3" t="str">
        <f t="shared" si="51"/>
        <v>Sunday</v>
      </c>
      <c r="I972" s="9">
        <v>0</v>
      </c>
      <c r="J972" s="3" t="str">
        <f t="shared" si="50"/>
        <v>Foggy</v>
      </c>
      <c r="K972" s="9">
        <v>0.2</v>
      </c>
      <c r="L972" s="9">
        <v>0.2273</v>
      </c>
      <c r="M972" s="9">
        <v>0.59</v>
      </c>
      <c r="N972" s="9">
        <v>8.9599999999999999E-2</v>
      </c>
      <c r="O972" s="9">
        <v>1</v>
      </c>
      <c r="P972" s="9">
        <v>23</v>
      </c>
      <c r="Q972" s="9">
        <v>24</v>
      </c>
    </row>
    <row r="973" spans="1:17">
      <c r="A973" s="9">
        <v>972</v>
      </c>
      <c r="B973" s="10">
        <v>40587</v>
      </c>
      <c r="C973" s="9">
        <v>1</v>
      </c>
      <c r="D973" s="9">
        <v>0</v>
      </c>
      <c r="E973" s="3" t="str">
        <f t="shared" si="49"/>
        <v>February</v>
      </c>
      <c r="F973" s="9">
        <v>2</v>
      </c>
      <c r="G973" s="3" t="b">
        <v>0</v>
      </c>
      <c r="H973" s="3" t="str">
        <f t="shared" si="51"/>
        <v>Sunday</v>
      </c>
      <c r="I973" s="9">
        <v>0</v>
      </c>
      <c r="J973" s="3" t="str">
        <f t="shared" si="50"/>
        <v>Foggy</v>
      </c>
      <c r="K973" s="9">
        <v>0.2</v>
      </c>
      <c r="L973" s="9">
        <v>0.2273</v>
      </c>
      <c r="M973" s="9">
        <v>0.75</v>
      </c>
      <c r="N973" s="9">
        <v>8.9599999999999999E-2</v>
      </c>
      <c r="O973" s="9">
        <v>1</v>
      </c>
      <c r="P973" s="9">
        <v>19</v>
      </c>
      <c r="Q973" s="9">
        <v>20</v>
      </c>
    </row>
    <row r="974" spans="1:17">
      <c r="A974" s="9">
        <v>973</v>
      </c>
      <c r="B974" s="10">
        <v>40587</v>
      </c>
      <c r="C974" s="9">
        <v>1</v>
      </c>
      <c r="D974" s="9">
        <v>0</v>
      </c>
      <c r="E974" s="3" t="str">
        <f t="shared" si="49"/>
        <v>February</v>
      </c>
      <c r="F974" s="9">
        <v>3</v>
      </c>
      <c r="G974" s="3" t="b">
        <v>0</v>
      </c>
      <c r="H974" s="3" t="str">
        <f t="shared" si="51"/>
        <v>Sunday</v>
      </c>
      <c r="I974" s="9">
        <v>0</v>
      </c>
      <c r="J974" s="3" t="str">
        <f t="shared" si="50"/>
        <v>Foggy</v>
      </c>
      <c r="K974" s="9">
        <v>0.2</v>
      </c>
      <c r="L974" s="9">
        <v>0.2273</v>
      </c>
      <c r="M974" s="9">
        <v>0.69</v>
      </c>
      <c r="N974" s="9">
        <v>0.1045</v>
      </c>
      <c r="O974" s="9">
        <v>4</v>
      </c>
      <c r="P974" s="9">
        <v>8</v>
      </c>
      <c r="Q974" s="9">
        <v>12</v>
      </c>
    </row>
    <row r="975" spans="1:17">
      <c r="A975" s="9">
        <v>974</v>
      </c>
      <c r="B975" s="10">
        <v>40587</v>
      </c>
      <c r="C975" s="9">
        <v>1</v>
      </c>
      <c r="D975" s="9">
        <v>0</v>
      </c>
      <c r="E975" s="3" t="str">
        <f t="shared" si="49"/>
        <v>February</v>
      </c>
      <c r="F975" s="9">
        <v>4</v>
      </c>
      <c r="G975" s="3" t="b">
        <v>0</v>
      </c>
      <c r="H975" s="3" t="str">
        <f t="shared" si="51"/>
        <v>Sunday</v>
      </c>
      <c r="I975" s="9">
        <v>0</v>
      </c>
      <c r="J975" s="3" t="str">
        <f t="shared" si="50"/>
        <v>Foggy</v>
      </c>
      <c r="K975" s="9">
        <v>0.2</v>
      </c>
      <c r="L975" s="9">
        <v>0.21210000000000001</v>
      </c>
      <c r="M975" s="9">
        <v>0.69</v>
      </c>
      <c r="N975" s="9">
        <v>0.16420000000000001</v>
      </c>
      <c r="O975" s="9">
        <v>0</v>
      </c>
      <c r="P975" s="9">
        <v>2</v>
      </c>
      <c r="Q975" s="9">
        <v>2</v>
      </c>
    </row>
    <row r="976" spans="1:17">
      <c r="A976" s="9">
        <v>975</v>
      </c>
      <c r="B976" s="10">
        <v>40587</v>
      </c>
      <c r="C976" s="9">
        <v>1</v>
      </c>
      <c r="D976" s="9">
        <v>0</v>
      </c>
      <c r="E976" s="3" t="str">
        <f t="shared" si="49"/>
        <v>February</v>
      </c>
      <c r="F976" s="9">
        <v>6</v>
      </c>
      <c r="G976" s="3" t="b">
        <v>0</v>
      </c>
      <c r="H976" s="3" t="str">
        <f t="shared" si="51"/>
        <v>Sunday</v>
      </c>
      <c r="I976" s="9">
        <v>0</v>
      </c>
      <c r="J976" s="3" t="str">
        <f t="shared" si="50"/>
        <v>Foggy</v>
      </c>
      <c r="K976" s="9">
        <v>0.2</v>
      </c>
      <c r="L976" s="9">
        <v>0.21210000000000001</v>
      </c>
      <c r="M976" s="9">
        <v>0.69</v>
      </c>
      <c r="N976" s="9">
        <v>0.1343</v>
      </c>
      <c r="O976" s="9">
        <v>2</v>
      </c>
      <c r="P976" s="9">
        <v>3</v>
      </c>
      <c r="Q976" s="9">
        <v>5</v>
      </c>
    </row>
    <row r="977" spans="1:17">
      <c r="A977" s="9">
        <v>976</v>
      </c>
      <c r="B977" s="10">
        <v>40587</v>
      </c>
      <c r="C977" s="9">
        <v>1</v>
      </c>
      <c r="D977" s="9">
        <v>0</v>
      </c>
      <c r="E977" s="3" t="str">
        <f t="shared" si="49"/>
        <v>February</v>
      </c>
      <c r="F977" s="9">
        <v>7</v>
      </c>
      <c r="G977" s="3" t="b">
        <v>0</v>
      </c>
      <c r="H977" s="3" t="str">
        <f t="shared" si="51"/>
        <v>Sunday</v>
      </c>
      <c r="I977" s="9">
        <v>0</v>
      </c>
      <c r="J977" s="3" t="str">
        <f t="shared" si="50"/>
        <v>Foggy</v>
      </c>
      <c r="K977" s="9">
        <v>0.22</v>
      </c>
      <c r="L977" s="9">
        <v>0.2727</v>
      </c>
      <c r="M977" s="9">
        <v>0.55000000000000004</v>
      </c>
      <c r="N977" s="9">
        <v>0</v>
      </c>
      <c r="O977" s="9">
        <v>0</v>
      </c>
      <c r="P977" s="9">
        <v>3</v>
      </c>
      <c r="Q977" s="9">
        <v>3</v>
      </c>
    </row>
    <row r="978" spans="1:17">
      <c r="A978" s="9">
        <v>977</v>
      </c>
      <c r="B978" s="10">
        <v>40587</v>
      </c>
      <c r="C978" s="9">
        <v>1</v>
      </c>
      <c r="D978" s="9">
        <v>0</v>
      </c>
      <c r="E978" s="3" t="str">
        <f t="shared" si="49"/>
        <v>February</v>
      </c>
      <c r="F978" s="9">
        <v>8</v>
      </c>
      <c r="G978" s="3" t="b">
        <v>0</v>
      </c>
      <c r="H978" s="3" t="str">
        <f t="shared" si="51"/>
        <v>Sunday</v>
      </c>
      <c r="I978" s="9">
        <v>0</v>
      </c>
      <c r="J978" s="3" t="str">
        <f t="shared" si="50"/>
        <v>Foggy</v>
      </c>
      <c r="K978" s="9">
        <v>0.22</v>
      </c>
      <c r="L978" s="9">
        <v>0.2273</v>
      </c>
      <c r="M978" s="9">
        <v>0.64</v>
      </c>
      <c r="N978" s="9">
        <v>0.19400000000000001</v>
      </c>
      <c r="O978" s="9">
        <v>1</v>
      </c>
      <c r="P978" s="9">
        <v>11</v>
      </c>
      <c r="Q978" s="9">
        <v>12</v>
      </c>
    </row>
    <row r="979" spans="1:17">
      <c r="A979" s="9">
        <v>978</v>
      </c>
      <c r="B979" s="10">
        <v>40587</v>
      </c>
      <c r="C979" s="9">
        <v>1</v>
      </c>
      <c r="D979" s="9">
        <v>0</v>
      </c>
      <c r="E979" s="3" t="str">
        <f t="shared" si="49"/>
        <v>February</v>
      </c>
      <c r="F979" s="9">
        <v>9</v>
      </c>
      <c r="G979" s="3" t="b">
        <v>0</v>
      </c>
      <c r="H979" s="3" t="str">
        <f t="shared" si="51"/>
        <v>Sunday</v>
      </c>
      <c r="I979" s="9">
        <v>0</v>
      </c>
      <c r="J979" s="3" t="str">
        <f t="shared" si="50"/>
        <v>Foggy</v>
      </c>
      <c r="K979" s="9">
        <v>0.24</v>
      </c>
      <c r="L979" s="9">
        <v>0.2273</v>
      </c>
      <c r="M979" s="9">
        <v>0.6</v>
      </c>
      <c r="N979" s="9">
        <v>0.22389999999999999</v>
      </c>
      <c r="O979" s="9">
        <v>12</v>
      </c>
      <c r="P979" s="9">
        <v>35</v>
      </c>
      <c r="Q979" s="9">
        <v>47</v>
      </c>
    </row>
    <row r="980" spans="1:17">
      <c r="A980" s="9">
        <v>979</v>
      </c>
      <c r="B980" s="10">
        <v>40587</v>
      </c>
      <c r="C980" s="9">
        <v>1</v>
      </c>
      <c r="D980" s="9">
        <v>0</v>
      </c>
      <c r="E980" s="3" t="str">
        <f t="shared" si="49"/>
        <v>February</v>
      </c>
      <c r="F980" s="9">
        <v>10</v>
      </c>
      <c r="G980" s="3" t="b">
        <v>0</v>
      </c>
      <c r="H980" s="3" t="str">
        <f t="shared" si="51"/>
        <v>Sunday</v>
      </c>
      <c r="I980" s="9">
        <v>0</v>
      </c>
      <c r="J980" s="3" t="str">
        <f t="shared" si="50"/>
        <v>Clear</v>
      </c>
      <c r="K980" s="9">
        <v>0.3</v>
      </c>
      <c r="L980" s="9">
        <v>0.2727</v>
      </c>
      <c r="M980" s="9">
        <v>0.45</v>
      </c>
      <c r="N980" s="9">
        <v>0.32840000000000003</v>
      </c>
      <c r="O980" s="9">
        <v>19</v>
      </c>
      <c r="P980" s="9">
        <v>86</v>
      </c>
      <c r="Q980" s="9">
        <v>105</v>
      </c>
    </row>
    <row r="981" spans="1:17">
      <c r="A981" s="9">
        <v>980</v>
      </c>
      <c r="B981" s="10">
        <v>40587</v>
      </c>
      <c r="C981" s="9">
        <v>1</v>
      </c>
      <c r="D981" s="9">
        <v>0</v>
      </c>
      <c r="E981" s="3" t="str">
        <f t="shared" si="49"/>
        <v>February</v>
      </c>
      <c r="F981" s="9">
        <v>11</v>
      </c>
      <c r="G981" s="3" t="b">
        <v>0</v>
      </c>
      <c r="H981" s="3" t="str">
        <f t="shared" si="51"/>
        <v>Sunday</v>
      </c>
      <c r="I981" s="9">
        <v>0</v>
      </c>
      <c r="J981" s="3" t="str">
        <f t="shared" si="50"/>
        <v>Clear</v>
      </c>
      <c r="K981" s="9">
        <v>0.32</v>
      </c>
      <c r="L981" s="9">
        <v>0.28789999999999999</v>
      </c>
      <c r="M981" s="9">
        <v>0.39</v>
      </c>
      <c r="N981" s="9">
        <v>0.44779999999999998</v>
      </c>
      <c r="O981" s="9">
        <v>26</v>
      </c>
      <c r="P981" s="9">
        <v>86</v>
      </c>
      <c r="Q981" s="9">
        <v>112</v>
      </c>
    </row>
    <row r="982" spans="1:17">
      <c r="A982" s="9">
        <v>981</v>
      </c>
      <c r="B982" s="10">
        <v>40587</v>
      </c>
      <c r="C982" s="9">
        <v>1</v>
      </c>
      <c r="D982" s="9">
        <v>0</v>
      </c>
      <c r="E982" s="3" t="str">
        <f t="shared" si="49"/>
        <v>February</v>
      </c>
      <c r="F982" s="9">
        <v>12</v>
      </c>
      <c r="G982" s="3" t="b">
        <v>0</v>
      </c>
      <c r="H982" s="3" t="str">
        <f t="shared" si="51"/>
        <v>Sunday</v>
      </c>
      <c r="I982" s="9">
        <v>0</v>
      </c>
      <c r="J982" s="3" t="str">
        <f t="shared" si="50"/>
        <v>Clear</v>
      </c>
      <c r="K982" s="9">
        <v>0.36</v>
      </c>
      <c r="L982" s="9">
        <v>0.31819999999999998</v>
      </c>
      <c r="M982" s="9">
        <v>0.32</v>
      </c>
      <c r="N982" s="9">
        <v>0.4627</v>
      </c>
      <c r="O982" s="9">
        <v>58</v>
      </c>
      <c r="P982" s="9">
        <v>94</v>
      </c>
      <c r="Q982" s="9">
        <v>152</v>
      </c>
    </row>
    <row r="983" spans="1:17">
      <c r="A983" s="9">
        <v>982</v>
      </c>
      <c r="B983" s="10">
        <v>40587</v>
      </c>
      <c r="C983" s="9">
        <v>1</v>
      </c>
      <c r="D983" s="9">
        <v>0</v>
      </c>
      <c r="E983" s="3" t="str">
        <f t="shared" si="49"/>
        <v>February</v>
      </c>
      <c r="F983" s="9">
        <v>13</v>
      </c>
      <c r="G983" s="3" t="b">
        <v>0</v>
      </c>
      <c r="H983" s="3" t="str">
        <f t="shared" si="51"/>
        <v>Sunday</v>
      </c>
      <c r="I983" s="9">
        <v>0</v>
      </c>
      <c r="J983" s="3" t="str">
        <f t="shared" si="50"/>
        <v>Clear</v>
      </c>
      <c r="K983" s="9">
        <v>0.38</v>
      </c>
      <c r="L983" s="9">
        <v>0.39389999999999997</v>
      </c>
      <c r="M983" s="9">
        <v>0.28999999999999998</v>
      </c>
      <c r="N983" s="9">
        <v>0.35820000000000002</v>
      </c>
      <c r="O983" s="9">
        <v>62</v>
      </c>
      <c r="P983" s="9">
        <v>92</v>
      </c>
      <c r="Q983" s="9">
        <v>154</v>
      </c>
    </row>
    <row r="984" spans="1:17">
      <c r="A984" s="9">
        <v>983</v>
      </c>
      <c r="B984" s="10">
        <v>40587</v>
      </c>
      <c r="C984" s="9">
        <v>1</v>
      </c>
      <c r="D984" s="9">
        <v>0</v>
      </c>
      <c r="E984" s="3" t="str">
        <f t="shared" si="49"/>
        <v>February</v>
      </c>
      <c r="F984" s="9">
        <v>14</v>
      </c>
      <c r="G984" s="3" t="b">
        <v>0</v>
      </c>
      <c r="H984" s="3" t="str">
        <f t="shared" si="51"/>
        <v>Sunday</v>
      </c>
      <c r="I984" s="9">
        <v>0</v>
      </c>
      <c r="J984" s="3" t="str">
        <f t="shared" si="50"/>
        <v>Clear</v>
      </c>
      <c r="K984" s="9">
        <v>0.4</v>
      </c>
      <c r="L984" s="9">
        <v>0.40910000000000002</v>
      </c>
      <c r="M984" s="9">
        <v>0.3</v>
      </c>
      <c r="N984" s="9">
        <v>0.41789999999999999</v>
      </c>
      <c r="O984" s="9">
        <v>51</v>
      </c>
      <c r="P984" s="9">
        <v>110</v>
      </c>
      <c r="Q984" s="9">
        <v>161</v>
      </c>
    </row>
    <row r="985" spans="1:17">
      <c r="A985" s="9">
        <v>984</v>
      </c>
      <c r="B985" s="10">
        <v>40587</v>
      </c>
      <c r="C985" s="9">
        <v>1</v>
      </c>
      <c r="D985" s="9">
        <v>0</v>
      </c>
      <c r="E985" s="3" t="str">
        <f t="shared" si="49"/>
        <v>February</v>
      </c>
      <c r="F985" s="9">
        <v>15</v>
      </c>
      <c r="G985" s="3" t="b">
        <v>0</v>
      </c>
      <c r="H985" s="3" t="str">
        <f t="shared" si="51"/>
        <v>Sunday</v>
      </c>
      <c r="I985" s="9">
        <v>0</v>
      </c>
      <c r="J985" s="3" t="str">
        <f t="shared" si="50"/>
        <v>Clear</v>
      </c>
      <c r="K985" s="9">
        <v>0.4</v>
      </c>
      <c r="L985" s="9">
        <v>0.40910000000000002</v>
      </c>
      <c r="M985" s="9">
        <v>0.3</v>
      </c>
      <c r="N985" s="9">
        <v>0.29849999999999999</v>
      </c>
      <c r="O985" s="9">
        <v>40</v>
      </c>
      <c r="P985" s="9">
        <v>122</v>
      </c>
      <c r="Q985" s="9">
        <v>162</v>
      </c>
    </row>
    <row r="986" spans="1:17">
      <c r="A986" s="9">
        <v>985</v>
      </c>
      <c r="B986" s="10">
        <v>40587</v>
      </c>
      <c r="C986" s="9">
        <v>1</v>
      </c>
      <c r="D986" s="9">
        <v>0</v>
      </c>
      <c r="E986" s="3" t="str">
        <f t="shared" si="49"/>
        <v>February</v>
      </c>
      <c r="F986" s="9">
        <v>16</v>
      </c>
      <c r="G986" s="3" t="b">
        <v>0</v>
      </c>
      <c r="H986" s="3" t="str">
        <f t="shared" si="51"/>
        <v>Sunday</v>
      </c>
      <c r="I986" s="9">
        <v>0</v>
      </c>
      <c r="J986" s="3" t="str">
        <f t="shared" si="50"/>
        <v>Clear</v>
      </c>
      <c r="K986" s="9">
        <v>0.42</v>
      </c>
      <c r="L986" s="9">
        <v>0.42420000000000002</v>
      </c>
      <c r="M986" s="9">
        <v>0.28000000000000003</v>
      </c>
      <c r="N986" s="9">
        <v>0.32840000000000003</v>
      </c>
      <c r="O986" s="9">
        <v>28</v>
      </c>
      <c r="P986" s="9">
        <v>106</v>
      </c>
      <c r="Q986" s="9">
        <v>134</v>
      </c>
    </row>
    <row r="987" spans="1:17">
      <c r="A987" s="9">
        <v>986</v>
      </c>
      <c r="B987" s="10">
        <v>40587</v>
      </c>
      <c r="C987" s="9">
        <v>1</v>
      </c>
      <c r="D987" s="9">
        <v>0</v>
      </c>
      <c r="E987" s="3" t="str">
        <f t="shared" si="49"/>
        <v>February</v>
      </c>
      <c r="F987" s="9">
        <v>17</v>
      </c>
      <c r="G987" s="3" t="b">
        <v>0</v>
      </c>
      <c r="H987" s="3" t="str">
        <f t="shared" si="51"/>
        <v>Sunday</v>
      </c>
      <c r="I987" s="9">
        <v>0</v>
      </c>
      <c r="J987" s="3" t="str">
        <f t="shared" si="50"/>
        <v>Clear</v>
      </c>
      <c r="K987" s="9">
        <v>0.42</v>
      </c>
      <c r="L987" s="9">
        <v>0.42420000000000002</v>
      </c>
      <c r="M987" s="9">
        <v>0.28000000000000003</v>
      </c>
      <c r="N987" s="9">
        <v>0.32840000000000003</v>
      </c>
      <c r="O987" s="9">
        <v>30</v>
      </c>
      <c r="P987" s="9">
        <v>95</v>
      </c>
      <c r="Q987" s="9">
        <v>125</v>
      </c>
    </row>
    <row r="988" spans="1:17">
      <c r="A988" s="9">
        <v>987</v>
      </c>
      <c r="B988" s="10">
        <v>40587</v>
      </c>
      <c r="C988" s="9">
        <v>1</v>
      </c>
      <c r="D988" s="9">
        <v>0</v>
      </c>
      <c r="E988" s="3" t="str">
        <f t="shared" si="49"/>
        <v>February</v>
      </c>
      <c r="F988" s="9">
        <v>18</v>
      </c>
      <c r="G988" s="3" t="b">
        <v>0</v>
      </c>
      <c r="H988" s="3" t="str">
        <f t="shared" si="51"/>
        <v>Sunday</v>
      </c>
      <c r="I988" s="9">
        <v>0</v>
      </c>
      <c r="J988" s="3" t="str">
        <f t="shared" si="50"/>
        <v>Clear</v>
      </c>
      <c r="K988" s="9">
        <v>0.4</v>
      </c>
      <c r="L988" s="9">
        <v>0.40910000000000002</v>
      </c>
      <c r="M988" s="9">
        <v>0.32</v>
      </c>
      <c r="N988" s="9">
        <v>0.29849999999999999</v>
      </c>
      <c r="O988" s="9">
        <v>17</v>
      </c>
      <c r="P988" s="9">
        <v>78</v>
      </c>
      <c r="Q988" s="9">
        <v>95</v>
      </c>
    </row>
    <row r="989" spans="1:17">
      <c r="A989" s="9">
        <v>988</v>
      </c>
      <c r="B989" s="10">
        <v>40587</v>
      </c>
      <c r="C989" s="9">
        <v>1</v>
      </c>
      <c r="D989" s="9">
        <v>0</v>
      </c>
      <c r="E989" s="3" t="str">
        <f t="shared" si="49"/>
        <v>February</v>
      </c>
      <c r="F989" s="9">
        <v>19</v>
      </c>
      <c r="G989" s="3" t="b">
        <v>0</v>
      </c>
      <c r="H989" s="3" t="str">
        <f t="shared" si="51"/>
        <v>Sunday</v>
      </c>
      <c r="I989" s="9">
        <v>0</v>
      </c>
      <c r="J989" s="3" t="str">
        <f t="shared" si="50"/>
        <v>Clear</v>
      </c>
      <c r="K989" s="9">
        <v>0.4</v>
      </c>
      <c r="L989" s="9">
        <v>0.40910000000000002</v>
      </c>
      <c r="M989" s="9">
        <v>0.35</v>
      </c>
      <c r="N989" s="9">
        <v>0.28360000000000002</v>
      </c>
      <c r="O989" s="9">
        <v>11</v>
      </c>
      <c r="P989" s="9">
        <v>50</v>
      </c>
      <c r="Q989" s="9">
        <v>61</v>
      </c>
    </row>
    <row r="990" spans="1:17">
      <c r="A990" s="9">
        <v>989</v>
      </c>
      <c r="B990" s="10">
        <v>40587</v>
      </c>
      <c r="C990" s="9">
        <v>1</v>
      </c>
      <c r="D990" s="9">
        <v>0</v>
      </c>
      <c r="E990" s="3" t="str">
        <f t="shared" si="49"/>
        <v>February</v>
      </c>
      <c r="F990" s="9">
        <v>20</v>
      </c>
      <c r="G990" s="3" t="b">
        <v>0</v>
      </c>
      <c r="H990" s="3" t="str">
        <f t="shared" si="51"/>
        <v>Sunday</v>
      </c>
      <c r="I990" s="9">
        <v>0</v>
      </c>
      <c r="J990" s="3" t="str">
        <f t="shared" si="50"/>
        <v>Clear</v>
      </c>
      <c r="K990" s="9">
        <v>0.4</v>
      </c>
      <c r="L990" s="9">
        <v>0.40910000000000002</v>
      </c>
      <c r="M990" s="9">
        <v>0.35</v>
      </c>
      <c r="N990" s="9">
        <v>0.32840000000000003</v>
      </c>
      <c r="O990" s="9">
        <v>15</v>
      </c>
      <c r="P990" s="9">
        <v>32</v>
      </c>
      <c r="Q990" s="9">
        <v>47</v>
      </c>
    </row>
    <row r="991" spans="1:17">
      <c r="A991" s="9">
        <v>990</v>
      </c>
      <c r="B991" s="10">
        <v>40587</v>
      </c>
      <c r="C991" s="9">
        <v>1</v>
      </c>
      <c r="D991" s="9">
        <v>0</v>
      </c>
      <c r="E991" s="3" t="str">
        <f t="shared" si="49"/>
        <v>February</v>
      </c>
      <c r="F991" s="9">
        <v>21</v>
      </c>
      <c r="G991" s="3" t="b">
        <v>0</v>
      </c>
      <c r="H991" s="3" t="str">
        <f t="shared" si="51"/>
        <v>Sunday</v>
      </c>
      <c r="I991" s="9">
        <v>0</v>
      </c>
      <c r="J991" s="3" t="str">
        <f t="shared" si="50"/>
        <v>Clear</v>
      </c>
      <c r="K991" s="9">
        <v>0.4</v>
      </c>
      <c r="L991" s="9">
        <v>0.40910000000000002</v>
      </c>
      <c r="M991" s="9">
        <v>0.35</v>
      </c>
      <c r="N991" s="9">
        <v>0.35820000000000002</v>
      </c>
      <c r="O991" s="9">
        <v>6</v>
      </c>
      <c r="P991" s="9">
        <v>45</v>
      </c>
      <c r="Q991" s="9">
        <v>51</v>
      </c>
    </row>
    <row r="992" spans="1:17">
      <c r="A992" s="9">
        <v>991</v>
      </c>
      <c r="B992" s="10">
        <v>40587</v>
      </c>
      <c r="C992" s="9">
        <v>1</v>
      </c>
      <c r="D992" s="9">
        <v>0</v>
      </c>
      <c r="E992" s="3" t="str">
        <f t="shared" si="49"/>
        <v>February</v>
      </c>
      <c r="F992" s="9">
        <v>22</v>
      </c>
      <c r="G992" s="3" t="b">
        <v>0</v>
      </c>
      <c r="H992" s="3" t="str">
        <f t="shared" si="51"/>
        <v>Sunday</v>
      </c>
      <c r="I992" s="9">
        <v>0</v>
      </c>
      <c r="J992" s="3" t="str">
        <f t="shared" si="50"/>
        <v>Clear</v>
      </c>
      <c r="K992" s="9">
        <v>0.4</v>
      </c>
      <c r="L992" s="9">
        <v>0.40910000000000002</v>
      </c>
      <c r="M992" s="9">
        <v>0.35</v>
      </c>
      <c r="N992" s="9">
        <v>0.29849999999999999</v>
      </c>
      <c r="O992" s="9">
        <v>5</v>
      </c>
      <c r="P992" s="9">
        <v>31</v>
      </c>
      <c r="Q992" s="9">
        <v>36</v>
      </c>
    </row>
    <row r="993" spans="1:17">
      <c r="A993" s="9">
        <v>992</v>
      </c>
      <c r="B993" s="10">
        <v>40587</v>
      </c>
      <c r="C993" s="9">
        <v>1</v>
      </c>
      <c r="D993" s="9">
        <v>0</v>
      </c>
      <c r="E993" s="3" t="str">
        <f t="shared" si="49"/>
        <v>February</v>
      </c>
      <c r="F993" s="9">
        <v>23</v>
      </c>
      <c r="G993" s="3" t="b">
        <v>0</v>
      </c>
      <c r="H993" s="3" t="str">
        <f t="shared" si="51"/>
        <v>Sunday</v>
      </c>
      <c r="I993" s="9">
        <v>0</v>
      </c>
      <c r="J993" s="3" t="str">
        <f t="shared" si="50"/>
        <v>Clear</v>
      </c>
      <c r="K993" s="9">
        <v>0.4</v>
      </c>
      <c r="L993" s="9">
        <v>0.40910000000000002</v>
      </c>
      <c r="M993" s="9">
        <v>0.35</v>
      </c>
      <c r="N993" s="9">
        <v>0.35820000000000002</v>
      </c>
      <c r="O993" s="9">
        <v>3</v>
      </c>
      <c r="P993" s="9">
        <v>27</v>
      </c>
      <c r="Q993" s="9">
        <v>30</v>
      </c>
    </row>
    <row r="994" spans="1:17">
      <c r="A994" s="9">
        <v>993</v>
      </c>
      <c r="B994" s="10">
        <v>40588</v>
      </c>
      <c r="C994" s="9">
        <v>1</v>
      </c>
      <c r="D994" s="9">
        <v>0</v>
      </c>
      <c r="E994" s="3" t="str">
        <f t="shared" si="49"/>
        <v>February</v>
      </c>
      <c r="F994" s="9">
        <v>0</v>
      </c>
      <c r="G994" s="3" t="b">
        <v>0</v>
      </c>
      <c r="H994" s="3" t="str">
        <f t="shared" si="51"/>
        <v>Monday</v>
      </c>
      <c r="I994" s="9">
        <v>1</v>
      </c>
      <c r="J994" s="3" t="str">
        <f t="shared" si="50"/>
        <v>Clear</v>
      </c>
      <c r="K994" s="9">
        <v>0.38</v>
      </c>
      <c r="L994" s="9">
        <v>0.39389999999999997</v>
      </c>
      <c r="M994" s="9">
        <v>0.37</v>
      </c>
      <c r="N994" s="9">
        <v>0.35820000000000002</v>
      </c>
      <c r="O994" s="9">
        <v>3</v>
      </c>
      <c r="P994" s="9">
        <v>8</v>
      </c>
      <c r="Q994" s="9">
        <v>11</v>
      </c>
    </row>
    <row r="995" spans="1:17">
      <c r="A995" s="9">
        <v>994</v>
      </c>
      <c r="B995" s="10">
        <v>40588</v>
      </c>
      <c r="C995" s="9">
        <v>1</v>
      </c>
      <c r="D995" s="9">
        <v>0</v>
      </c>
      <c r="E995" s="3" t="str">
        <f t="shared" si="49"/>
        <v>February</v>
      </c>
      <c r="F995" s="9">
        <v>1</v>
      </c>
      <c r="G995" s="3" t="b">
        <v>0</v>
      </c>
      <c r="H995" s="3" t="str">
        <f t="shared" si="51"/>
        <v>Monday</v>
      </c>
      <c r="I995" s="9">
        <v>1</v>
      </c>
      <c r="J995" s="3" t="str">
        <f t="shared" si="50"/>
        <v>Clear</v>
      </c>
      <c r="K995" s="9">
        <v>0.38</v>
      </c>
      <c r="L995" s="9">
        <v>0.39389999999999997</v>
      </c>
      <c r="M995" s="9">
        <v>0.37</v>
      </c>
      <c r="N995" s="9">
        <v>0.35820000000000002</v>
      </c>
      <c r="O995" s="9">
        <v>1</v>
      </c>
      <c r="P995" s="9">
        <v>6</v>
      </c>
      <c r="Q995" s="9">
        <v>7</v>
      </c>
    </row>
    <row r="996" spans="1:17">
      <c r="A996" s="9">
        <v>995</v>
      </c>
      <c r="B996" s="10">
        <v>40588</v>
      </c>
      <c r="C996" s="9">
        <v>1</v>
      </c>
      <c r="D996" s="9">
        <v>0</v>
      </c>
      <c r="E996" s="3" t="str">
        <f t="shared" si="49"/>
        <v>February</v>
      </c>
      <c r="F996" s="9">
        <v>2</v>
      </c>
      <c r="G996" s="3" t="b">
        <v>0</v>
      </c>
      <c r="H996" s="3" t="str">
        <f t="shared" si="51"/>
        <v>Monday</v>
      </c>
      <c r="I996" s="9">
        <v>1</v>
      </c>
      <c r="J996" s="3" t="str">
        <f t="shared" si="50"/>
        <v>Clear</v>
      </c>
      <c r="K996" s="9">
        <v>0.36</v>
      </c>
      <c r="L996" s="9">
        <v>0.33329999999999999</v>
      </c>
      <c r="M996" s="9">
        <v>0.4</v>
      </c>
      <c r="N996" s="9">
        <v>0.29849999999999999</v>
      </c>
      <c r="O996" s="9">
        <v>0</v>
      </c>
      <c r="P996" s="9">
        <v>2</v>
      </c>
      <c r="Q996" s="9">
        <v>2</v>
      </c>
    </row>
    <row r="997" spans="1:17">
      <c r="A997" s="9">
        <v>996</v>
      </c>
      <c r="B997" s="10">
        <v>40588</v>
      </c>
      <c r="C997" s="9">
        <v>1</v>
      </c>
      <c r="D997" s="9">
        <v>0</v>
      </c>
      <c r="E997" s="3" t="str">
        <f t="shared" si="49"/>
        <v>February</v>
      </c>
      <c r="F997" s="9">
        <v>3</v>
      </c>
      <c r="G997" s="3" t="b">
        <v>0</v>
      </c>
      <c r="H997" s="3" t="str">
        <f t="shared" si="51"/>
        <v>Monday</v>
      </c>
      <c r="I997" s="9">
        <v>1</v>
      </c>
      <c r="J997" s="3" t="str">
        <f t="shared" si="50"/>
        <v>Clear</v>
      </c>
      <c r="K997" s="9">
        <v>0.34</v>
      </c>
      <c r="L997" s="9">
        <v>0.31819999999999998</v>
      </c>
      <c r="M997" s="9">
        <v>0.46</v>
      </c>
      <c r="N997" s="9">
        <v>0.22389999999999999</v>
      </c>
      <c r="O997" s="9">
        <v>1</v>
      </c>
      <c r="P997" s="9">
        <v>1</v>
      </c>
      <c r="Q997" s="9">
        <v>2</v>
      </c>
    </row>
    <row r="998" spans="1:17">
      <c r="A998" s="9">
        <v>997</v>
      </c>
      <c r="B998" s="10">
        <v>40588</v>
      </c>
      <c r="C998" s="9">
        <v>1</v>
      </c>
      <c r="D998" s="9">
        <v>0</v>
      </c>
      <c r="E998" s="3" t="str">
        <f t="shared" si="49"/>
        <v>February</v>
      </c>
      <c r="F998" s="9">
        <v>4</v>
      </c>
      <c r="G998" s="3" t="b">
        <v>0</v>
      </c>
      <c r="H998" s="3" t="str">
        <f t="shared" si="51"/>
        <v>Monday</v>
      </c>
      <c r="I998" s="9">
        <v>1</v>
      </c>
      <c r="J998" s="3" t="str">
        <f t="shared" si="50"/>
        <v>Clear</v>
      </c>
      <c r="K998" s="9">
        <v>0.32</v>
      </c>
      <c r="L998" s="9">
        <v>0.30299999999999999</v>
      </c>
      <c r="M998" s="9">
        <v>0.53</v>
      </c>
      <c r="N998" s="9">
        <v>0.28360000000000002</v>
      </c>
      <c r="O998" s="9">
        <v>0</v>
      </c>
      <c r="P998" s="9">
        <v>2</v>
      </c>
      <c r="Q998" s="9">
        <v>2</v>
      </c>
    </row>
    <row r="999" spans="1:17">
      <c r="A999" s="9">
        <v>998</v>
      </c>
      <c r="B999" s="10">
        <v>40588</v>
      </c>
      <c r="C999" s="9">
        <v>1</v>
      </c>
      <c r="D999" s="9">
        <v>0</v>
      </c>
      <c r="E999" s="3" t="str">
        <f t="shared" si="49"/>
        <v>February</v>
      </c>
      <c r="F999" s="9">
        <v>5</v>
      </c>
      <c r="G999" s="3" t="b">
        <v>0</v>
      </c>
      <c r="H999" s="3" t="str">
        <f t="shared" si="51"/>
        <v>Monday</v>
      </c>
      <c r="I999" s="9">
        <v>1</v>
      </c>
      <c r="J999" s="3" t="str">
        <f t="shared" si="50"/>
        <v>Clear</v>
      </c>
      <c r="K999" s="9">
        <v>0.32</v>
      </c>
      <c r="L999" s="9">
        <v>0.30299999999999999</v>
      </c>
      <c r="M999" s="9">
        <v>0.53</v>
      </c>
      <c r="N999" s="9">
        <v>0.28360000000000002</v>
      </c>
      <c r="O999" s="9">
        <v>0</v>
      </c>
      <c r="P999" s="9">
        <v>3</v>
      </c>
      <c r="Q999" s="9">
        <v>3</v>
      </c>
    </row>
    <row r="1000" spans="1:17">
      <c r="A1000" s="9">
        <v>999</v>
      </c>
      <c r="B1000" s="10">
        <v>40588</v>
      </c>
      <c r="C1000" s="9">
        <v>1</v>
      </c>
      <c r="D1000" s="9">
        <v>0</v>
      </c>
      <c r="E1000" s="3" t="str">
        <f t="shared" si="49"/>
        <v>February</v>
      </c>
      <c r="F1000" s="9">
        <v>6</v>
      </c>
      <c r="G1000" s="3" t="b">
        <v>0</v>
      </c>
      <c r="H1000" s="3" t="str">
        <f t="shared" si="51"/>
        <v>Monday</v>
      </c>
      <c r="I1000" s="9">
        <v>1</v>
      </c>
      <c r="J1000" s="3" t="str">
        <f t="shared" si="50"/>
        <v>Clear</v>
      </c>
      <c r="K1000" s="9">
        <v>0.34</v>
      </c>
      <c r="L1000" s="9">
        <v>0.30299999999999999</v>
      </c>
      <c r="M1000" s="9">
        <v>0.46</v>
      </c>
      <c r="N1000" s="9">
        <v>0.29849999999999999</v>
      </c>
      <c r="O1000" s="9">
        <v>1</v>
      </c>
      <c r="P1000" s="9">
        <v>25</v>
      </c>
      <c r="Q1000" s="9">
        <v>26</v>
      </c>
    </row>
    <row r="1001" spans="1:17">
      <c r="A1001" s="9">
        <v>1000</v>
      </c>
      <c r="B1001" s="10">
        <v>40588</v>
      </c>
      <c r="C1001" s="9">
        <v>1</v>
      </c>
      <c r="D1001" s="9">
        <v>0</v>
      </c>
      <c r="E1001" s="3" t="str">
        <f t="shared" si="49"/>
        <v>February</v>
      </c>
      <c r="F1001" s="9">
        <v>7</v>
      </c>
      <c r="G1001" s="3" t="b">
        <v>0</v>
      </c>
      <c r="H1001" s="3" t="str">
        <f t="shared" si="51"/>
        <v>Monday</v>
      </c>
      <c r="I1001" s="9">
        <v>1</v>
      </c>
      <c r="J1001" s="3" t="str">
        <f t="shared" si="50"/>
        <v>Clear</v>
      </c>
      <c r="K1001" s="9">
        <v>0.34</v>
      </c>
      <c r="L1001" s="9">
        <v>0.30299999999999999</v>
      </c>
      <c r="M1001" s="9">
        <v>0.46</v>
      </c>
      <c r="N1001" s="9">
        <v>0.29849999999999999</v>
      </c>
      <c r="O1001" s="9">
        <v>2</v>
      </c>
      <c r="P1001" s="9">
        <v>96</v>
      </c>
      <c r="Q1001" s="9">
        <v>98</v>
      </c>
    </row>
    <row r="1002" spans="1:17">
      <c r="A1002" s="8"/>
      <c r="E1002" s="11"/>
      <c r="G1002" s="12"/>
      <c r="H1002" s="12"/>
      <c r="J1002" s="11"/>
    </row>
    <row r="1003" spans="1:17">
      <c r="A1003" s="8"/>
      <c r="E1003" s="11"/>
      <c r="G1003" s="12"/>
      <c r="H1003" s="12"/>
      <c r="J1003" s="11"/>
    </row>
    <row r="1004" spans="1:17">
      <c r="A1004" s="8"/>
      <c r="E1004" s="11"/>
      <c r="G1004" s="12"/>
      <c r="H1004" s="12"/>
      <c r="J1004" s="11"/>
    </row>
    <row r="1005" spans="1:17">
      <c r="A1005" s="8"/>
      <c r="E1005" s="11"/>
      <c r="G1005" s="12"/>
      <c r="H1005" s="12"/>
      <c r="J1005" s="11"/>
    </row>
    <row r="1006" spans="1:17">
      <c r="A1006" s="8"/>
      <c r="E1006" s="11"/>
      <c r="G1006" s="12"/>
      <c r="H1006" s="12"/>
      <c r="J1006" s="11"/>
    </row>
    <row r="1007" spans="1:17">
      <c r="A1007" s="8"/>
      <c r="E1007" s="11"/>
      <c r="G1007" s="12"/>
      <c r="H1007" s="12"/>
      <c r="J1007" s="11"/>
    </row>
    <row r="1008" spans="1:17">
      <c r="A1008" s="8"/>
      <c r="E1008" s="11"/>
      <c r="G1008" s="12"/>
      <c r="H1008" s="12"/>
      <c r="J1008" s="11"/>
    </row>
    <row r="1009" spans="1:10">
      <c r="A1009" s="8"/>
      <c r="E1009" s="11"/>
      <c r="G1009" s="12"/>
      <c r="H1009" s="12"/>
      <c r="J1009" s="11"/>
    </row>
    <row r="1010" spans="1:10">
      <c r="A1010" s="8"/>
      <c r="E1010" s="11"/>
      <c r="G1010" s="12"/>
      <c r="H1010" s="12"/>
      <c r="J1010" s="11"/>
    </row>
    <row r="1011" spans="1:10">
      <c r="A1011" s="8"/>
      <c r="E1011" s="11"/>
      <c r="G1011" s="12"/>
      <c r="H1011" s="12"/>
      <c r="J1011" s="11"/>
    </row>
    <row r="1012" spans="1:10">
      <c r="A1012" s="8"/>
      <c r="E1012" s="11"/>
      <c r="G1012" s="12"/>
      <c r="H1012" s="12"/>
      <c r="J1012" s="11"/>
    </row>
    <row r="1013" spans="1:10">
      <c r="A1013" s="8"/>
      <c r="E1013" s="11"/>
      <c r="G1013" s="12"/>
      <c r="H1013" s="12"/>
      <c r="J1013" s="11"/>
    </row>
    <row r="1014" spans="1:10">
      <c r="A1014" s="8"/>
      <c r="E1014" s="11"/>
      <c r="G1014" s="12"/>
      <c r="H1014" s="12"/>
      <c r="J1014" s="11"/>
    </row>
    <row r="1015" spans="1:10">
      <c r="A1015" s="8"/>
      <c r="E1015" s="11"/>
      <c r="G1015" s="12"/>
      <c r="H1015" s="12"/>
      <c r="J1015" s="11"/>
    </row>
    <row r="1016" spans="1:10">
      <c r="A1016" s="8"/>
      <c r="E1016" s="11"/>
      <c r="G1016" s="12"/>
      <c r="H1016" s="12"/>
      <c r="J1016" s="11"/>
    </row>
    <row r="1017" spans="1:10">
      <c r="A1017" s="8"/>
      <c r="E1017" s="11"/>
      <c r="G1017" s="12"/>
      <c r="H1017" s="12"/>
      <c r="J1017" s="11"/>
    </row>
    <row r="1018" spans="1:10">
      <c r="A1018" s="8"/>
      <c r="E1018" s="11"/>
      <c r="G1018" s="12"/>
      <c r="H1018" s="12"/>
      <c r="J1018" s="11"/>
    </row>
    <row r="1019" spans="1:10">
      <c r="A1019" s="8"/>
      <c r="E1019" s="11"/>
      <c r="G1019" s="12"/>
      <c r="H1019" s="12"/>
      <c r="J1019" s="11"/>
    </row>
    <row r="1020" spans="1:10">
      <c r="A1020" s="8"/>
      <c r="E1020" s="11"/>
      <c r="G1020" s="12"/>
      <c r="H1020" s="12"/>
      <c r="J1020" s="11"/>
    </row>
    <row r="1021" spans="1:10">
      <c r="A1021" s="8"/>
      <c r="E1021" s="11"/>
      <c r="G1021" s="12"/>
      <c r="H1021" s="12"/>
      <c r="J1021" s="11"/>
    </row>
    <row r="1022" spans="1:10">
      <c r="A1022" s="8"/>
      <c r="E1022" s="11"/>
      <c r="G1022" s="12"/>
      <c r="H1022" s="12"/>
      <c r="J1022" s="11"/>
    </row>
    <row r="1023" spans="1:10">
      <c r="A1023" s="8"/>
      <c r="E1023" s="11"/>
      <c r="G1023" s="12"/>
      <c r="H1023" s="12"/>
      <c r="J1023" s="11"/>
    </row>
    <row r="1024" spans="1:10">
      <c r="A1024" s="8"/>
      <c r="E1024" s="11"/>
      <c r="G1024" s="12"/>
      <c r="H1024" s="12"/>
      <c r="J1024" s="11"/>
    </row>
    <row r="1025" spans="1:10">
      <c r="A1025" s="8"/>
      <c r="E1025" s="11"/>
      <c r="G1025" s="12"/>
      <c r="H1025" s="12"/>
      <c r="J1025" s="11"/>
    </row>
    <row r="1026" spans="1:10">
      <c r="A1026" s="8"/>
      <c r="E1026" s="11"/>
      <c r="G1026" s="12"/>
      <c r="H1026" s="12"/>
      <c r="J1026" s="11"/>
    </row>
    <row r="1027" spans="1:10">
      <c r="A1027" s="8"/>
      <c r="E1027" s="11"/>
      <c r="G1027" s="12"/>
      <c r="H1027" s="12"/>
      <c r="J1027" s="11"/>
    </row>
    <row r="1028" spans="1:10">
      <c r="A1028" s="8"/>
      <c r="E1028" s="11"/>
      <c r="G1028" s="12"/>
      <c r="H1028" s="12"/>
      <c r="J1028" s="11"/>
    </row>
    <row r="1029" spans="1:10">
      <c r="A1029" s="8"/>
      <c r="E1029" s="11"/>
      <c r="G1029" s="12"/>
      <c r="H1029" s="12"/>
      <c r="J1029" s="11"/>
    </row>
    <row r="1030" spans="1:10">
      <c r="A1030" s="8"/>
      <c r="E1030" s="11"/>
      <c r="G1030" s="12"/>
      <c r="H1030" s="12"/>
      <c r="J1030" s="11"/>
    </row>
    <row r="1031" spans="1:10">
      <c r="A1031" s="8"/>
      <c r="E1031" s="11"/>
      <c r="G1031" s="12"/>
      <c r="H1031" s="12"/>
      <c r="J1031" s="11"/>
    </row>
    <row r="1032" spans="1:10">
      <c r="A1032" s="8"/>
      <c r="E1032" s="11"/>
      <c r="G1032" s="12"/>
      <c r="H1032" s="12"/>
      <c r="J1032" s="11"/>
    </row>
    <row r="1033" spans="1:10">
      <c r="A1033" s="8"/>
      <c r="E1033" s="11"/>
      <c r="G1033" s="12"/>
      <c r="H1033" s="12"/>
      <c r="J1033" s="11"/>
    </row>
    <row r="1034" spans="1:10">
      <c r="A1034" s="8"/>
      <c r="E1034" s="11"/>
      <c r="G1034" s="12"/>
      <c r="H1034" s="12"/>
      <c r="J1034" s="11"/>
    </row>
    <row r="1035" spans="1:10">
      <c r="A1035" s="8"/>
      <c r="E1035" s="11"/>
      <c r="G1035" s="12"/>
      <c r="H1035" s="12"/>
      <c r="J1035" s="11"/>
    </row>
    <row r="1036" spans="1:10">
      <c r="A1036" s="8"/>
      <c r="E1036" s="11"/>
      <c r="G1036" s="12"/>
      <c r="H1036" s="12"/>
      <c r="J1036" s="11"/>
    </row>
    <row r="1037" spans="1:10">
      <c r="A1037" s="8"/>
      <c r="E1037" s="11"/>
      <c r="G1037" s="12"/>
      <c r="H1037" s="12"/>
      <c r="J1037" s="11"/>
    </row>
    <row r="1038" spans="1:10">
      <c r="A1038" s="8"/>
      <c r="E1038" s="11"/>
      <c r="G1038" s="12"/>
      <c r="H1038" s="12"/>
      <c r="J1038" s="11"/>
    </row>
    <row r="1039" spans="1:10">
      <c r="A1039" s="8"/>
      <c r="E1039" s="11"/>
      <c r="G1039" s="12"/>
      <c r="H1039" s="12"/>
      <c r="J1039" s="11"/>
    </row>
    <row r="1040" spans="1:10">
      <c r="A1040" s="8"/>
      <c r="E1040" s="11"/>
      <c r="G1040" s="12"/>
      <c r="H1040" s="12"/>
      <c r="J1040" s="11"/>
    </row>
    <row r="1041" spans="1:10">
      <c r="A1041" s="8"/>
      <c r="E1041" s="11"/>
      <c r="G1041" s="12"/>
      <c r="H1041" s="12"/>
      <c r="J1041" s="11"/>
    </row>
    <row r="1042" spans="1:10">
      <c r="A1042" s="8"/>
      <c r="E1042" s="11"/>
      <c r="G1042" s="12"/>
      <c r="H1042" s="12"/>
      <c r="J1042" s="11"/>
    </row>
    <row r="1043" spans="1:10">
      <c r="A1043" s="8"/>
      <c r="E1043" s="11"/>
      <c r="G1043" s="12"/>
      <c r="H1043" s="12"/>
      <c r="J1043" s="11"/>
    </row>
    <row r="1044" spans="1:10">
      <c r="A1044" s="8"/>
      <c r="E1044" s="11"/>
      <c r="G1044" s="12"/>
      <c r="H1044" s="12"/>
      <c r="J1044" s="11"/>
    </row>
    <row r="1045" spans="1:10">
      <c r="A1045" s="8"/>
      <c r="E1045" s="11"/>
      <c r="G1045" s="12"/>
      <c r="H1045" s="12"/>
      <c r="J1045" s="11"/>
    </row>
    <row r="1046" spans="1:10">
      <c r="A1046" s="8"/>
      <c r="E1046" s="11"/>
      <c r="G1046" s="12"/>
      <c r="H1046" s="12"/>
      <c r="J1046" s="11"/>
    </row>
    <row r="1047" spans="1:10">
      <c r="A1047" s="8"/>
      <c r="E1047" s="11"/>
      <c r="G1047" s="12"/>
      <c r="H1047" s="12"/>
      <c r="J1047" s="11"/>
    </row>
    <row r="1048" spans="1:10">
      <c r="A1048" s="8"/>
      <c r="E1048" s="11"/>
      <c r="G1048" s="12"/>
      <c r="H1048" s="12"/>
      <c r="J1048" s="11"/>
    </row>
    <row r="1049" spans="1:10">
      <c r="A1049" s="8"/>
      <c r="E1049" s="11"/>
      <c r="G1049" s="12"/>
      <c r="H1049" s="12"/>
      <c r="J1049" s="11"/>
    </row>
    <row r="1050" spans="1:10">
      <c r="A1050" s="8"/>
      <c r="E1050" s="11"/>
      <c r="G1050" s="12"/>
      <c r="H1050" s="12"/>
      <c r="J1050" s="11"/>
    </row>
    <row r="1051" spans="1:10">
      <c r="A1051" s="8"/>
      <c r="E1051" s="11"/>
      <c r="G1051" s="12"/>
      <c r="H1051" s="12"/>
      <c r="J1051" s="11"/>
    </row>
    <row r="1052" spans="1:10">
      <c r="A1052" s="8"/>
      <c r="E1052" s="11"/>
      <c r="G1052" s="12"/>
      <c r="H1052" s="12"/>
      <c r="J1052" s="11"/>
    </row>
    <row r="1053" spans="1:10">
      <c r="A1053" s="8"/>
      <c r="E1053" s="11"/>
      <c r="G1053" s="12"/>
      <c r="H1053" s="12"/>
      <c r="J1053" s="11"/>
    </row>
    <row r="1054" spans="1:10">
      <c r="A1054" s="8"/>
      <c r="E1054" s="11"/>
      <c r="G1054" s="12"/>
      <c r="H1054" s="12"/>
      <c r="J1054" s="11"/>
    </row>
    <row r="1055" spans="1:10">
      <c r="A1055" s="8"/>
      <c r="E1055" s="11"/>
      <c r="G1055" s="12"/>
      <c r="H1055" s="12"/>
      <c r="J1055" s="11"/>
    </row>
    <row r="1056" spans="1:10">
      <c r="A1056" s="8"/>
      <c r="E1056" s="11"/>
      <c r="G1056" s="12"/>
      <c r="H1056" s="12"/>
      <c r="J1056" s="11"/>
    </row>
    <row r="1057" spans="1:10">
      <c r="A1057" s="8"/>
      <c r="E1057" s="11"/>
      <c r="G1057" s="12"/>
      <c r="H1057" s="12"/>
      <c r="J1057" s="11"/>
    </row>
    <row r="1058" spans="1:10">
      <c r="A1058" s="8"/>
      <c r="E1058" s="11"/>
      <c r="G1058" s="12"/>
      <c r="H1058" s="12"/>
      <c r="J1058" s="11"/>
    </row>
    <row r="1059" spans="1:10">
      <c r="A1059" s="8"/>
      <c r="E1059" s="11"/>
      <c r="G1059" s="12"/>
      <c r="H1059" s="12"/>
      <c r="J1059" s="11"/>
    </row>
    <row r="1060" spans="1:10">
      <c r="A1060" s="8"/>
      <c r="E1060" s="11"/>
      <c r="G1060" s="12"/>
      <c r="H1060" s="12"/>
      <c r="J1060" s="11"/>
    </row>
    <row r="1061" spans="1:10">
      <c r="A1061" s="8"/>
      <c r="E1061" s="11"/>
      <c r="G1061" s="12"/>
      <c r="H1061" s="12"/>
      <c r="J1061" s="11"/>
    </row>
    <row r="1062" spans="1:10">
      <c r="A1062" s="8"/>
      <c r="E1062" s="11"/>
      <c r="G1062" s="12"/>
      <c r="H1062" s="12"/>
      <c r="J1062" s="11"/>
    </row>
    <row r="1063" spans="1:10">
      <c r="A1063" s="8"/>
      <c r="E1063" s="11"/>
      <c r="G1063" s="12"/>
      <c r="H1063" s="12"/>
      <c r="J1063" s="11"/>
    </row>
    <row r="1064" spans="1:10">
      <c r="A1064" s="8"/>
      <c r="E1064" s="11"/>
      <c r="G1064" s="12"/>
      <c r="H1064" s="12"/>
      <c r="J1064" s="11"/>
    </row>
    <row r="1065" spans="1:10">
      <c r="A1065" s="8"/>
      <c r="E1065" s="11"/>
      <c r="G1065" s="12"/>
      <c r="H1065" s="12"/>
      <c r="J1065" s="11"/>
    </row>
    <row r="1066" spans="1:10">
      <c r="A1066" s="8"/>
      <c r="E1066" s="11"/>
      <c r="G1066" s="12"/>
      <c r="H1066" s="12"/>
      <c r="J1066" s="11"/>
    </row>
    <row r="1067" spans="1:10">
      <c r="A1067" s="8"/>
      <c r="E1067" s="11"/>
      <c r="G1067" s="12"/>
      <c r="H1067" s="12"/>
      <c r="J1067" s="11"/>
    </row>
    <row r="1068" spans="1:10">
      <c r="A1068" s="8"/>
      <c r="E1068" s="11"/>
      <c r="G1068" s="12"/>
      <c r="H1068" s="12"/>
      <c r="J1068" s="11"/>
    </row>
    <row r="1069" spans="1:10">
      <c r="A1069" s="8"/>
      <c r="E1069" s="11"/>
      <c r="G1069" s="12"/>
      <c r="H1069" s="12"/>
      <c r="J1069" s="11"/>
    </row>
    <row r="1070" spans="1:10">
      <c r="A1070" s="8"/>
      <c r="E1070" s="11"/>
      <c r="G1070" s="12"/>
      <c r="H1070" s="12"/>
      <c r="J1070" s="11"/>
    </row>
    <row r="1071" spans="1:10">
      <c r="A1071" s="8"/>
      <c r="E1071" s="11"/>
      <c r="G1071" s="12"/>
      <c r="H1071" s="12"/>
      <c r="J1071" s="11"/>
    </row>
    <row r="1072" spans="1:10">
      <c r="A1072" s="8"/>
      <c r="E1072" s="11"/>
      <c r="G1072" s="12"/>
      <c r="H1072" s="12"/>
      <c r="J1072" s="11"/>
    </row>
    <row r="1073" spans="1:10">
      <c r="A1073" s="8"/>
      <c r="E1073" s="11"/>
      <c r="G1073" s="12"/>
      <c r="H1073" s="12"/>
      <c r="J1073" s="11"/>
    </row>
    <row r="1074" spans="1:10">
      <c r="A1074" s="8"/>
      <c r="E1074" s="11"/>
      <c r="G1074" s="12"/>
      <c r="H1074" s="12"/>
      <c r="J1074" s="11"/>
    </row>
    <row r="1075" spans="1:10">
      <c r="A1075" s="8"/>
      <c r="E1075" s="11"/>
      <c r="G1075" s="12"/>
      <c r="H1075" s="12"/>
      <c r="J1075" s="11"/>
    </row>
    <row r="1076" spans="1:10">
      <c r="A1076" s="8"/>
      <c r="E1076" s="11"/>
      <c r="G1076" s="12"/>
      <c r="H1076" s="12"/>
      <c r="J1076" s="11"/>
    </row>
    <row r="1077" spans="1:10">
      <c r="A1077" s="8"/>
      <c r="E1077" s="11"/>
      <c r="G1077" s="12"/>
      <c r="H1077" s="12"/>
      <c r="J1077" s="11"/>
    </row>
    <row r="1078" spans="1:10">
      <c r="A1078" s="8"/>
      <c r="E1078" s="11"/>
      <c r="G1078" s="12"/>
      <c r="H1078" s="12"/>
      <c r="J1078" s="11"/>
    </row>
    <row r="1079" spans="1:10">
      <c r="A1079" s="8"/>
      <c r="E1079" s="11"/>
      <c r="G1079" s="12"/>
      <c r="H1079" s="12"/>
      <c r="J1079" s="11"/>
    </row>
    <row r="1080" spans="1:10">
      <c r="A1080" s="8"/>
      <c r="E1080" s="11"/>
      <c r="G1080" s="12"/>
      <c r="H1080" s="12"/>
      <c r="J1080" s="11"/>
    </row>
    <row r="1081" spans="1:10">
      <c r="A1081" s="8"/>
      <c r="E1081" s="11"/>
      <c r="G1081" s="12"/>
      <c r="H1081" s="12"/>
      <c r="J1081" s="11"/>
    </row>
    <row r="1082" spans="1:10">
      <c r="A1082" s="8"/>
      <c r="E1082" s="11"/>
      <c r="G1082" s="12"/>
      <c r="H1082" s="12"/>
      <c r="J1082" s="11"/>
    </row>
    <row r="1083" spans="1:10">
      <c r="A1083" s="8"/>
      <c r="E1083" s="11"/>
      <c r="G1083" s="12"/>
      <c r="H1083" s="12"/>
      <c r="J1083" s="11"/>
    </row>
    <row r="1084" spans="1:10">
      <c r="A1084" s="8"/>
      <c r="E1084" s="11"/>
      <c r="G1084" s="12"/>
      <c r="H1084" s="12"/>
      <c r="J1084" s="11"/>
    </row>
    <row r="1085" spans="1:10">
      <c r="A1085" s="8"/>
      <c r="E1085" s="11"/>
      <c r="G1085" s="12"/>
      <c r="H1085" s="12"/>
      <c r="J1085" s="11"/>
    </row>
    <row r="1086" spans="1:10">
      <c r="A1086" s="8"/>
      <c r="E1086" s="11"/>
      <c r="G1086" s="12"/>
      <c r="H1086" s="12"/>
      <c r="J1086" s="11"/>
    </row>
    <row r="1087" spans="1:10">
      <c r="A1087" s="8"/>
      <c r="E1087" s="11"/>
      <c r="G1087" s="12"/>
      <c r="H1087" s="12"/>
      <c r="J1087" s="11"/>
    </row>
    <row r="1088" spans="1:10">
      <c r="A1088" s="8"/>
      <c r="E1088" s="11"/>
      <c r="G1088" s="12"/>
      <c r="H1088" s="12"/>
      <c r="J1088" s="11"/>
    </row>
    <row r="1089" spans="1:10">
      <c r="A1089" s="8"/>
      <c r="E1089" s="11"/>
      <c r="G1089" s="12"/>
      <c r="H1089" s="12"/>
      <c r="J1089" s="11"/>
    </row>
    <row r="1090" spans="1:10">
      <c r="A1090" s="8"/>
      <c r="E1090" s="11"/>
      <c r="G1090" s="12"/>
      <c r="H1090" s="12"/>
      <c r="J1090" s="11"/>
    </row>
    <row r="1091" spans="1:10">
      <c r="A1091" s="8"/>
      <c r="E1091" s="11"/>
      <c r="G1091" s="12"/>
      <c r="H1091" s="12"/>
      <c r="J1091" s="11"/>
    </row>
    <row r="1092" spans="1:10">
      <c r="A1092" s="8"/>
      <c r="E1092" s="11"/>
      <c r="G1092" s="12"/>
      <c r="H1092" s="12"/>
      <c r="J1092" s="11"/>
    </row>
    <row r="1093" spans="1:10">
      <c r="A1093" s="8"/>
      <c r="E1093" s="11"/>
      <c r="G1093" s="12"/>
      <c r="H1093" s="12"/>
      <c r="J1093" s="11"/>
    </row>
    <row r="1094" spans="1:10">
      <c r="A1094" s="8"/>
      <c r="E1094" s="11"/>
      <c r="G1094" s="12"/>
      <c r="H1094" s="12"/>
      <c r="J1094" s="11"/>
    </row>
    <row r="1095" spans="1:10">
      <c r="A1095" s="8"/>
      <c r="E1095" s="11"/>
      <c r="G1095" s="12"/>
      <c r="H1095" s="12"/>
      <c r="J1095" s="11"/>
    </row>
    <row r="1096" spans="1:10">
      <c r="A1096" s="8"/>
      <c r="E1096" s="11"/>
      <c r="G1096" s="12"/>
      <c r="H1096" s="12"/>
      <c r="J1096" s="11"/>
    </row>
    <row r="1097" spans="1:10">
      <c r="A1097" s="8"/>
      <c r="E1097" s="11"/>
      <c r="G1097" s="12"/>
      <c r="H1097" s="12"/>
      <c r="J1097" s="11"/>
    </row>
    <row r="1098" spans="1:10">
      <c r="A1098" s="8"/>
      <c r="E1098" s="11"/>
      <c r="G1098" s="12"/>
      <c r="H1098" s="12"/>
      <c r="J1098" s="11"/>
    </row>
    <row r="1099" spans="1:10">
      <c r="A1099" s="8"/>
      <c r="E1099" s="11"/>
      <c r="G1099" s="12"/>
      <c r="H1099" s="12"/>
      <c r="J1099" s="11"/>
    </row>
    <row r="1100" spans="1:10">
      <c r="A1100" s="8"/>
      <c r="E1100" s="11"/>
      <c r="G1100" s="12"/>
      <c r="H1100" s="12"/>
      <c r="J1100" s="11"/>
    </row>
    <row r="1101" spans="1:10">
      <c r="A1101" s="8"/>
      <c r="E1101" s="11"/>
      <c r="G1101" s="12"/>
      <c r="H1101" s="12"/>
      <c r="J1101" s="11"/>
    </row>
    <row r="1102" spans="1:10">
      <c r="A1102" s="8"/>
      <c r="E1102" s="11"/>
      <c r="G1102" s="12"/>
      <c r="H1102" s="12"/>
      <c r="J1102" s="11"/>
    </row>
    <row r="1103" spans="1:10">
      <c r="A1103" s="8"/>
      <c r="E1103" s="11"/>
      <c r="G1103" s="12"/>
      <c r="H1103" s="12"/>
      <c r="J1103" s="11"/>
    </row>
    <row r="1104" spans="1:10">
      <c r="A1104" s="8"/>
      <c r="E1104" s="11"/>
      <c r="G1104" s="12"/>
      <c r="H1104" s="12"/>
      <c r="J1104" s="11"/>
    </row>
    <row r="1105" spans="1:10">
      <c r="A1105" s="8"/>
      <c r="E1105" s="11"/>
      <c r="G1105" s="12"/>
      <c r="H1105" s="12"/>
      <c r="J1105" s="11"/>
    </row>
    <row r="1106" spans="1:10">
      <c r="A1106" s="8"/>
      <c r="E1106" s="11"/>
      <c r="G1106" s="12"/>
      <c r="H1106" s="12"/>
      <c r="J1106" s="11"/>
    </row>
    <row r="1107" spans="1:10">
      <c r="A1107" s="8"/>
      <c r="E1107" s="11"/>
      <c r="G1107" s="12"/>
      <c r="H1107" s="12"/>
      <c r="J1107" s="11"/>
    </row>
    <row r="1108" spans="1:10">
      <c r="A1108" s="8"/>
      <c r="E1108" s="11"/>
      <c r="G1108" s="12"/>
      <c r="H1108" s="12"/>
      <c r="J1108" s="11"/>
    </row>
    <row r="1109" spans="1:10">
      <c r="A1109" s="8"/>
      <c r="E1109" s="11"/>
      <c r="G1109" s="12"/>
      <c r="H1109" s="12"/>
      <c r="J1109" s="11"/>
    </row>
    <row r="1110" spans="1:10">
      <c r="A1110" s="8"/>
      <c r="E1110" s="11"/>
      <c r="G1110" s="12"/>
      <c r="H1110" s="12"/>
      <c r="J1110" s="11"/>
    </row>
    <row r="1111" spans="1:10">
      <c r="A1111" s="8"/>
      <c r="E1111" s="11"/>
      <c r="G1111" s="12"/>
      <c r="H1111" s="12"/>
      <c r="J1111" s="11"/>
    </row>
    <row r="1112" spans="1:10">
      <c r="A1112" s="8"/>
      <c r="E1112" s="11"/>
      <c r="G1112" s="12"/>
      <c r="H1112" s="12"/>
      <c r="J1112" s="11"/>
    </row>
    <row r="1113" spans="1:10">
      <c r="A1113" s="8"/>
      <c r="E1113" s="11"/>
      <c r="G1113" s="12"/>
      <c r="H1113" s="12"/>
      <c r="J1113" s="11"/>
    </row>
    <row r="1114" spans="1:10">
      <c r="A1114" s="8"/>
      <c r="E1114" s="11"/>
      <c r="G1114" s="12"/>
      <c r="H1114" s="12"/>
      <c r="J1114" s="11"/>
    </row>
    <row r="1115" spans="1:10">
      <c r="A1115" s="8"/>
      <c r="E1115" s="11"/>
      <c r="G1115" s="12"/>
      <c r="H1115" s="12"/>
      <c r="J1115" s="11"/>
    </row>
    <row r="1116" spans="1:10">
      <c r="A1116" s="8"/>
      <c r="E1116" s="11"/>
      <c r="G1116" s="12"/>
      <c r="H1116" s="12"/>
      <c r="J1116" s="11"/>
    </row>
    <row r="1117" spans="1:10">
      <c r="A1117" s="8"/>
      <c r="E1117" s="11"/>
      <c r="G1117" s="12"/>
      <c r="H1117" s="12"/>
      <c r="J1117" s="11"/>
    </row>
    <row r="1118" spans="1:10">
      <c r="A1118" s="8"/>
      <c r="E1118" s="11"/>
      <c r="G1118" s="12"/>
      <c r="H1118" s="12"/>
      <c r="J1118" s="11"/>
    </row>
    <row r="1119" spans="1:10">
      <c r="A1119" s="8"/>
      <c r="E1119" s="11"/>
      <c r="G1119" s="12"/>
      <c r="H1119" s="12"/>
      <c r="J1119" s="11"/>
    </row>
    <row r="1120" spans="1:10">
      <c r="A1120" s="8"/>
      <c r="E1120" s="11"/>
      <c r="G1120" s="12"/>
      <c r="H1120" s="12"/>
      <c r="J1120" s="11"/>
    </row>
    <row r="1121" spans="1:10">
      <c r="A1121" s="8"/>
      <c r="E1121" s="11"/>
      <c r="G1121" s="12"/>
      <c r="H1121" s="12"/>
      <c r="J1121" s="11"/>
    </row>
    <row r="1122" spans="1:10">
      <c r="A1122" s="8"/>
      <c r="E1122" s="11"/>
      <c r="G1122" s="12"/>
      <c r="H1122" s="12"/>
      <c r="J1122" s="11"/>
    </row>
    <row r="1123" spans="1:10">
      <c r="A1123" s="8"/>
      <c r="E1123" s="11"/>
      <c r="G1123" s="12"/>
      <c r="H1123" s="12"/>
      <c r="J1123" s="11"/>
    </row>
    <row r="1124" spans="1:10">
      <c r="A1124" s="8"/>
      <c r="E1124" s="11"/>
      <c r="G1124" s="12"/>
      <c r="H1124" s="12"/>
      <c r="J1124" s="11"/>
    </row>
    <row r="1125" spans="1:10">
      <c r="A1125" s="8"/>
      <c r="E1125" s="11"/>
      <c r="G1125" s="12"/>
      <c r="H1125" s="12"/>
      <c r="J1125" s="11"/>
    </row>
    <row r="1126" spans="1:10">
      <c r="A1126" s="8"/>
      <c r="E1126" s="11"/>
      <c r="G1126" s="12"/>
      <c r="H1126" s="12"/>
      <c r="J1126" s="11"/>
    </row>
    <row r="1127" spans="1:10">
      <c r="A1127" s="8"/>
      <c r="E1127" s="11"/>
      <c r="G1127" s="12"/>
      <c r="H1127" s="12"/>
      <c r="J1127" s="11"/>
    </row>
    <row r="1128" spans="1:10">
      <c r="A1128" s="8"/>
      <c r="E1128" s="11"/>
      <c r="G1128" s="12"/>
      <c r="H1128" s="12"/>
      <c r="J1128" s="11"/>
    </row>
    <row r="1129" spans="1:10">
      <c r="A1129" s="8"/>
      <c r="E1129" s="11"/>
      <c r="G1129" s="12"/>
      <c r="H1129" s="12"/>
      <c r="J1129" s="11"/>
    </row>
    <row r="1130" spans="1:10">
      <c r="A1130" s="8"/>
      <c r="E1130" s="11"/>
      <c r="G1130" s="12"/>
      <c r="H1130" s="12"/>
      <c r="J1130" s="11"/>
    </row>
    <row r="1131" spans="1:10">
      <c r="A1131" s="8"/>
      <c r="E1131" s="11"/>
      <c r="G1131" s="12"/>
      <c r="H1131" s="12"/>
      <c r="J1131" s="11"/>
    </row>
    <row r="1132" spans="1:10">
      <c r="A1132" s="8"/>
      <c r="E1132" s="11"/>
      <c r="G1132" s="12"/>
      <c r="H1132" s="12"/>
      <c r="J1132" s="11"/>
    </row>
    <row r="1133" spans="1:10">
      <c r="A1133" s="8"/>
      <c r="E1133" s="11"/>
      <c r="G1133" s="12"/>
      <c r="H1133" s="12"/>
      <c r="J1133" s="11"/>
    </row>
    <row r="1134" spans="1:10">
      <c r="A1134" s="8"/>
      <c r="E1134" s="11"/>
      <c r="G1134" s="12"/>
      <c r="H1134" s="12"/>
      <c r="J1134" s="11"/>
    </row>
    <row r="1135" spans="1:10">
      <c r="A1135" s="8"/>
      <c r="E1135" s="11"/>
      <c r="G1135" s="12"/>
      <c r="H1135" s="12"/>
      <c r="J1135" s="11"/>
    </row>
    <row r="1136" spans="1:10">
      <c r="A1136" s="8"/>
      <c r="E1136" s="11"/>
      <c r="G1136" s="12"/>
      <c r="H1136" s="12"/>
      <c r="J1136" s="11"/>
    </row>
    <row r="1137" spans="1:10">
      <c r="A1137" s="8"/>
      <c r="E1137" s="11"/>
      <c r="G1137" s="12"/>
      <c r="H1137" s="12"/>
      <c r="J1137" s="11"/>
    </row>
    <row r="1138" spans="1:10">
      <c r="A1138" s="8"/>
      <c r="E1138" s="11"/>
      <c r="G1138" s="12"/>
      <c r="H1138" s="12"/>
      <c r="J1138" s="11"/>
    </row>
    <row r="1139" spans="1:10">
      <c r="A1139" s="8"/>
      <c r="E1139" s="11"/>
      <c r="G1139" s="12"/>
      <c r="H1139" s="12"/>
      <c r="J1139" s="11"/>
    </row>
    <row r="1140" spans="1:10">
      <c r="A1140" s="8"/>
      <c r="E1140" s="11"/>
      <c r="G1140" s="12"/>
      <c r="H1140" s="12"/>
      <c r="J1140" s="11"/>
    </row>
    <row r="1141" spans="1:10">
      <c r="A1141" s="8"/>
      <c r="E1141" s="11"/>
      <c r="G1141" s="12"/>
      <c r="H1141" s="12"/>
      <c r="J1141" s="11"/>
    </row>
    <row r="1142" spans="1:10">
      <c r="A1142" s="8"/>
      <c r="E1142" s="11"/>
      <c r="G1142" s="12"/>
      <c r="H1142" s="12"/>
      <c r="J1142" s="11"/>
    </row>
    <row r="1143" spans="1:10">
      <c r="A1143" s="8"/>
      <c r="E1143" s="11"/>
      <c r="G1143" s="12"/>
      <c r="H1143" s="12"/>
      <c r="J1143" s="11"/>
    </row>
    <row r="1144" spans="1:10">
      <c r="A1144" s="8"/>
      <c r="E1144" s="11"/>
      <c r="G1144" s="12"/>
      <c r="H1144" s="12"/>
      <c r="J1144" s="11"/>
    </row>
    <row r="1145" spans="1:10">
      <c r="A1145" s="8"/>
      <c r="E1145" s="11"/>
      <c r="G1145" s="12"/>
      <c r="H1145" s="12"/>
      <c r="J1145" s="11"/>
    </row>
    <row r="1146" spans="1:10">
      <c r="A1146" s="8"/>
      <c r="E1146" s="11"/>
      <c r="G1146" s="12"/>
      <c r="H1146" s="12"/>
      <c r="J1146" s="11"/>
    </row>
    <row r="1147" spans="1:10">
      <c r="A1147" s="8"/>
      <c r="E1147" s="11"/>
      <c r="G1147" s="12"/>
      <c r="H1147" s="12"/>
      <c r="J1147" s="11"/>
    </row>
    <row r="1148" spans="1:10">
      <c r="A1148" s="8"/>
      <c r="E1148" s="11"/>
      <c r="G1148" s="12"/>
      <c r="H1148" s="12"/>
      <c r="J1148" s="11"/>
    </row>
    <row r="1149" spans="1:10">
      <c r="A1149" s="8"/>
      <c r="E1149" s="11"/>
      <c r="G1149" s="12"/>
      <c r="H1149" s="12"/>
      <c r="J1149" s="11"/>
    </row>
    <row r="1150" spans="1:10">
      <c r="A1150" s="8"/>
      <c r="E1150" s="11"/>
      <c r="G1150" s="12"/>
      <c r="H1150" s="12"/>
      <c r="J1150" s="11"/>
    </row>
    <row r="1151" spans="1:10">
      <c r="A1151" s="8"/>
      <c r="E1151" s="11"/>
      <c r="G1151" s="12"/>
      <c r="H1151" s="12"/>
      <c r="J1151" s="11"/>
    </row>
    <row r="1152" spans="1:10">
      <c r="A1152" s="8"/>
      <c r="E1152" s="11"/>
      <c r="G1152" s="12"/>
      <c r="H1152" s="12"/>
      <c r="J1152" s="11"/>
    </row>
    <row r="1153" spans="1:10">
      <c r="A1153" s="8"/>
      <c r="E1153" s="11"/>
      <c r="G1153" s="12"/>
      <c r="H1153" s="12"/>
      <c r="J1153" s="11"/>
    </row>
    <row r="1154" spans="1:10">
      <c r="A1154" s="8"/>
      <c r="E1154" s="11"/>
      <c r="G1154" s="12"/>
      <c r="H1154" s="12"/>
      <c r="J1154" s="11"/>
    </row>
    <row r="1155" spans="1:10">
      <c r="A1155" s="8"/>
      <c r="E1155" s="11"/>
      <c r="G1155" s="12"/>
      <c r="H1155" s="12"/>
      <c r="J1155" s="11"/>
    </row>
    <row r="1156" spans="1:10">
      <c r="A1156" s="8"/>
      <c r="E1156" s="11"/>
      <c r="G1156" s="12"/>
      <c r="H1156" s="12"/>
      <c r="J1156" s="11"/>
    </row>
    <row r="1157" spans="1:10">
      <c r="A1157" s="8"/>
      <c r="E1157" s="11"/>
      <c r="G1157" s="12"/>
      <c r="H1157" s="12"/>
      <c r="J1157" s="11"/>
    </row>
    <row r="1158" spans="1:10">
      <c r="A1158" s="8"/>
      <c r="E1158" s="11"/>
      <c r="G1158" s="12"/>
      <c r="H1158" s="12"/>
      <c r="J1158" s="11"/>
    </row>
    <row r="1159" spans="1:10">
      <c r="A1159" s="8"/>
      <c r="E1159" s="11"/>
      <c r="G1159" s="12"/>
      <c r="H1159" s="12"/>
      <c r="J1159" s="11"/>
    </row>
    <row r="1160" spans="1:10">
      <c r="A1160" s="8"/>
      <c r="E1160" s="11"/>
      <c r="G1160" s="12"/>
      <c r="H1160" s="12"/>
      <c r="J1160" s="11"/>
    </row>
    <row r="1161" spans="1:10">
      <c r="A1161" s="8"/>
      <c r="E1161" s="11"/>
      <c r="G1161" s="12"/>
      <c r="H1161" s="12"/>
      <c r="J1161" s="11"/>
    </row>
    <row r="1162" spans="1:10">
      <c r="A1162" s="8"/>
      <c r="E1162" s="11"/>
      <c r="G1162" s="12"/>
      <c r="H1162" s="12"/>
      <c r="J1162" s="11"/>
    </row>
    <row r="1163" spans="1:10">
      <c r="A1163" s="8"/>
      <c r="E1163" s="11"/>
      <c r="G1163" s="12"/>
      <c r="H1163" s="12"/>
      <c r="J1163" s="11"/>
    </row>
    <row r="1164" spans="1:10">
      <c r="A1164" s="8"/>
      <c r="E1164" s="11"/>
      <c r="G1164" s="12"/>
      <c r="H1164" s="12"/>
      <c r="J1164" s="11"/>
    </row>
    <row r="1165" spans="1:10">
      <c r="A1165" s="8"/>
      <c r="E1165" s="11"/>
      <c r="G1165" s="12"/>
      <c r="H1165" s="12"/>
      <c r="J1165" s="11"/>
    </row>
    <row r="1166" spans="1:10">
      <c r="A1166" s="8"/>
      <c r="E1166" s="11"/>
      <c r="G1166" s="12"/>
      <c r="H1166" s="12"/>
      <c r="J1166" s="11"/>
    </row>
    <row r="1167" spans="1:10">
      <c r="A1167" s="8"/>
      <c r="E1167" s="11"/>
      <c r="G1167" s="12"/>
      <c r="H1167" s="12"/>
      <c r="J1167" s="11"/>
    </row>
    <row r="1168" spans="1:10">
      <c r="A1168" s="8"/>
      <c r="E1168" s="11"/>
      <c r="G1168" s="12"/>
      <c r="H1168" s="12"/>
      <c r="J1168" s="11"/>
    </row>
    <row r="1169" spans="1:10">
      <c r="A1169" s="8"/>
      <c r="E1169" s="11"/>
      <c r="G1169" s="12"/>
      <c r="H1169" s="12"/>
      <c r="J1169" s="11"/>
    </row>
    <row r="1170" spans="1:10">
      <c r="A1170" s="8"/>
      <c r="E1170" s="11"/>
      <c r="G1170" s="12"/>
      <c r="H1170" s="12"/>
      <c r="J1170" s="11"/>
    </row>
    <row r="1171" spans="1:10">
      <c r="A1171" s="8"/>
      <c r="E1171" s="11"/>
      <c r="G1171" s="12"/>
      <c r="H1171" s="12"/>
      <c r="J1171" s="11"/>
    </row>
    <row r="1172" spans="1:10">
      <c r="A1172" s="8"/>
      <c r="E1172" s="11"/>
      <c r="G1172" s="12"/>
      <c r="H1172" s="12"/>
      <c r="J1172" s="11"/>
    </row>
    <row r="1173" spans="1:10">
      <c r="A1173" s="8"/>
      <c r="E1173" s="11"/>
      <c r="G1173" s="12"/>
      <c r="H1173" s="12"/>
      <c r="J1173" s="11"/>
    </row>
    <row r="1174" spans="1:10">
      <c r="A1174" s="8"/>
      <c r="E1174" s="11"/>
      <c r="G1174" s="12"/>
      <c r="H1174" s="12"/>
      <c r="J1174" s="11"/>
    </row>
    <row r="1175" spans="1:10">
      <c r="A1175" s="8"/>
      <c r="E1175" s="11"/>
      <c r="G1175" s="12"/>
      <c r="H1175" s="12"/>
      <c r="J1175" s="11"/>
    </row>
    <row r="1176" spans="1:10">
      <c r="A1176" s="8"/>
      <c r="E1176" s="11"/>
      <c r="G1176" s="12"/>
      <c r="H1176" s="12"/>
      <c r="J1176" s="11"/>
    </row>
    <row r="1177" spans="1:10">
      <c r="A1177" s="8"/>
      <c r="E1177" s="11"/>
      <c r="G1177" s="12"/>
      <c r="H1177" s="12"/>
      <c r="J1177" s="11"/>
    </row>
    <row r="1178" spans="1:10">
      <c r="A1178" s="8"/>
      <c r="E1178" s="11"/>
      <c r="G1178" s="12"/>
      <c r="H1178" s="12"/>
      <c r="J1178" s="11"/>
    </row>
    <row r="1179" spans="1:10">
      <c r="A1179" s="8"/>
      <c r="E1179" s="11"/>
      <c r="G1179" s="12"/>
      <c r="H1179" s="12"/>
      <c r="J1179" s="11"/>
    </row>
    <row r="1180" spans="1:10">
      <c r="A1180" s="8"/>
      <c r="E1180" s="11"/>
      <c r="G1180" s="12"/>
      <c r="H1180" s="12"/>
      <c r="J1180" s="11"/>
    </row>
    <row r="1181" spans="1:10">
      <c r="A1181" s="8"/>
      <c r="E1181" s="11"/>
      <c r="G1181" s="12"/>
      <c r="H1181" s="12"/>
      <c r="J1181" s="11"/>
    </row>
    <row r="1182" spans="1:10">
      <c r="A1182" s="8"/>
      <c r="E1182" s="11"/>
      <c r="G1182" s="12"/>
      <c r="H1182" s="12"/>
      <c r="J1182" s="11"/>
    </row>
    <row r="1183" spans="1:10">
      <c r="A1183" s="8"/>
      <c r="E1183" s="11"/>
      <c r="G1183" s="12"/>
      <c r="H1183" s="12"/>
      <c r="J1183" s="11"/>
    </row>
    <row r="1184" spans="1:10">
      <c r="A1184" s="8"/>
      <c r="E1184" s="11"/>
      <c r="G1184" s="12"/>
      <c r="H1184" s="12"/>
      <c r="J1184" s="11"/>
    </row>
    <row r="1185" spans="1:10">
      <c r="A1185" s="8"/>
      <c r="E1185" s="11"/>
      <c r="G1185" s="12"/>
      <c r="H1185" s="12"/>
      <c r="J1185" s="11"/>
    </row>
    <row r="1186" spans="1:10">
      <c r="A1186" s="8"/>
      <c r="E1186" s="11"/>
      <c r="G1186" s="12"/>
      <c r="H1186" s="12"/>
      <c r="J1186" s="11"/>
    </row>
    <row r="1187" spans="1:10">
      <c r="A1187" s="8"/>
      <c r="E1187" s="11"/>
      <c r="G1187" s="12"/>
      <c r="H1187" s="12"/>
      <c r="J1187" s="11"/>
    </row>
    <row r="1188" spans="1:10">
      <c r="A1188" s="8"/>
      <c r="E1188" s="11"/>
      <c r="G1188" s="12"/>
      <c r="H1188" s="12"/>
      <c r="J1188" s="11"/>
    </row>
    <row r="1189" spans="1:10">
      <c r="A1189" s="8"/>
      <c r="E1189" s="11"/>
      <c r="G1189" s="12"/>
      <c r="H1189" s="12"/>
      <c r="J1189" s="11"/>
    </row>
    <row r="1190" spans="1:10">
      <c r="A1190" s="8"/>
      <c r="E1190" s="11"/>
      <c r="G1190" s="12"/>
      <c r="H1190" s="12"/>
      <c r="J1190" s="11"/>
    </row>
    <row r="1191" spans="1:10">
      <c r="A1191" s="8"/>
      <c r="E1191" s="11"/>
      <c r="G1191" s="12"/>
      <c r="H1191" s="12"/>
      <c r="J1191" s="11"/>
    </row>
    <row r="1192" spans="1:10">
      <c r="A1192" s="8"/>
      <c r="E1192" s="11"/>
      <c r="G1192" s="12"/>
      <c r="H1192" s="12"/>
      <c r="J1192" s="11"/>
    </row>
    <row r="1193" spans="1:10">
      <c r="A1193" s="8"/>
      <c r="E1193" s="11"/>
      <c r="G1193" s="12"/>
      <c r="H1193" s="12"/>
      <c r="J1193" s="11"/>
    </row>
    <row r="1194" spans="1:10">
      <c r="A1194" s="8"/>
      <c r="E1194" s="11"/>
      <c r="G1194" s="12"/>
      <c r="H1194" s="12"/>
      <c r="J1194" s="11"/>
    </row>
    <row r="1195" spans="1:10">
      <c r="A1195" s="8"/>
      <c r="E1195" s="11"/>
      <c r="G1195" s="12"/>
      <c r="H1195" s="12"/>
      <c r="J1195" s="11"/>
    </row>
    <row r="1196" spans="1:10">
      <c r="A1196" s="8"/>
      <c r="E1196" s="11"/>
      <c r="G1196" s="12"/>
      <c r="H1196" s="12"/>
      <c r="J1196" s="11"/>
    </row>
    <row r="1197" spans="1:10">
      <c r="A1197" s="8"/>
      <c r="E1197" s="11"/>
      <c r="G1197" s="12"/>
      <c r="H1197" s="12"/>
      <c r="J1197" s="11"/>
    </row>
    <row r="1198" spans="1:10">
      <c r="A1198" s="8"/>
      <c r="E1198" s="11"/>
      <c r="G1198" s="12"/>
      <c r="H1198" s="12"/>
      <c r="J1198" s="11"/>
    </row>
    <row r="1199" spans="1:10">
      <c r="A1199" s="8"/>
      <c r="E1199" s="11"/>
      <c r="G1199" s="12"/>
      <c r="H1199" s="12"/>
      <c r="J1199" s="11"/>
    </row>
    <row r="1200" spans="1:10">
      <c r="A1200" s="8"/>
      <c r="E1200" s="11"/>
      <c r="G1200" s="12"/>
      <c r="H1200" s="12"/>
      <c r="J1200" s="11"/>
    </row>
    <row r="1201" spans="1:10">
      <c r="A1201" s="8"/>
      <c r="E1201" s="11"/>
      <c r="G1201" s="12"/>
      <c r="H1201" s="12"/>
      <c r="J1201" s="11"/>
    </row>
    <row r="1202" spans="1:10">
      <c r="A1202" s="8"/>
      <c r="E1202" s="11"/>
      <c r="G1202" s="12"/>
      <c r="H1202" s="12"/>
      <c r="J1202" s="11"/>
    </row>
    <row r="1203" spans="1:10">
      <c r="A1203" s="8"/>
      <c r="E1203" s="11"/>
      <c r="G1203" s="12"/>
      <c r="H1203" s="12"/>
      <c r="J1203" s="11"/>
    </row>
    <row r="1204" spans="1:10">
      <c r="A1204" s="8"/>
      <c r="E1204" s="11"/>
      <c r="G1204" s="12"/>
      <c r="H1204" s="12"/>
      <c r="J1204" s="11"/>
    </row>
    <row r="1205" spans="1:10">
      <c r="A1205" s="8"/>
      <c r="E1205" s="11"/>
      <c r="G1205" s="12"/>
      <c r="H1205" s="12"/>
      <c r="J1205" s="11"/>
    </row>
    <row r="1206" spans="1:10">
      <c r="A1206" s="8"/>
      <c r="E1206" s="11"/>
      <c r="G1206" s="12"/>
      <c r="H1206" s="12"/>
      <c r="J1206" s="11"/>
    </row>
    <row r="1207" spans="1:10">
      <c r="A1207" s="8"/>
      <c r="E1207" s="11"/>
      <c r="G1207" s="12"/>
      <c r="H1207" s="12"/>
      <c r="J1207" s="11"/>
    </row>
    <row r="1208" spans="1:10">
      <c r="A1208" s="8"/>
      <c r="E1208" s="11"/>
      <c r="G1208" s="12"/>
      <c r="H1208" s="12"/>
      <c r="J1208" s="11"/>
    </row>
    <row r="1209" spans="1:10">
      <c r="A1209" s="8"/>
      <c r="E1209" s="11"/>
      <c r="G1209" s="12"/>
      <c r="H1209" s="12"/>
      <c r="J1209" s="11"/>
    </row>
    <row r="1210" spans="1:10">
      <c r="A1210" s="8"/>
      <c r="E1210" s="11"/>
      <c r="G1210" s="12"/>
      <c r="H1210" s="12"/>
      <c r="J1210" s="11"/>
    </row>
    <row r="1211" spans="1:10">
      <c r="A1211" s="8"/>
      <c r="E1211" s="11"/>
      <c r="G1211" s="12"/>
      <c r="H1211" s="12"/>
      <c r="J1211" s="11"/>
    </row>
    <row r="1212" spans="1:10">
      <c r="A1212" s="8"/>
      <c r="E1212" s="11"/>
      <c r="G1212" s="12"/>
      <c r="H1212" s="12"/>
      <c r="J1212" s="11"/>
    </row>
    <row r="1213" spans="1:10">
      <c r="A1213" s="8"/>
      <c r="E1213" s="11"/>
      <c r="G1213" s="12"/>
      <c r="H1213" s="12"/>
      <c r="J1213" s="11"/>
    </row>
    <row r="1214" spans="1:10">
      <c r="A1214" s="8"/>
      <c r="E1214" s="11"/>
      <c r="G1214" s="12"/>
      <c r="H1214" s="12"/>
      <c r="J1214" s="11"/>
    </row>
    <row r="1215" spans="1:10">
      <c r="A1215" s="8"/>
      <c r="E1215" s="11"/>
      <c r="G1215" s="12"/>
      <c r="H1215" s="12"/>
      <c r="J1215" s="11"/>
    </row>
    <row r="1216" spans="1:10">
      <c r="A1216" s="8"/>
      <c r="E1216" s="11"/>
      <c r="G1216" s="12"/>
      <c r="H1216" s="12"/>
      <c r="J1216" s="11"/>
    </row>
    <row r="1217" spans="1:10">
      <c r="A1217" s="8"/>
      <c r="E1217" s="11"/>
      <c r="G1217" s="12"/>
      <c r="H1217" s="12"/>
      <c r="J1217" s="11"/>
    </row>
    <row r="1218" spans="1:10">
      <c r="A1218" s="8"/>
      <c r="E1218" s="11"/>
      <c r="G1218" s="12"/>
      <c r="H1218" s="12"/>
      <c r="J1218" s="11"/>
    </row>
    <row r="1219" spans="1:10">
      <c r="A1219" s="8"/>
      <c r="E1219" s="11"/>
      <c r="G1219" s="12"/>
      <c r="H1219" s="12"/>
      <c r="J1219" s="11"/>
    </row>
    <row r="1220" spans="1:10">
      <c r="A1220" s="8"/>
      <c r="E1220" s="11"/>
      <c r="G1220" s="12"/>
      <c r="H1220" s="12"/>
      <c r="J1220" s="11"/>
    </row>
    <row r="1221" spans="1:10">
      <c r="A1221" s="8"/>
      <c r="E1221" s="11"/>
      <c r="G1221" s="12"/>
      <c r="H1221" s="12"/>
      <c r="J1221" s="11"/>
    </row>
    <row r="1222" spans="1:10">
      <c r="E1222" s="11"/>
      <c r="G1222" s="12"/>
      <c r="H1222" s="12"/>
      <c r="J1222" s="11"/>
    </row>
    <row r="1223" spans="1:10">
      <c r="E1223" s="11"/>
      <c r="G1223" s="12"/>
      <c r="H1223" s="12"/>
      <c r="J1223" s="11"/>
    </row>
    <row r="1224" spans="1:10">
      <c r="E1224" s="11"/>
      <c r="G1224" s="12"/>
      <c r="H1224" s="12"/>
      <c r="J1224" s="11"/>
    </row>
    <row r="1225" spans="1:10">
      <c r="E1225" s="11"/>
      <c r="G1225" s="12"/>
      <c r="H1225" s="12"/>
      <c r="J1225" s="11"/>
    </row>
    <row r="1226" spans="1:10">
      <c r="E1226" s="11"/>
      <c r="G1226" s="12"/>
      <c r="H1226" s="12"/>
      <c r="J1226" s="11"/>
    </row>
    <row r="1227" spans="1:10">
      <c r="E1227" s="11"/>
      <c r="G1227" s="12"/>
      <c r="H1227" s="12"/>
      <c r="J1227" s="11"/>
    </row>
    <row r="1228" spans="1:10">
      <c r="E1228" s="11"/>
      <c r="G1228" s="12"/>
      <c r="H1228" s="12"/>
      <c r="J1228" s="11"/>
    </row>
    <row r="1229" spans="1:10">
      <c r="E1229" s="11"/>
      <c r="G1229" s="12"/>
      <c r="H1229" s="12"/>
      <c r="J1229" s="11"/>
    </row>
    <row r="1230" spans="1:10">
      <c r="E1230" s="11"/>
      <c r="G1230" s="12"/>
      <c r="H1230" s="12"/>
      <c r="J1230" s="11"/>
    </row>
    <row r="1231" spans="1:10">
      <c r="E1231" s="11"/>
      <c r="G1231" s="12"/>
      <c r="H1231" s="12"/>
      <c r="J1231" s="11"/>
    </row>
    <row r="1232" spans="1:10">
      <c r="E1232" s="11"/>
      <c r="G1232" s="12"/>
      <c r="H1232" s="12"/>
      <c r="J1232" s="11"/>
    </row>
    <row r="1233" spans="5:10">
      <c r="E1233" s="11"/>
      <c r="G1233" s="12"/>
      <c r="H1233" s="12"/>
      <c r="J1233" s="11"/>
    </row>
    <row r="1234" spans="5:10">
      <c r="E1234" s="11"/>
      <c r="G1234" s="12"/>
      <c r="H1234" s="12"/>
      <c r="J1234" s="11"/>
    </row>
    <row r="1235" spans="5:10">
      <c r="E1235" s="11"/>
      <c r="G1235" s="12"/>
      <c r="H1235" s="12"/>
      <c r="J1235" s="11"/>
    </row>
    <row r="1236" spans="5:10">
      <c r="E1236" s="11"/>
      <c r="G1236" s="12"/>
      <c r="H1236" s="12"/>
      <c r="J1236" s="11"/>
    </row>
    <row r="1237" spans="5:10">
      <c r="E1237" s="11"/>
      <c r="G1237" s="12"/>
      <c r="H1237" s="12"/>
      <c r="J1237" s="11"/>
    </row>
    <row r="1238" spans="5:10">
      <c r="E1238" s="11"/>
      <c r="G1238" s="12"/>
      <c r="H1238" s="12"/>
      <c r="J1238" s="11"/>
    </row>
    <row r="1239" spans="5:10">
      <c r="E1239" s="11"/>
      <c r="G1239" s="12"/>
      <c r="H1239" s="12"/>
      <c r="J1239" s="11"/>
    </row>
    <row r="1240" spans="5:10">
      <c r="E1240" s="11"/>
      <c r="G1240" s="12"/>
      <c r="H1240" s="12"/>
      <c r="J1240" s="11"/>
    </row>
    <row r="1241" spans="5:10">
      <c r="E1241" s="11"/>
      <c r="G1241" s="12"/>
      <c r="H1241" s="12"/>
      <c r="J1241" s="11"/>
    </row>
    <row r="1242" spans="5:10">
      <c r="E1242" s="11"/>
      <c r="G1242" s="12"/>
      <c r="H1242" s="12"/>
      <c r="J1242" s="11"/>
    </row>
    <row r="1243" spans="5:10">
      <c r="E1243" s="11"/>
      <c r="G1243" s="12"/>
      <c r="H1243" s="12"/>
      <c r="J1243" s="11"/>
    </row>
    <row r="1244" spans="5:10">
      <c r="E1244" s="11"/>
      <c r="G1244" s="12"/>
      <c r="H1244" s="12"/>
      <c r="J1244" s="11"/>
    </row>
    <row r="1245" spans="5:10">
      <c r="E1245" s="11"/>
      <c r="G1245" s="12"/>
      <c r="H1245" s="12"/>
      <c r="J1245" s="11"/>
    </row>
    <row r="1246" spans="5:10">
      <c r="E1246" s="11"/>
      <c r="G1246" s="12"/>
      <c r="H1246" s="12"/>
      <c r="J1246" s="11"/>
    </row>
    <row r="1247" spans="5:10">
      <c r="E1247" s="11"/>
      <c r="G1247" s="12"/>
      <c r="H1247" s="12"/>
      <c r="J1247" s="11"/>
    </row>
    <row r="1248" spans="5:10">
      <c r="E1248" s="11"/>
      <c r="G1248" s="12"/>
      <c r="H1248" s="12"/>
      <c r="J1248" s="11"/>
    </row>
    <row r="1249" spans="5:10">
      <c r="E1249" s="11"/>
      <c r="G1249" s="12"/>
      <c r="H1249" s="12"/>
      <c r="J1249" s="11"/>
    </row>
    <row r="1250" spans="5:10">
      <c r="E1250" s="11"/>
      <c r="G1250" s="12"/>
      <c r="H1250" s="12"/>
      <c r="J1250" s="11"/>
    </row>
    <row r="1251" spans="5:10">
      <c r="E1251" s="11"/>
      <c r="G1251" s="12"/>
      <c r="H1251" s="12"/>
      <c r="J1251" s="11"/>
    </row>
    <row r="1252" spans="5:10">
      <c r="E1252" s="11"/>
      <c r="G1252" s="12"/>
      <c r="H1252" s="12"/>
      <c r="J1252" s="11"/>
    </row>
    <row r="1253" spans="5:10">
      <c r="E1253" s="11"/>
      <c r="G1253" s="12"/>
      <c r="H1253" s="12"/>
      <c r="J1253" s="11"/>
    </row>
    <row r="1254" spans="5:10">
      <c r="E1254" s="11"/>
      <c r="G1254" s="12"/>
      <c r="H1254" s="12"/>
      <c r="J1254" s="11"/>
    </row>
    <row r="1255" spans="5:10">
      <c r="E1255" s="11"/>
      <c r="G1255" s="12"/>
      <c r="H1255" s="12"/>
      <c r="J1255" s="11"/>
    </row>
    <row r="1256" spans="5:10">
      <c r="E1256" s="11"/>
      <c r="G1256" s="12"/>
      <c r="H1256" s="12"/>
      <c r="J1256" s="11"/>
    </row>
    <row r="1257" spans="5:10">
      <c r="E1257" s="11"/>
      <c r="G1257" s="12"/>
      <c r="H1257" s="12"/>
      <c r="J1257" s="11"/>
    </row>
    <row r="1258" spans="5:10">
      <c r="E1258" s="11"/>
      <c r="G1258" s="12"/>
      <c r="H1258" s="12"/>
      <c r="J1258" s="11"/>
    </row>
    <row r="1259" spans="5:10">
      <c r="E1259" s="11"/>
      <c r="G1259" s="12"/>
      <c r="H1259" s="12"/>
      <c r="J1259" s="11"/>
    </row>
    <row r="1260" spans="5:10">
      <c r="E1260" s="11"/>
      <c r="G1260" s="12"/>
      <c r="H1260" s="12"/>
      <c r="J1260" s="11"/>
    </row>
    <row r="1261" spans="5:10">
      <c r="E1261" s="11"/>
      <c r="G1261" s="12"/>
      <c r="H1261" s="12"/>
      <c r="J1261" s="11"/>
    </row>
    <row r="1262" spans="5:10">
      <c r="E1262" s="11"/>
      <c r="G1262" s="12"/>
      <c r="H1262" s="12"/>
      <c r="J1262" s="11"/>
    </row>
    <row r="1263" spans="5:10">
      <c r="E1263" s="11"/>
      <c r="G1263" s="12"/>
      <c r="H1263" s="12"/>
      <c r="J1263" s="11"/>
    </row>
    <row r="1264" spans="5:10">
      <c r="E1264" s="11"/>
      <c r="G1264" s="12"/>
      <c r="H1264" s="12"/>
      <c r="J1264" s="11"/>
    </row>
    <row r="1265" spans="5:10">
      <c r="E1265" s="11"/>
      <c r="G1265" s="12"/>
      <c r="H1265" s="12"/>
      <c r="J1265" s="11"/>
    </row>
    <row r="1266" spans="5:10">
      <c r="E1266" s="11"/>
      <c r="G1266" s="12"/>
      <c r="H1266" s="12"/>
      <c r="J1266" s="11"/>
    </row>
    <row r="1267" spans="5:10">
      <c r="E1267" s="11"/>
      <c r="G1267" s="12"/>
      <c r="H1267" s="12"/>
      <c r="J1267" s="11"/>
    </row>
    <row r="1268" spans="5:10">
      <c r="E1268" s="11"/>
      <c r="G1268" s="12"/>
      <c r="H1268" s="12"/>
      <c r="J1268" s="11"/>
    </row>
    <row r="1269" spans="5:10">
      <c r="E1269" s="11"/>
      <c r="G1269" s="12"/>
      <c r="H1269" s="12"/>
      <c r="J1269" s="11"/>
    </row>
    <row r="1270" spans="5:10">
      <c r="E1270" s="11"/>
      <c r="G1270" s="12"/>
      <c r="H1270" s="12"/>
      <c r="J1270" s="11"/>
    </row>
    <row r="1271" spans="5:10">
      <c r="E1271" s="11"/>
      <c r="G1271" s="12"/>
      <c r="H1271" s="12"/>
      <c r="J1271" s="11"/>
    </row>
    <row r="1272" spans="5:10">
      <c r="E1272" s="11"/>
      <c r="G1272" s="12"/>
      <c r="H1272" s="12"/>
      <c r="J1272" s="11"/>
    </row>
    <row r="1273" spans="5:10">
      <c r="E1273" s="11"/>
      <c r="G1273" s="12"/>
      <c r="H1273" s="12"/>
      <c r="J1273" s="11"/>
    </row>
    <row r="1274" spans="5:10">
      <c r="E1274" s="11"/>
      <c r="G1274" s="12"/>
      <c r="H1274" s="12"/>
      <c r="J1274" s="11"/>
    </row>
    <row r="1275" spans="5:10">
      <c r="E1275" s="11"/>
      <c r="G1275" s="12"/>
      <c r="H1275" s="12"/>
      <c r="J1275" s="11"/>
    </row>
    <row r="1276" spans="5:10">
      <c r="E1276" s="11"/>
      <c r="G1276" s="12"/>
      <c r="H1276" s="12"/>
      <c r="J1276" s="11"/>
    </row>
    <row r="1277" spans="5:10">
      <c r="E1277" s="11"/>
      <c r="G1277" s="12"/>
      <c r="H1277" s="12"/>
      <c r="J1277" s="11"/>
    </row>
    <row r="1278" spans="5:10">
      <c r="E1278" s="11"/>
      <c r="G1278" s="12"/>
      <c r="H1278" s="12"/>
      <c r="J1278" s="11"/>
    </row>
    <row r="1279" spans="5:10">
      <c r="E1279" s="11"/>
      <c r="G1279" s="12"/>
      <c r="H1279" s="12"/>
      <c r="J1279" s="11"/>
    </row>
    <row r="1280" spans="5:10">
      <c r="E1280" s="11"/>
      <c r="G1280" s="12"/>
      <c r="H1280" s="12"/>
      <c r="J1280" s="11"/>
    </row>
    <row r="1281" spans="5:10">
      <c r="E1281" s="11"/>
      <c r="G1281" s="12"/>
      <c r="H1281" s="12"/>
      <c r="J1281" s="11"/>
    </row>
    <row r="1282" spans="5:10">
      <c r="E1282" s="11"/>
      <c r="G1282" s="12"/>
      <c r="H1282" s="12"/>
      <c r="J1282" s="11"/>
    </row>
    <row r="1283" spans="5:10">
      <c r="E1283" s="11"/>
      <c r="G1283" s="12"/>
      <c r="H1283" s="12"/>
      <c r="J1283" s="11"/>
    </row>
    <row r="1284" spans="5:10">
      <c r="E1284" s="11"/>
      <c r="G1284" s="12"/>
      <c r="H1284" s="12"/>
      <c r="J1284" s="11"/>
    </row>
    <row r="1285" spans="5:10">
      <c r="E1285" s="11"/>
      <c r="G1285" s="12"/>
      <c r="H1285" s="12"/>
      <c r="J1285" s="11"/>
    </row>
    <row r="1286" spans="5:10">
      <c r="E1286" s="11"/>
      <c r="G1286" s="12"/>
      <c r="H1286" s="12"/>
      <c r="J1286" s="11"/>
    </row>
    <row r="1287" spans="5:10">
      <c r="E1287" s="11"/>
      <c r="G1287" s="12"/>
      <c r="H1287" s="12"/>
      <c r="J1287" s="11"/>
    </row>
    <row r="1288" spans="5:10">
      <c r="E1288" s="11"/>
      <c r="G1288" s="12"/>
      <c r="H1288" s="12"/>
      <c r="J1288" s="11"/>
    </row>
    <row r="1289" spans="5:10">
      <c r="E1289" s="11"/>
      <c r="G1289" s="12"/>
      <c r="H1289" s="12"/>
      <c r="J1289" s="11"/>
    </row>
    <row r="1290" spans="5:10">
      <c r="E1290" s="11"/>
      <c r="G1290" s="12"/>
      <c r="H1290" s="12"/>
      <c r="J1290" s="11"/>
    </row>
    <row r="1291" spans="5:10">
      <c r="E1291" s="11"/>
      <c r="G1291" s="12"/>
      <c r="H1291" s="12"/>
      <c r="J1291" s="11"/>
    </row>
    <row r="1292" spans="5:10">
      <c r="E1292" s="11"/>
      <c r="G1292" s="12"/>
      <c r="H1292" s="12"/>
      <c r="J1292" s="11"/>
    </row>
    <row r="1293" spans="5:10">
      <c r="E1293" s="11"/>
      <c r="G1293" s="12"/>
      <c r="H1293" s="12"/>
      <c r="J1293" s="11"/>
    </row>
    <row r="1294" spans="5:10">
      <c r="E1294" s="11"/>
      <c r="G1294" s="12"/>
      <c r="H1294" s="12"/>
      <c r="J1294" s="11"/>
    </row>
    <row r="1295" spans="5:10">
      <c r="E1295" s="11"/>
      <c r="G1295" s="12"/>
      <c r="H1295" s="12"/>
      <c r="J1295" s="11"/>
    </row>
    <row r="1296" spans="5:10">
      <c r="E1296" s="11"/>
      <c r="G1296" s="12"/>
      <c r="H1296" s="12"/>
      <c r="J1296" s="11"/>
    </row>
    <row r="1297" spans="5:10">
      <c r="E1297" s="11"/>
      <c r="G1297" s="12"/>
      <c r="H1297" s="12"/>
      <c r="J1297" s="11"/>
    </row>
    <row r="1298" spans="5:10">
      <c r="E1298" s="11"/>
      <c r="G1298" s="12"/>
      <c r="H1298" s="12"/>
      <c r="J1298" s="11"/>
    </row>
    <row r="1299" spans="5:10">
      <c r="E1299" s="11"/>
      <c r="G1299" s="12"/>
      <c r="H1299" s="12"/>
      <c r="J1299" s="11"/>
    </row>
    <row r="1300" spans="5:10">
      <c r="E1300" s="11"/>
      <c r="G1300" s="12"/>
      <c r="H1300" s="12"/>
      <c r="J1300" s="11"/>
    </row>
    <row r="1301" spans="5:10">
      <c r="E1301" s="11"/>
      <c r="G1301" s="12"/>
      <c r="H1301" s="12"/>
      <c r="J1301" s="11"/>
    </row>
    <row r="1302" spans="5:10">
      <c r="E1302" s="11"/>
      <c r="G1302" s="12"/>
      <c r="H1302" s="12"/>
      <c r="J1302" s="11"/>
    </row>
    <row r="1303" spans="5:10">
      <c r="E1303" s="11"/>
      <c r="G1303" s="12"/>
      <c r="H1303" s="12"/>
      <c r="J1303" s="11"/>
    </row>
    <row r="1304" spans="5:10">
      <c r="E1304" s="11"/>
      <c r="G1304" s="12"/>
      <c r="H1304" s="12"/>
      <c r="J1304" s="11"/>
    </row>
    <row r="1305" spans="5:10">
      <c r="E1305" s="11"/>
      <c r="G1305" s="12"/>
      <c r="H1305" s="12"/>
      <c r="J1305" s="11"/>
    </row>
    <row r="1306" spans="5:10">
      <c r="E1306" s="11"/>
      <c r="G1306" s="12"/>
      <c r="H1306" s="12"/>
      <c r="J1306" s="11"/>
    </row>
    <row r="1307" spans="5:10">
      <c r="E1307" s="11"/>
      <c r="G1307" s="12"/>
      <c r="H1307" s="12"/>
      <c r="J1307" s="11"/>
    </row>
    <row r="1308" spans="5:10">
      <c r="E1308" s="11"/>
      <c r="G1308" s="12"/>
      <c r="H1308" s="12"/>
      <c r="J1308" s="11"/>
    </row>
    <row r="1309" spans="5:10">
      <c r="E1309" s="11"/>
      <c r="G1309" s="12"/>
      <c r="H1309" s="12"/>
      <c r="J1309" s="11"/>
    </row>
    <row r="1310" spans="5:10">
      <c r="E1310" s="11"/>
      <c r="G1310" s="12"/>
      <c r="H1310" s="12"/>
      <c r="J1310" s="11"/>
    </row>
    <row r="1311" spans="5:10">
      <c r="E1311" s="11"/>
      <c r="G1311" s="12"/>
      <c r="H1311" s="12"/>
      <c r="J1311" s="11"/>
    </row>
    <row r="1312" spans="5:10">
      <c r="E1312" s="11"/>
      <c r="G1312" s="12"/>
      <c r="H1312" s="12"/>
      <c r="J1312" s="11"/>
    </row>
    <row r="1313" spans="5:10">
      <c r="E1313" s="11"/>
      <c r="G1313" s="12"/>
      <c r="H1313" s="12"/>
      <c r="J1313" s="11"/>
    </row>
    <row r="1314" spans="5:10">
      <c r="E1314" s="11"/>
      <c r="G1314" s="12"/>
      <c r="H1314" s="12"/>
      <c r="J1314" s="11"/>
    </row>
    <row r="1315" spans="5:10">
      <c r="E1315" s="11"/>
      <c r="G1315" s="12"/>
      <c r="H1315" s="12"/>
      <c r="J1315" s="11"/>
    </row>
    <row r="1316" spans="5:10">
      <c r="E1316" s="11"/>
      <c r="G1316" s="12"/>
      <c r="H1316" s="12"/>
      <c r="J1316" s="11"/>
    </row>
    <row r="1317" spans="5:10">
      <c r="E1317" s="11"/>
      <c r="G1317" s="12"/>
      <c r="H1317" s="12"/>
      <c r="J1317" s="11"/>
    </row>
    <row r="1318" spans="5:10">
      <c r="E1318" s="11"/>
      <c r="G1318" s="12"/>
      <c r="H1318" s="12"/>
      <c r="J1318" s="11"/>
    </row>
    <row r="1319" spans="5:10">
      <c r="E1319" s="11"/>
      <c r="G1319" s="12"/>
      <c r="H1319" s="12"/>
      <c r="J1319" s="11"/>
    </row>
    <row r="1320" spans="5:10">
      <c r="E1320" s="11"/>
      <c r="G1320" s="12"/>
      <c r="H1320" s="12"/>
      <c r="J1320" s="11"/>
    </row>
    <row r="1321" spans="5:10">
      <c r="E1321" s="11"/>
      <c r="G1321" s="12"/>
      <c r="H1321" s="12"/>
      <c r="J1321" s="11"/>
    </row>
    <row r="1322" spans="5:10">
      <c r="E1322" s="11"/>
      <c r="G1322" s="12"/>
      <c r="H1322" s="12"/>
      <c r="J1322" s="11"/>
    </row>
    <row r="1323" spans="5:10">
      <c r="E1323" s="11"/>
      <c r="G1323" s="12"/>
      <c r="H1323" s="12"/>
      <c r="J1323" s="11"/>
    </row>
    <row r="1324" spans="5:10">
      <c r="E1324" s="11"/>
      <c r="G1324" s="12"/>
      <c r="H1324" s="12"/>
      <c r="J1324" s="11"/>
    </row>
    <row r="1325" spans="5:10">
      <c r="E1325" s="11"/>
      <c r="G1325" s="12"/>
      <c r="H1325" s="12"/>
      <c r="J1325" s="11"/>
    </row>
    <row r="1326" spans="5:10">
      <c r="E1326" s="11"/>
      <c r="G1326" s="12"/>
      <c r="H1326" s="12"/>
      <c r="J1326" s="11"/>
    </row>
    <row r="1327" spans="5:10">
      <c r="E1327" s="11"/>
      <c r="G1327" s="12"/>
      <c r="H1327" s="12"/>
      <c r="J1327" s="11"/>
    </row>
    <row r="1328" spans="5:10">
      <c r="E1328" s="11"/>
      <c r="G1328" s="12"/>
      <c r="H1328" s="12"/>
      <c r="J1328" s="11"/>
    </row>
    <row r="1329" spans="5:10">
      <c r="E1329" s="11"/>
      <c r="G1329" s="12"/>
      <c r="H1329" s="12"/>
      <c r="J1329" s="11"/>
    </row>
    <row r="1330" spans="5:10">
      <c r="E1330" s="11"/>
      <c r="G1330" s="12"/>
      <c r="H1330" s="12"/>
      <c r="J1330" s="11"/>
    </row>
    <row r="1331" spans="5:10">
      <c r="E1331" s="11"/>
      <c r="G1331" s="12"/>
      <c r="H1331" s="12"/>
      <c r="J1331" s="11"/>
    </row>
    <row r="1332" spans="5:10">
      <c r="E1332" s="11"/>
      <c r="G1332" s="12"/>
      <c r="H1332" s="12"/>
      <c r="J1332" s="11"/>
    </row>
    <row r="1333" spans="5:10">
      <c r="E1333" s="11"/>
      <c r="G1333" s="12"/>
      <c r="H1333" s="12"/>
      <c r="J1333" s="11"/>
    </row>
    <row r="1334" spans="5:10">
      <c r="E1334" s="11"/>
      <c r="G1334" s="12"/>
      <c r="H1334" s="12"/>
      <c r="J1334" s="11"/>
    </row>
    <row r="1335" spans="5:10">
      <c r="E1335" s="11"/>
      <c r="G1335" s="12"/>
      <c r="H1335" s="12"/>
      <c r="J1335" s="11"/>
    </row>
    <row r="1336" spans="5:10">
      <c r="E1336" s="11"/>
      <c r="G1336" s="12"/>
      <c r="H1336" s="12"/>
      <c r="J1336" s="11"/>
    </row>
    <row r="1337" spans="5:10">
      <c r="E1337" s="11"/>
      <c r="G1337" s="12"/>
      <c r="H1337" s="12"/>
      <c r="J1337" s="11"/>
    </row>
    <row r="1338" spans="5:10">
      <c r="E1338" s="11"/>
      <c r="G1338" s="12"/>
      <c r="H1338" s="12"/>
      <c r="J1338" s="11"/>
    </row>
    <row r="1339" spans="5:10">
      <c r="E1339" s="11"/>
      <c r="G1339" s="12"/>
      <c r="H1339" s="12"/>
      <c r="J1339" s="11"/>
    </row>
    <row r="1340" spans="5:10">
      <c r="E1340" s="11"/>
      <c r="G1340" s="12"/>
      <c r="H1340" s="12"/>
      <c r="J1340" s="11"/>
    </row>
    <row r="1341" spans="5:10">
      <c r="E1341" s="11"/>
      <c r="G1341" s="12"/>
      <c r="H1341" s="12"/>
      <c r="J1341" s="11"/>
    </row>
    <row r="1342" spans="5:10">
      <c r="E1342" s="11"/>
      <c r="G1342" s="12"/>
      <c r="H1342" s="12"/>
      <c r="J1342" s="11"/>
    </row>
    <row r="1343" spans="5:10">
      <c r="E1343" s="11"/>
      <c r="G1343" s="12"/>
      <c r="H1343" s="12"/>
      <c r="J1343" s="11"/>
    </row>
    <row r="1344" spans="5:10">
      <c r="E1344" s="11"/>
      <c r="G1344" s="12"/>
      <c r="H1344" s="12"/>
      <c r="J1344" s="11"/>
    </row>
    <row r="1345" spans="5:10">
      <c r="E1345" s="11"/>
      <c r="G1345" s="12"/>
      <c r="H1345" s="12"/>
      <c r="J1345" s="11"/>
    </row>
    <row r="1346" spans="5:10">
      <c r="E1346" s="11"/>
      <c r="G1346" s="12"/>
      <c r="H1346" s="12"/>
      <c r="J1346" s="11"/>
    </row>
    <row r="1347" spans="5:10">
      <c r="E1347" s="11"/>
      <c r="G1347" s="12"/>
      <c r="H1347" s="12"/>
      <c r="J1347" s="11"/>
    </row>
    <row r="1348" spans="5:10">
      <c r="E1348" s="11"/>
      <c r="G1348" s="12"/>
      <c r="H1348" s="12"/>
      <c r="J1348" s="11"/>
    </row>
    <row r="1349" spans="5:10">
      <c r="E1349" s="11"/>
      <c r="G1349" s="12"/>
      <c r="H1349" s="12"/>
      <c r="J1349" s="11"/>
    </row>
    <row r="1350" spans="5:10">
      <c r="E1350" s="11"/>
      <c r="G1350" s="12"/>
      <c r="H1350" s="12"/>
      <c r="J1350" s="11"/>
    </row>
    <row r="1351" spans="5:10">
      <c r="E1351" s="11"/>
      <c r="G1351" s="12"/>
      <c r="H1351" s="12"/>
      <c r="J1351" s="11"/>
    </row>
    <row r="1352" spans="5:10">
      <c r="E1352" s="11"/>
      <c r="G1352" s="12"/>
      <c r="H1352" s="12"/>
      <c r="J1352" s="11"/>
    </row>
    <row r="1353" spans="5:10">
      <c r="E1353" s="11"/>
      <c r="G1353" s="12"/>
      <c r="H1353" s="12"/>
      <c r="J1353" s="11"/>
    </row>
    <row r="1354" spans="5:10">
      <c r="E1354" s="11"/>
      <c r="G1354" s="12"/>
      <c r="H1354" s="12"/>
      <c r="J1354" s="11"/>
    </row>
    <row r="1355" spans="5:10">
      <c r="E1355" s="11"/>
      <c r="G1355" s="12"/>
      <c r="H1355" s="12"/>
      <c r="J1355" s="11"/>
    </row>
    <row r="1356" spans="5:10">
      <c r="E1356" s="11"/>
      <c r="G1356" s="12"/>
      <c r="H1356" s="12"/>
      <c r="J1356" s="11"/>
    </row>
    <row r="1357" spans="5:10">
      <c r="E1357" s="11"/>
      <c r="G1357" s="12"/>
      <c r="H1357" s="12"/>
      <c r="J1357" s="11"/>
    </row>
    <row r="1358" spans="5:10">
      <c r="E1358" s="11"/>
      <c r="G1358" s="12"/>
      <c r="H1358" s="12"/>
      <c r="J1358" s="11"/>
    </row>
    <row r="1359" spans="5:10">
      <c r="E1359" s="11"/>
      <c r="G1359" s="12"/>
      <c r="H1359" s="12"/>
      <c r="J1359" s="11"/>
    </row>
    <row r="1360" spans="5:10">
      <c r="E1360" s="11"/>
      <c r="G1360" s="12"/>
      <c r="H1360" s="12"/>
      <c r="J1360" s="11"/>
    </row>
    <row r="1361" spans="5:10">
      <c r="E1361" s="11"/>
      <c r="G1361" s="12"/>
      <c r="H1361" s="12"/>
      <c r="J1361" s="11"/>
    </row>
    <row r="1362" spans="5:10">
      <c r="E1362" s="11"/>
      <c r="G1362" s="12"/>
      <c r="H1362" s="12"/>
      <c r="J1362" s="11"/>
    </row>
    <row r="1363" spans="5:10">
      <c r="E1363" s="11"/>
      <c r="G1363" s="12"/>
      <c r="H1363" s="12"/>
      <c r="J1363" s="11"/>
    </row>
    <row r="1364" spans="5:10">
      <c r="E1364" s="11"/>
      <c r="G1364" s="12"/>
      <c r="H1364" s="12"/>
      <c r="J1364" s="11"/>
    </row>
    <row r="1365" spans="5:10">
      <c r="E1365" s="11"/>
      <c r="G1365" s="12"/>
      <c r="H1365" s="12"/>
      <c r="J1365" s="11"/>
    </row>
    <row r="1366" spans="5:10">
      <c r="E1366" s="11"/>
      <c r="G1366" s="12"/>
      <c r="H1366" s="12"/>
      <c r="J1366" s="11"/>
    </row>
    <row r="1367" spans="5:10">
      <c r="E1367" s="11"/>
      <c r="G1367" s="12"/>
      <c r="H1367" s="12"/>
      <c r="J1367" s="11"/>
    </row>
    <row r="1368" spans="5:10">
      <c r="E1368" s="11"/>
      <c r="G1368" s="12"/>
      <c r="H1368" s="12"/>
      <c r="J1368" s="11"/>
    </row>
    <row r="1369" spans="5:10">
      <c r="E1369" s="11"/>
      <c r="G1369" s="12"/>
      <c r="H1369" s="12"/>
      <c r="J1369" s="11"/>
    </row>
    <row r="1370" spans="5:10">
      <c r="E1370" s="11"/>
      <c r="G1370" s="12"/>
      <c r="H1370" s="12"/>
      <c r="J1370" s="11"/>
    </row>
    <row r="1371" spans="5:10">
      <c r="E1371" s="11"/>
      <c r="G1371" s="12"/>
      <c r="H1371" s="12"/>
      <c r="J1371" s="11"/>
    </row>
    <row r="1372" spans="5:10">
      <c r="E1372" s="11"/>
      <c r="G1372" s="12"/>
      <c r="H1372" s="12"/>
      <c r="J1372" s="11"/>
    </row>
    <row r="1373" spans="5:10">
      <c r="E1373" s="11"/>
      <c r="G1373" s="12"/>
      <c r="H1373" s="12"/>
      <c r="J1373" s="11"/>
    </row>
    <row r="1374" spans="5:10">
      <c r="E1374" s="11"/>
      <c r="G1374" s="12"/>
      <c r="H1374" s="12"/>
      <c r="J1374" s="11"/>
    </row>
    <row r="1375" spans="5:10">
      <c r="E1375" s="11"/>
      <c r="G1375" s="12"/>
      <c r="H1375" s="12"/>
      <c r="J1375" s="11"/>
    </row>
    <row r="1376" spans="5:10">
      <c r="E1376" s="11"/>
      <c r="G1376" s="12"/>
      <c r="H1376" s="12"/>
      <c r="J1376" s="11"/>
    </row>
    <row r="1377" spans="5:10">
      <c r="E1377" s="11"/>
      <c r="G1377" s="12"/>
      <c r="H1377" s="12"/>
      <c r="J1377" s="11"/>
    </row>
    <row r="1378" spans="5:10">
      <c r="E1378" s="11"/>
      <c r="G1378" s="12"/>
      <c r="H1378" s="12"/>
      <c r="J1378" s="11"/>
    </row>
    <row r="1379" spans="5:10">
      <c r="E1379" s="11"/>
      <c r="G1379" s="12"/>
      <c r="H1379" s="12"/>
      <c r="J1379" s="11"/>
    </row>
    <row r="1380" spans="5:10">
      <c r="E1380" s="11"/>
      <c r="G1380" s="12"/>
      <c r="H1380" s="12"/>
      <c r="J1380" s="11"/>
    </row>
    <row r="1381" spans="5:10">
      <c r="E1381" s="11"/>
      <c r="G1381" s="12"/>
      <c r="H1381" s="12"/>
      <c r="J1381" s="11"/>
    </row>
    <row r="1382" spans="5:10">
      <c r="E1382" s="11"/>
      <c r="G1382" s="12"/>
      <c r="H1382" s="12"/>
      <c r="J1382" s="11"/>
    </row>
    <row r="1383" spans="5:10">
      <c r="E1383" s="11"/>
      <c r="G1383" s="12"/>
      <c r="H1383" s="12"/>
      <c r="J1383" s="11"/>
    </row>
    <row r="1384" spans="5:10">
      <c r="E1384" s="11"/>
      <c r="G1384" s="12"/>
      <c r="H1384" s="12"/>
      <c r="J1384" s="11"/>
    </row>
    <row r="1385" spans="5:10">
      <c r="E1385" s="11"/>
      <c r="G1385" s="12"/>
      <c r="H1385" s="12"/>
      <c r="J1385" s="11"/>
    </row>
    <row r="1386" spans="5:10">
      <c r="E1386" s="11"/>
      <c r="G1386" s="12"/>
      <c r="H1386" s="12"/>
      <c r="J1386" s="11"/>
    </row>
    <row r="1387" spans="5:10">
      <c r="E1387" s="11"/>
      <c r="G1387" s="12"/>
      <c r="H1387" s="12"/>
      <c r="J1387" s="11"/>
    </row>
    <row r="1388" spans="5:10">
      <c r="E1388" s="11"/>
      <c r="G1388" s="12"/>
      <c r="H1388" s="12"/>
      <c r="J1388" s="11"/>
    </row>
    <row r="1389" spans="5:10">
      <c r="E1389" s="11"/>
      <c r="G1389" s="12"/>
      <c r="H1389" s="12"/>
      <c r="J1389" s="11"/>
    </row>
    <row r="1390" spans="5:10">
      <c r="E1390" s="11"/>
      <c r="G1390" s="12"/>
      <c r="H1390" s="12"/>
      <c r="J1390" s="11"/>
    </row>
    <row r="1391" spans="5:10">
      <c r="E1391" s="11"/>
      <c r="G1391" s="12"/>
      <c r="H1391" s="12"/>
      <c r="J1391" s="11"/>
    </row>
    <row r="1392" spans="5:10">
      <c r="E1392" s="11"/>
      <c r="G1392" s="12"/>
      <c r="H1392" s="12"/>
      <c r="J1392" s="11"/>
    </row>
    <row r="1393" spans="5:10">
      <c r="E1393" s="11"/>
      <c r="G1393" s="12"/>
      <c r="H1393" s="12"/>
      <c r="J1393" s="11"/>
    </row>
    <row r="1394" spans="5:10">
      <c r="E1394" s="11"/>
      <c r="G1394" s="12"/>
      <c r="H1394" s="12"/>
      <c r="J1394" s="11"/>
    </row>
    <row r="1395" spans="5:10">
      <c r="E1395" s="11"/>
      <c r="G1395" s="12"/>
      <c r="H1395" s="12"/>
      <c r="J1395" s="11"/>
    </row>
    <row r="1396" spans="5:10">
      <c r="E1396" s="11"/>
      <c r="G1396" s="12"/>
      <c r="H1396" s="12"/>
      <c r="J1396" s="11"/>
    </row>
    <row r="1397" spans="5:10">
      <c r="E1397" s="11"/>
      <c r="G1397" s="12"/>
      <c r="H1397" s="12"/>
      <c r="J1397" s="11"/>
    </row>
    <row r="1398" spans="5:10">
      <c r="E1398" s="11"/>
      <c r="G1398" s="12"/>
      <c r="H1398" s="12"/>
      <c r="J1398" s="11"/>
    </row>
    <row r="1399" spans="5:10">
      <c r="E1399" s="11"/>
      <c r="G1399" s="12"/>
      <c r="H1399" s="12"/>
      <c r="J1399" s="11"/>
    </row>
    <row r="1400" spans="5:10">
      <c r="E1400" s="11"/>
      <c r="G1400" s="12"/>
      <c r="H1400" s="12"/>
      <c r="J1400" s="11"/>
    </row>
    <row r="1401" spans="5:10">
      <c r="E1401" s="11"/>
      <c r="G1401" s="12"/>
      <c r="H1401" s="12"/>
      <c r="J1401" s="11"/>
    </row>
    <row r="1402" spans="5:10">
      <c r="E1402" s="11"/>
      <c r="G1402" s="12"/>
      <c r="H1402" s="12"/>
      <c r="J1402" s="11"/>
    </row>
    <row r="1403" spans="5:10">
      <c r="E1403" s="11"/>
      <c r="G1403" s="12"/>
      <c r="H1403" s="12"/>
      <c r="J1403" s="11"/>
    </row>
    <row r="1404" spans="5:10">
      <c r="E1404" s="11"/>
      <c r="G1404" s="12"/>
      <c r="H1404" s="12"/>
      <c r="J1404" s="11"/>
    </row>
    <row r="1405" spans="5:10">
      <c r="E1405" s="11"/>
      <c r="G1405" s="12"/>
      <c r="H1405" s="12"/>
      <c r="J1405" s="11"/>
    </row>
    <row r="1406" spans="5:10">
      <c r="E1406" s="11"/>
      <c r="G1406" s="12"/>
      <c r="H1406" s="12"/>
      <c r="J1406" s="11"/>
    </row>
    <row r="1407" spans="5:10">
      <c r="E1407" s="11"/>
      <c r="G1407" s="12"/>
      <c r="H1407" s="12"/>
      <c r="J1407" s="11"/>
    </row>
    <row r="1408" spans="5:10">
      <c r="E1408" s="11"/>
      <c r="G1408" s="12"/>
      <c r="H1408" s="12"/>
      <c r="J1408" s="11"/>
    </row>
    <row r="1409" spans="5:10">
      <c r="E1409" s="11"/>
      <c r="G1409" s="12"/>
      <c r="H1409" s="12"/>
      <c r="J1409" s="11"/>
    </row>
    <row r="1410" spans="5:10">
      <c r="E1410" s="11"/>
      <c r="G1410" s="12"/>
      <c r="H1410" s="12"/>
      <c r="J1410" s="11"/>
    </row>
    <row r="1411" spans="5:10">
      <c r="E1411" s="11"/>
      <c r="G1411" s="12"/>
      <c r="H1411" s="12"/>
      <c r="J1411" s="11"/>
    </row>
    <row r="1412" spans="5:10">
      <c r="E1412" s="11"/>
      <c r="G1412" s="12"/>
      <c r="H1412" s="12"/>
      <c r="J1412" s="11"/>
    </row>
    <row r="1413" spans="5:10">
      <c r="E1413" s="11"/>
      <c r="G1413" s="12"/>
      <c r="H1413" s="12"/>
      <c r="J1413" s="11"/>
    </row>
    <row r="1414" spans="5:10">
      <c r="E1414" s="11"/>
      <c r="G1414" s="12"/>
      <c r="H1414" s="12"/>
      <c r="J1414" s="11"/>
    </row>
    <row r="1415" spans="5:10">
      <c r="E1415" s="11"/>
      <c r="G1415" s="12"/>
      <c r="H1415" s="12"/>
      <c r="J1415" s="11"/>
    </row>
    <row r="1416" spans="5:10">
      <c r="E1416" s="11"/>
      <c r="G1416" s="12"/>
      <c r="H1416" s="12"/>
      <c r="J1416" s="11"/>
    </row>
    <row r="1417" spans="5:10">
      <c r="E1417" s="11"/>
      <c r="G1417" s="12"/>
      <c r="H1417" s="12"/>
      <c r="J1417" s="11"/>
    </row>
    <row r="1418" spans="5:10">
      <c r="E1418" s="11"/>
      <c r="G1418" s="12"/>
      <c r="H1418" s="12"/>
      <c r="J1418" s="11"/>
    </row>
    <row r="1419" spans="5:10">
      <c r="E1419" s="11"/>
      <c r="G1419" s="12"/>
      <c r="H1419" s="12"/>
      <c r="J1419" s="11"/>
    </row>
    <row r="1420" spans="5:10">
      <c r="E1420" s="11"/>
      <c r="G1420" s="12"/>
      <c r="H1420" s="12"/>
      <c r="J1420" s="11"/>
    </row>
    <row r="1421" spans="5:10">
      <c r="E1421" s="11"/>
      <c r="G1421" s="12"/>
      <c r="H1421" s="12"/>
      <c r="J1421" s="11"/>
    </row>
    <row r="1422" spans="5:10">
      <c r="E1422" s="11"/>
      <c r="G1422" s="12"/>
      <c r="H1422" s="12"/>
      <c r="J1422" s="11"/>
    </row>
    <row r="1423" spans="5:10">
      <c r="E1423" s="11"/>
      <c r="G1423" s="12"/>
      <c r="H1423" s="12"/>
      <c r="J1423" s="11"/>
    </row>
    <row r="1424" spans="5:10">
      <c r="E1424" s="11"/>
      <c r="G1424" s="12"/>
      <c r="H1424" s="12"/>
      <c r="J1424" s="11"/>
    </row>
    <row r="1425" spans="5:10">
      <c r="E1425" s="11"/>
      <c r="G1425" s="12"/>
      <c r="H1425" s="12"/>
      <c r="J1425" s="11"/>
    </row>
    <row r="1426" spans="5:10">
      <c r="E1426" s="11"/>
      <c r="G1426" s="12"/>
      <c r="H1426" s="12"/>
      <c r="J1426" s="11"/>
    </row>
    <row r="1427" spans="5:10">
      <c r="E1427" s="11"/>
      <c r="G1427" s="12"/>
      <c r="H1427" s="12"/>
      <c r="J1427" s="11"/>
    </row>
    <row r="1428" spans="5:10">
      <c r="E1428" s="11"/>
      <c r="G1428" s="12"/>
      <c r="H1428" s="12"/>
      <c r="J1428" s="11"/>
    </row>
    <row r="1429" spans="5:10">
      <c r="E1429" s="11"/>
      <c r="G1429" s="12"/>
      <c r="H1429" s="12"/>
      <c r="J1429" s="11"/>
    </row>
    <row r="1430" spans="5:10">
      <c r="E1430" s="11"/>
      <c r="G1430" s="12"/>
      <c r="H1430" s="12"/>
      <c r="J1430" s="11"/>
    </row>
    <row r="1431" spans="5:10">
      <c r="E1431" s="11"/>
      <c r="G1431" s="12"/>
      <c r="H1431" s="12"/>
      <c r="J1431" s="11"/>
    </row>
    <row r="1432" spans="5:10">
      <c r="E1432" s="11"/>
      <c r="G1432" s="12"/>
      <c r="H1432" s="12"/>
      <c r="J1432" s="11"/>
    </row>
    <row r="1433" spans="5:10">
      <c r="E1433" s="11"/>
      <c r="G1433" s="12"/>
      <c r="H1433" s="12"/>
      <c r="J1433" s="11"/>
    </row>
    <row r="1434" spans="5:10">
      <c r="E1434" s="11"/>
      <c r="G1434" s="12"/>
      <c r="H1434" s="12"/>
      <c r="J1434" s="11"/>
    </row>
    <row r="1435" spans="5:10">
      <c r="E1435" s="11"/>
      <c r="G1435" s="12"/>
      <c r="H1435" s="12"/>
      <c r="J1435" s="11"/>
    </row>
    <row r="1436" spans="5:10">
      <c r="E1436" s="11"/>
      <c r="G1436" s="12"/>
      <c r="H1436" s="12"/>
      <c r="J1436" s="11"/>
    </row>
    <row r="1437" spans="5:10">
      <c r="E1437" s="11"/>
      <c r="G1437" s="12"/>
      <c r="H1437" s="12"/>
      <c r="J1437" s="11"/>
    </row>
    <row r="1438" spans="5:10">
      <c r="E1438" s="11"/>
      <c r="G1438" s="12"/>
      <c r="H1438" s="12"/>
      <c r="J1438" s="11"/>
    </row>
    <row r="1439" spans="5:10">
      <c r="E1439" s="11"/>
      <c r="G1439" s="12"/>
      <c r="H1439" s="12"/>
      <c r="J1439" s="11"/>
    </row>
    <row r="1440" spans="5:10">
      <c r="E1440" s="11"/>
      <c r="G1440" s="12"/>
      <c r="H1440" s="12"/>
      <c r="J1440" s="11"/>
    </row>
    <row r="1441" spans="5:10">
      <c r="E1441" s="11"/>
      <c r="G1441" s="12"/>
      <c r="H1441" s="12"/>
      <c r="J1441" s="11"/>
    </row>
    <row r="1442" spans="5:10">
      <c r="E1442" s="11"/>
      <c r="G1442" s="12"/>
      <c r="H1442" s="12"/>
      <c r="J1442" s="11"/>
    </row>
    <row r="1443" spans="5:10">
      <c r="E1443" s="11"/>
      <c r="G1443" s="12"/>
      <c r="H1443" s="12"/>
      <c r="J1443" s="11"/>
    </row>
    <row r="1444" spans="5:10">
      <c r="E1444" s="11"/>
      <c r="G1444" s="12"/>
      <c r="H1444" s="12"/>
      <c r="J1444" s="11"/>
    </row>
    <row r="1445" spans="5:10">
      <c r="E1445" s="11"/>
      <c r="G1445" s="12"/>
      <c r="H1445" s="12"/>
      <c r="J1445" s="11"/>
    </row>
    <row r="1446" spans="5:10">
      <c r="E1446" s="11"/>
      <c r="G1446" s="12"/>
      <c r="H1446" s="12"/>
      <c r="J1446" s="11"/>
    </row>
    <row r="1447" spans="5:10">
      <c r="E1447" s="11"/>
      <c r="G1447" s="12"/>
      <c r="H1447" s="12"/>
      <c r="J1447" s="11"/>
    </row>
    <row r="1448" spans="5:10">
      <c r="E1448" s="11"/>
      <c r="G1448" s="12"/>
      <c r="H1448" s="12"/>
      <c r="J1448" s="11"/>
    </row>
    <row r="1449" spans="5:10">
      <c r="E1449" s="11"/>
      <c r="G1449" s="12"/>
      <c r="H1449" s="12"/>
      <c r="J1449" s="11"/>
    </row>
    <row r="1450" spans="5:10">
      <c r="E1450" s="11"/>
      <c r="G1450" s="12"/>
      <c r="H1450" s="12"/>
      <c r="J1450" s="11"/>
    </row>
    <row r="1451" spans="5:10">
      <c r="E1451" s="11"/>
      <c r="G1451" s="12"/>
      <c r="H1451" s="12"/>
      <c r="J1451" s="11"/>
    </row>
    <row r="1452" spans="5:10">
      <c r="E1452" s="11"/>
      <c r="G1452" s="12"/>
      <c r="H1452" s="12"/>
      <c r="J1452" s="11"/>
    </row>
    <row r="1453" spans="5:10">
      <c r="E1453" s="11"/>
      <c r="G1453" s="12"/>
      <c r="H1453" s="12"/>
      <c r="J1453" s="11"/>
    </row>
    <row r="1454" spans="5:10">
      <c r="E1454" s="11"/>
      <c r="G1454" s="12"/>
      <c r="H1454" s="12"/>
      <c r="J1454" s="11"/>
    </row>
    <row r="1455" spans="5:10">
      <c r="E1455" s="11"/>
      <c r="G1455" s="12"/>
      <c r="H1455" s="12"/>
      <c r="J1455" s="11"/>
    </row>
    <row r="1456" spans="5:10">
      <c r="E1456" s="11"/>
      <c r="G1456" s="12"/>
      <c r="H1456" s="12"/>
      <c r="J1456" s="11"/>
    </row>
    <row r="1457" spans="5:10">
      <c r="E1457" s="11"/>
      <c r="G1457" s="12"/>
      <c r="H1457" s="12"/>
      <c r="J1457" s="11"/>
    </row>
    <row r="1458" spans="5:10">
      <c r="E1458" s="11"/>
      <c r="G1458" s="12"/>
      <c r="H1458" s="12"/>
      <c r="J1458" s="11"/>
    </row>
    <row r="1459" spans="5:10">
      <c r="E1459" s="11"/>
      <c r="G1459" s="12"/>
      <c r="H1459" s="12"/>
      <c r="J1459" s="11"/>
    </row>
    <row r="1460" spans="5:10">
      <c r="E1460" s="11"/>
      <c r="G1460" s="12"/>
      <c r="H1460" s="12"/>
      <c r="J1460" s="11"/>
    </row>
    <row r="1461" spans="5:10">
      <c r="E1461" s="11"/>
      <c r="G1461" s="12"/>
      <c r="H1461" s="12"/>
      <c r="J1461" s="11"/>
    </row>
    <row r="1462" spans="5:10">
      <c r="E1462" s="11"/>
      <c r="G1462" s="12"/>
      <c r="H1462" s="12"/>
      <c r="J1462" s="11"/>
    </row>
    <row r="1463" spans="5:10">
      <c r="E1463" s="11"/>
      <c r="G1463" s="12"/>
      <c r="H1463" s="12"/>
      <c r="J1463" s="11"/>
    </row>
    <row r="1464" spans="5:10">
      <c r="E1464" s="11"/>
      <c r="G1464" s="12"/>
      <c r="H1464" s="12"/>
      <c r="J1464" s="11"/>
    </row>
    <row r="1465" spans="5:10">
      <c r="E1465" s="11"/>
      <c r="G1465" s="12"/>
      <c r="H1465" s="12"/>
      <c r="J1465" s="11"/>
    </row>
    <row r="1466" spans="5:10">
      <c r="E1466" s="11"/>
      <c r="G1466" s="12"/>
      <c r="H1466" s="12"/>
      <c r="J1466" s="11"/>
    </row>
    <row r="1467" spans="5:10">
      <c r="E1467" s="11"/>
      <c r="G1467" s="12"/>
      <c r="H1467" s="12"/>
      <c r="J1467" s="11"/>
    </row>
    <row r="1468" spans="5:10">
      <c r="E1468" s="11"/>
      <c r="G1468" s="12"/>
      <c r="H1468" s="12"/>
      <c r="J1468" s="11"/>
    </row>
    <row r="1469" spans="5:10">
      <c r="E1469" s="11"/>
      <c r="G1469" s="12"/>
      <c r="H1469" s="12"/>
      <c r="J1469" s="11"/>
    </row>
    <row r="1470" spans="5:10">
      <c r="E1470" s="11"/>
      <c r="G1470" s="12"/>
      <c r="H1470" s="12"/>
      <c r="J1470" s="11"/>
    </row>
    <row r="1471" spans="5:10">
      <c r="E1471" s="11"/>
      <c r="G1471" s="12"/>
      <c r="H1471" s="12"/>
      <c r="J1471" s="11"/>
    </row>
    <row r="1472" spans="5:10">
      <c r="E1472" s="11"/>
      <c r="G1472" s="12"/>
      <c r="H1472" s="12"/>
      <c r="J1472" s="11"/>
    </row>
    <row r="1473" spans="5:10">
      <c r="E1473" s="11"/>
      <c r="G1473" s="12"/>
      <c r="H1473" s="12"/>
      <c r="J1473" s="11"/>
    </row>
    <row r="1474" spans="5:10">
      <c r="E1474" s="11"/>
      <c r="G1474" s="12"/>
      <c r="H1474" s="12"/>
      <c r="J1474" s="11"/>
    </row>
    <row r="1475" spans="5:10">
      <c r="E1475" s="11"/>
      <c r="G1475" s="12"/>
      <c r="H1475" s="12"/>
      <c r="J1475" s="11"/>
    </row>
    <row r="1476" spans="5:10">
      <c r="E1476" s="11"/>
      <c r="G1476" s="12"/>
      <c r="H1476" s="12"/>
      <c r="J1476" s="11"/>
    </row>
    <row r="1477" spans="5:10">
      <c r="E1477" s="11"/>
      <c r="G1477" s="12"/>
      <c r="H1477" s="12"/>
      <c r="J1477" s="11"/>
    </row>
    <row r="1478" spans="5:10">
      <c r="E1478" s="11"/>
      <c r="G1478" s="12"/>
      <c r="H1478" s="12"/>
      <c r="J1478" s="11"/>
    </row>
    <row r="1479" spans="5:10">
      <c r="E1479" s="11"/>
      <c r="G1479" s="12"/>
      <c r="H1479" s="12"/>
      <c r="J1479" s="11"/>
    </row>
    <row r="1480" spans="5:10">
      <c r="E1480" s="11"/>
      <c r="G1480" s="12"/>
      <c r="H1480" s="12"/>
      <c r="J1480" s="11"/>
    </row>
    <row r="1481" spans="5:10">
      <c r="E1481" s="11"/>
      <c r="G1481" s="12"/>
      <c r="H1481" s="12"/>
      <c r="J1481" s="11"/>
    </row>
    <row r="1482" spans="5:10">
      <c r="E1482" s="11"/>
      <c r="G1482" s="12"/>
      <c r="H1482" s="12"/>
      <c r="J1482" s="11"/>
    </row>
    <row r="1483" spans="5:10">
      <c r="E1483" s="11"/>
      <c r="G1483" s="12"/>
      <c r="H1483" s="12"/>
      <c r="J1483" s="11"/>
    </row>
    <row r="1484" spans="5:10">
      <c r="E1484" s="11"/>
      <c r="G1484" s="12"/>
      <c r="H1484" s="12"/>
      <c r="J1484" s="11"/>
    </row>
    <row r="1485" spans="5:10">
      <c r="E1485" s="11"/>
      <c r="G1485" s="12"/>
      <c r="H1485" s="12"/>
      <c r="J1485" s="11"/>
    </row>
    <row r="1486" spans="5:10">
      <c r="E1486" s="11"/>
      <c r="G1486" s="12"/>
      <c r="H1486" s="12"/>
      <c r="J1486" s="11"/>
    </row>
    <row r="1487" spans="5:10">
      <c r="E1487" s="11"/>
      <c r="G1487" s="12"/>
      <c r="H1487" s="12"/>
      <c r="J1487" s="11"/>
    </row>
    <row r="1488" spans="5:10">
      <c r="E1488" s="11"/>
      <c r="G1488" s="12"/>
      <c r="H1488" s="12"/>
      <c r="J1488" s="11"/>
    </row>
    <row r="1489" spans="5:10">
      <c r="E1489" s="11"/>
      <c r="G1489" s="12"/>
      <c r="H1489" s="12"/>
      <c r="J1489" s="11"/>
    </row>
    <row r="1490" spans="5:10">
      <c r="E1490" s="11"/>
      <c r="G1490" s="12"/>
      <c r="H1490" s="12"/>
      <c r="J1490" s="11"/>
    </row>
    <row r="1491" spans="5:10">
      <c r="E1491" s="11"/>
      <c r="G1491" s="12"/>
      <c r="H1491" s="12"/>
      <c r="J1491" s="11"/>
    </row>
    <row r="1492" spans="5:10">
      <c r="E1492" s="11"/>
      <c r="G1492" s="12"/>
      <c r="H1492" s="12"/>
      <c r="J1492" s="11"/>
    </row>
    <row r="1493" spans="5:10">
      <c r="E1493" s="11"/>
      <c r="G1493" s="12"/>
      <c r="H1493" s="12"/>
      <c r="J1493" s="11"/>
    </row>
    <row r="1494" spans="5:10">
      <c r="E1494" s="11"/>
      <c r="G1494" s="12"/>
      <c r="H1494" s="12"/>
      <c r="J1494" s="11"/>
    </row>
    <row r="1495" spans="5:10">
      <c r="E1495" s="11"/>
      <c r="G1495" s="12"/>
      <c r="H1495" s="12"/>
      <c r="J1495" s="11"/>
    </row>
    <row r="1496" spans="5:10">
      <c r="E1496" s="11"/>
      <c r="G1496" s="12"/>
      <c r="H1496" s="12"/>
      <c r="J1496" s="11"/>
    </row>
    <row r="1497" spans="5:10">
      <c r="E1497" s="11"/>
      <c r="G1497" s="12"/>
      <c r="H1497" s="12"/>
      <c r="J1497" s="11"/>
    </row>
    <row r="1498" spans="5:10">
      <c r="E1498" s="11"/>
      <c r="G1498" s="12"/>
      <c r="H1498" s="12"/>
      <c r="J1498" s="11"/>
    </row>
    <row r="1499" spans="5:10">
      <c r="E1499" s="11"/>
      <c r="G1499" s="12"/>
      <c r="H1499" s="12"/>
      <c r="J1499" s="11"/>
    </row>
    <row r="1500" spans="5:10">
      <c r="E1500" s="11"/>
      <c r="G1500" s="12"/>
      <c r="H1500" s="12"/>
      <c r="J1500" s="11"/>
    </row>
    <row r="1501" spans="5:10">
      <c r="E1501" s="11"/>
      <c r="G1501" s="12"/>
      <c r="H1501" s="12"/>
      <c r="J1501" s="11"/>
    </row>
    <row r="1502" spans="5:10">
      <c r="E1502" s="11"/>
      <c r="G1502" s="12"/>
      <c r="H1502" s="12"/>
      <c r="J1502" s="11"/>
    </row>
    <row r="1503" spans="5:10">
      <c r="E1503" s="11"/>
      <c r="G1503" s="12"/>
      <c r="H1503" s="12"/>
      <c r="J1503" s="11"/>
    </row>
    <row r="1504" spans="5:10">
      <c r="E1504" s="11"/>
      <c r="G1504" s="12"/>
      <c r="H1504" s="12"/>
      <c r="J1504" s="11"/>
    </row>
    <row r="1505" spans="5:10">
      <c r="E1505" s="11"/>
      <c r="G1505" s="12"/>
      <c r="H1505" s="12"/>
      <c r="J1505" s="11"/>
    </row>
    <row r="1506" spans="5:10">
      <c r="E1506" s="11"/>
      <c r="G1506" s="12"/>
      <c r="H1506" s="12"/>
      <c r="J1506" s="11"/>
    </row>
    <row r="1507" spans="5:10">
      <c r="E1507" s="11"/>
      <c r="G1507" s="12"/>
      <c r="H1507" s="12"/>
      <c r="J1507" s="11"/>
    </row>
    <row r="1508" spans="5:10">
      <c r="E1508" s="11"/>
      <c r="G1508" s="12"/>
      <c r="H1508" s="12"/>
      <c r="J1508" s="11"/>
    </row>
    <row r="1509" spans="5:10">
      <c r="E1509" s="11"/>
      <c r="G1509" s="12"/>
      <c r="H1509" s="12"/>
      <c r="J1509" s="11"/>
    </row>
    <row r="1510" spans="5:10">
      <c r="E1510" s="11"/>
      <c r="G1510" s="12"/>
      <c r="H1510" s="12"/>
      <c r="J1510" s="11"/>
    </row>
    <row r="1511" spans="5:10">
      <c r="E1511" s="11"/>
      <c r="G1511" s="12"/>
      <c r="H1511" s="12"/>
      <c r="J1511" s="11"/>
    </row>
    <row r="1512" spans="5:10">
      <c r="E1512" s="11"/>
      <c r="G1512" s="12"/>
      <c r="H1512" s="12"/>
      <c r="J1512" s="11"/>
    </row>
    <row r="1513" spans="5:10">
      <c r="E1513" s="11"/>
      <c r="G1513" s="12"/>
      <c r="H1513" s="12"/>
      <c r="J1513" s="11"/>
    </row>
    <row r="1514" spans="5:10">
      <c r="E1514" s="11"/>
      <c r="G1514" s="12"/>
      <c r="H1514" s="12"/>
      <c r="J1514" s="11"/>
    </row>
    <row r="1515" spans="5:10">
      <c r="E1515" s="11"/>
      <c r="G1515" s="12"/>
      <c r="H1515" s="12"/>
      <c r="J1515" s="11"/>
    </row>
    <row r="1516" spans="5:10">
      <c r="E1516" s="11"/>
      <c r="G1516" s="12"/>
      <c r="H1516" s="12"/>
      <c r="J1516" s="11"/>
    </row>
    <row r="1517" spans="5:10">
      <c r="E1517" s="11"/>
      <c r="G1517" s="12"/>
      <c r="H1517" s="12"/>
      <c r="J1517" s="11"/>
    </row>
    <row r="1518" spans="5:10">
      <c r="E1518" s="11"/>
      <c r="G1518" s="12"/>
      <c r="H1518" s="12"/>
      <c r="J1518" s="11"/>
    </row>
    <row r="1519" spans="5:10">
      <c r="E1519" s="11"/>
      <c r="G1519" s="12"/>
      <c r="H1519" s="12"/>
      <c r="J1519" s="11"/>
    </row>
    <row r="1520" spans="5:10">
      <c r="E1520" s="11"/>
      <c r="G1520" s="12"/>
      <c r="H1520" s="12"/>
      <c r="J1520" s="11"/>
    </row>
    <row r="1521" spans="5:10">
      <c r="E1521" s="11"/>
      <c r="G1521" s="12"/>
      <c r="H1521" s="12"/>
      <c r="J1521" s="11"/>
    </row>
    <row r="1522" spans="5:10">
      <c r="E1522" s="11"/>
      <c r="G1522" s="12"/>
      <c r="H1522" s="12"/>
      <c r="J1522" s="11"/>
    </row>
    <row r="1523" spans="5:10">
      <c r="E1523" s="11"/>
      <c r="G1523" s="12"/>
      <c r="H1523" s="12"/>
      <c r="J1523" s="11"/>
    </row>
    <row r="1524" spans="5:10">
      <c r="E1524" s="11"/>
      <c r="G1524" s="12"/>
      <c r="H1524" s="12"/>
      <c r="J1524" s="11"/>
    </row>
    <row r="1525" spans="5:10">
      <c r="E1525" s="11"/>
      <c r="G1525" s="12"/>
      <c r="H1525" s="12"/>
      <c r="J1525" s="11"/>
    </row>
    <row r="1526" spans="5:10">
      <c r="E1526" s="11"/>
      <c r="G1526" s="12"/>
      <c r="H1526" s="12"/>
      <c r="J1526" s="11"/>
    </row>
    <row r="1527" spans="5:10">
      <c r="E1527" s="11"/>
      <c r="G1527" s="12"/>
      <c r="H1527" s="12"/>
      <c r="J1527" s="11"/>
    </row>
    <row r="1528" spans="5:10">
      <c r="E1528" s="11"/>
      <c r="G1528" s="12"/>
      <c r="H1528" s="12"/>
      <c r="J1528" s="11"/>
    </row>
    <row r="1529" spans="5:10">
      <c r="E1529" s="11"/>
      <c r="G1529" s="12"/>
      <c r="H1529" s="12"/>
      <c r="J1529" s="11"/>
    </row>
    <row r="1530" spans="5:10">
      <c r="E1530" s="11"/>
      <c r="G1530" s="12"/>
      <c r="H1530" s="12"/>
      <c r="J1530" s="11"/>
    </row>
    <row r="1531" spans="5:10">
      <c r="E1531" s="11"/>
      <c r="G1531" s="12"/>
      <c r="H1531" s="12"/>
      <c r="J1531" s="11"/>
    </row>
    <row r="1532" spans="5:10">
      <c r="E1532" s="11"/>
      <c r="G1532" s="12"/>
      <c r="H1532" s="12"/>
      <c r="J1532" s="11"/>
    </row>
    <row r="1533" spans="5:10">
      <c r="E1533" s="11"/>
      <c r="G1533" s="12"/>
      <c r="H1533" s="12"/>
      <c r="J1533" s="11"/>
    </row>
    <row r="1534" spans="5:10">
      <c r="E1534" s="11"/>
      <c r="G1534" s="12"/>
      <c r="H1534" s="12"/>
      <c r="J1534" s="11"/>
    </row>
    <row r="1535" spans="5:10">
      <c r="E1535" s="11"/>
      <c r="G1535" s="12"/>
      <c r="H1535" s="12"/>
      <c r="J1535" s="11"/>
    </row>
    <row r="1536" spans="5:10">
      <c r="E1536" s="11"/>
      <c r="G1536" s="12"/>
      <c r="H1536" s="12"/>
      <c r="J1536" s="11"/>
    </row>
    <row r="1537" spans="5:10">
      <c r="E1537" s="11"/>
      <c r="G1537" s="12"/>
      <c r="H1537" s="12"/>
      <c r="J1537" s="11"/>
    </row>
    <row r="1538" spans="5:10">
      <c r="E1538" s="11"/>
      <c r="G1538" s="12"/>
      <c r="H1538" s="12"/>
      <c r="J1538" s="11"/>
    </row>
    <row r="1539" spans="5:10">
      <c r="E1539" s="11"/>
      <c r="G1539" s="12"/>
      <c r="H1539" s="12"/>
      <c r="J1539" s="11"/>
    </row>
    <row r="1540" spans="5:10">
      <c r="E1540" s="11"/>
      <c r="G1540" s="12"/>
      <c r="H1540" s="12"/>
      <c r="J1540" s="11"/>
    </row>
    <row r="1541" spans="5:10">
      <c r="E1541" s="11"/>
      <c r="G1541" s="12"/>
      <c r="H1541" s="12"/>
      <c r="J1541" s="11"/>
    </row>
    <row r="1542" spans="5:10">
      <c r="E1542" s="11"/>
      <c r="G1542" s="12"/>
      <c r="H1542" s="12"/>
      <c r="J1542" s="11"/>
    </row>
    <row r="1543" spans="5:10">
      <c r="E1543" s="11"/>
      <c r="G1543" s="12"/>
      <c r="H1543" s="12"/>
      <c r="J1543" s="11"/>
    </row>
    <row r="1544" spans="5:10">
      <c r="E1544" s="11"/>
      <c r="G1544" s="12"/>
      <c r="H1544" s="12"/>
      <c r="J1544" s="11"/>
    </row>
    <row r="1545" spans="5:10">
      <c r="E1545" s="11"/>
      <c r="G1545" s="12"/>
      <c r="H1545" s="12"/>
      <c r="J1545" s="11"/>
    </row>
    <row r="1546" spans="5:10">
      <c r="E1546" s="11"/>
      <c r="G1546" s="12"/>
      <c r="H1546" s="12"/>
      <c r="J1546" s="11"/>
    </row>
    <row r="1547" spans="5:10">
      <c r="E1547" s="11"/>
      <c r="G1547" s="12"/>
      <c r="H1547" s="12"/>
      <c r="J1547" s="11"/>
    </row>
    <row r="1548" spans="5:10">
      <c r="E1548" s="11"/>
      <c r="G1548" s="12"/>
      <c r="H1548" s="12"/>
      <c r="J1548" s="11"/>
    </row>
    <row r="1549" spans="5:10">
      <c r="E1549" s="11"/>
      <c r="G1549" s="12"/>
      <c r="H1549" s="12"/>
      <c r="J1549" s="11"/>
    </row>
    <row r="1550" spans="5:10">
      <c r="E1550" s="11"/>
      <c r="G1550" s="12"/>
      <c r="H1550" s="12"/>
      <c r="J1550" s="11"/>
    </row>
    <row r="1551" spans="5:10">
      <c r="E1551" s="11"/>
      <c r="G1551" s="12"/>
      <c r="H1551" s="12"/>
      <c r="J1551" s="11"/>
    </row>
    <row r="1552" spans="5:10">
      <c r="E1552" s="11"/>
      <c r="G1552" s="12"/>
      <c r="H1552" s="12"/>
      <c r="J1552" s="11"/>
    </row>
    <row r="1553" spans="5:10">
      <c r="E1553" s="11"/>
      <c r="G1553" s="12"/>
      <c r="H1553" s="12"/>
      <c r="J1553" s="11"/>
    </row>
    <row r="1554" spans="5:10">
      <c r="E1554" s="11"/>
      <c r="G1554" s="12"/>
      <c r="H1554" s="12"/>
      <c r="J1554" s="11"/>
    </row>
    <row r="1555" spans="5:10">
      <c r="E1555" s="11"/>
      <c r="G1555" s="12"/>
      <c r="H1555" s="12"/>
      <c r="J1555" s="11"/>
    </row>
    <row r="1556" spans="5:10">
      <c r="E1556" s="11"/>
      <c r="G1556" s="12"/>
      <c r="H1556" s="12"/>
      <c r="J1556" s="11"/>
    </row>
    <row r="1557" spans="5:10">
      <c r="E1557" s="11"/>
      <c r="G1557" s="12"/>
      <c r="H1557" s="12"/>
      <c r="J1557" s="11"/>
    </row>
    <row r="1558" spans="5:10">
      <c r="E1558" s="11"/>
      <c r="G1558" s="12"/>
      <c r="H1558" s="12"/>
      <c r="J1558" s="11"/>
    </row>
    <row r="1559" spans="5:10">
      <c r="E1559" s="11"/>
      <c r="G1559" s="12"/>
      <c r="H1559" s="12"/>
      <c r="J1559" s="11"/>
    </row>
    <row r="1560" spans="5:10">
      <c r="E1560" s="11"/>
      <c r="G1560" s="12"/>
      <c r="H1560" s="12"/>
      <c r="J1560" s="11"/>
    </row>
    <row r="1561" spans="5:10">
      <c r="E1561" s="11"/>
      <c r="G1561" s="12"/>
      <c r="H1561" s="12"/>
      <c r="J1561" s="11"/>
    </row>
    <row r="1562" spans="5:10">
      <c r="E1562" s="11"/>
      <c r="G1562" s="12"/>
      <c r="H1562" s="12"/>
      <c r="J1562" s="11"/>
    </row>
    <row r="1563" spans="5:10">
      <c r="E1563" s="11"/>
      <c r="G1563" s="12"/>
      <c r="H1563" s="12"/>
      <c r="J1563" s="11"/>
    </row>
    <row r="1564" spans="5:10">
      <c r="E1564" s="11"/>
      <c r="G1564" s="12"/>
      <c r="H1564" s="12"/>
      <c r="J1564" s="11"/>
    </row>
    <row r="1565" spans="5:10">
      <c r="E1565" s="11"/>
      <c r="G1565" s="12"/>
      <c r="H1565" s="12"/>
      <c r="J1565" s="11"/>
    </row>
    <row r="1566" spans="5:10">
      <c r="E1566" s="11"/>
      <c r="G1566" s="12"/>
      <c r="H1566" s="12"/>
      <c r="J1566" s="11"/>
    </row>
    <row r="1567" spans="5:10">
      <c r="E1567" s="11"/>
      <c r="G1567" s="12"/>
      <c r="H1567" s="12"/>
      <c r="J1567" s="11"/>
    </row>
    <row r="1568" spans="5:10">
      <c r="E1568" s="11"/>
      <c r="G1568" s="12"/>
      <c r="H1568" s="12"/>
      <c r="J1568" s="11"/>
    </row>
    <row r="1569" spans="5:10">
      <c r="E1569" s="11"/>
      <c r="G1569" s="12"/>
      <c r="H1569" s="12"/>
      <c r="J1569" s="11"/>
    </row>
    <row r="1570" spans="5:10">
      <c r="E1570" s="11"/>
      <c r="G1570" s="12"/>
      <c r="H1570" s="12"/>
      <c r="J1570" s="11"/>
    </row>
    <row r="1571" spans="5:10">
      <c r="E1571" s="11"/>
      <c r="G1571" s="12"/>
      <c r="H1571" s="12"/>
      <c r="J1571" s="11"/>
    </row>
    <row r="1572" spans="5:10">
      <c r="E1572" s="11"/>
      <c r="G1572" s="12"/>
      <c r="H1572" s="12"/>
      <c r="J1572" s="11"/>
    </row>
    <row r="1573" spans="5:10">
      <c r="E1573" s="11"/>
      <c r="G1573" s="12"/>
      <c r="H1573" s="12"/>
      <c r="J1573" s="11"/>
    </row>
    <row r="1574" spans="5:10">
      <c r="E1574" s="11"/>
      <c r="G1574" s="12"/>
      <c r="H1574" s="12"/>
      <c r="J1574" s="11"/>
    </row>
    <row r="1575" spans="5:10">
      <c r="E1575" s="11"/>
      <c r="G1575" s="12"/>
      <c r="H1575" s="12"/>
      <c r="J1575" s="11"/>
    </row>
    <row r="1576" spans="5:10">
      <c r="E1576" s="11"/>
      <c r="G1576" s="12"/>
      <c r="H1576" s="12"/>
      <c r="J1576" s="11"/>
    </row>
    <row r="1577" spans="5:10">
      <c r="E1577" s="11"/>
      <c r="G1577" s="12"/>
      <c r="H1577" s="12"/>
      <c r="J1577" s="11"/>
    </row>
    <row r="1578" spans="5:10">
      <c r="E1578" s="11"/>
      <c r="G1578" s="12"/>
      <c r="H1578" s="12"/>
      <c r="J1578" s="11"/>
    </row>
    <row r="1579" spans="5:10">
      <c r="E1579" s="11"/>
      <c r="G1579" s="12"/>
      <c r="H1579" s="12"/>
      <c r="J1579" s="11"/>
    </row>
    <row r="1580" spans="5:10">
      <c r="E1580" s="11"/>
      <c r="G1580" s="12"/>
      <c r="H1580" s="12"/>
      <c r="J1580" s="11"/>
    </row>
    <row r="1581" spans="5:10">
      <c r="E1581" s="11"/>
      <c r="G1581" s="12"/>
      <c r="H1581" s="12"/>
      <c r="J1581" s="11"/>
    </row>
    <row r="1582" spans="5:10">
      <c r="E1582" s="11"/>
      <c r="G1582" s="12"/>
      <c r="H1582" s="12"/>
      <c r="J1582" s="11"/>
    </row>
    <row r="1583" spans="5:10">
      <c r="E1583" s="11"/>
      <c r="G1583" s="12"/>
      <c r="H1583" s="12"/>
      <c r="J1583" s="11"/>
    </row>
    <row r="1584" spans="5:10">
      <c r="E1584" s="11"/>
      <c r="G1584" s="12"/>
      <c r="H1584" s="12"/>
      <c r="J1584" s="11"/>
    </row>
    <row r="1585" spans="5:10">
      <c r="E1585" s="11"/>
      <c r="G1585" s="12"/>
      <c r="H1585" s="12"/>
      <c r="J1585" s="11"/>
    </row>
    <row r="1586" spans="5:10">
      <c r="E1586" s="11"/>
      <c r="G1586" s="12"/>
      <c r="H1586" s="12"/>
      <c r="J1586" s="11"/>
    </row>
    <row r="1587" spans="5:10">
      <c r="E1587" s="11"/>
      <c r="G1587" s="12"/>
      <c r="H1587" s="12"/>
      <c r="J1587" s="11"/>
    </row>
    <row r="1588" spans="5:10">
      <c r="E1588" s="11"/>
      <c r="G1588" s="12"/>
      <c r="H1588" s="12"/>
      <c r="J1588" s="11"/>
    </row>
    <row r="1589" spans="5:10">
      <c r="E1589" s="11"/>
      <c r="G1589" s="12"/>
      <c r="H1589" s="12"/>
      <c r="J1589" s="11"/>
    </row>
    <row r="1590" spans="5:10">
      <c r="E1590" s="11"/>
      <c r="G1590" s="12"/>
      <c r="H1590" s="12"/>
      <c r="J1590" s="11"/>
    </row>
    <row r="1591" spans="5:10">
      <c r="E1591" s="11"/>
      <c r="G1591" s="12"/>
      <c r="H1591" s="12"/>
      <c r="J1591" s="11"/>
    </row>
    <row r="1592" spans="5:10">
      <c r="E1592" s="11"/>
      <c r="G1592" s="12"/>
      <c r="H1592" s="12"/>
      <c r="J1592" s="11"/>
    </row>
    <row r="1593" spans="5:10">
      <c r="E1593" s="11"/>
      <c r="G1593" s="12"/>
      <c r="H1593" s="12"/>
      <c r="J1593" s="11"/>
    </row>
    <row r="1594" spans="5:10">
      <c r="E1594" s="11"/>
      <c r="G1594" s="12"/>
      <c r="H1594" s="12"/>
      <c r="J1594" s="11"/>
    </row>
    <row r="1595" spans="5:10">
      <c r="E1595" s="11"/>
      <c r="G1595" s="12"/>
      <c r="H1595" s="12"/>
      <c r="J1595" s="11"/>
    </row>
    <row r="1596" spans="5:10">
      <c r="E1596" s="11"/>
      <c r="G1596" s="12"/>
      <c r="H1596" s="12"/>
      <c r="J1596" s="11"/>
    </row>
    <row r="1597" spans="5:10">
      <c r="E1597" s="11"/>
      <c r="G1597" s="12"/>
      <c r="H1597" s="12"/>
      <c r="J1597" s="11"/>
    </row>
    <row r="1598" spans="5:10">
      <c r="E1598" s="11"/>
      <c r="G1598" s="12"/>
      <c r="H1598" s="12"/>
      <c r="J1598" s="11"/>
    </row>
    <row r="1599" spans="5:10">
      <c r="E1599" s="11"/>
      <c r="G1599" s="12"/>
      <c r="H1599" s="12"/>
      <c r="J1599" s="11"/>
    </row>
    <row r="1600" spans="5:10">
      <c r="E1600" s="11"/>
      <c r="G1600" s="12"/>
      <c r="H1600" s="12"/>
      <c r="J1600" s="11"/>
    </row>
    <row r="1601" spans="5:10">
      <c r="E1601" s="11"/>
      <c r="G1601" s="12"/>
      <c r="H1601" s="12"/>
      <c r="J1601" s="11"/>
    </row>
    <row r="1602" spans="5:10">
      <c r="E1602" s="11"/>
      <c r="G1602" s="12"/>
      <c r="H1602" s="12"/>
      <c r="J1602" s="11"/>
    </row>
    <row r="1603" spans="5:10">
      <c r="E1603" s="11"/>
      <c r="G1603" s="12"/>
      <c r="H1603" s="12"/>
      <c r="J1603" s="11"/>
    </row>
    <row r="1604" spans="5:10">
      <c r="E1604" s="11"/>
      <c r="G1604" s="12"/>
      <c r="H1604" s="12"/>
      <c r="J1604" s="11"/>
    </row>
    <row r="1605" spans="5:10">
      <c r="E1605" s="11"/>
      <c r="G1605" s="12"/>
      <c r="H1605" s="12"/>
      <c r="J1605" s="11"/>
    </row>
    <row r="1606" spans="5:10">
      <c r="E1606" s="11"/>
      <c r="G1606" s="12"/>
      <c r="H1606" s="12"/>
      <c r="J1606" s="11"/>
    </row>
    <row r="1607" spans="5:10">
      <c r="E1607" s="11"/>
      <c r="G1607" s="12"/>
      <c r="H1607" s="12"/>
      <c r="J1607" s="11"/>
    </row>
    <row r="1608" spans="5:10">
      <c r="E1608" s="11"/>
      <c r="G1608" s="12"/>
      <c r="H1608" s="12"/>
      <c r="J1608" s="11"/>
    </row>
    <row r="1609" spans="5:10">
      <c r="E1609" s="11"/>
      <c r="G1609" s="12"/>
      <c r="H1609" s="12"/>
      <c r="J1609" s="11"/>
    </row>
    <row r="1610" spans="5:10">
      <c r="E1610" s="11"/>
      <c r="G1610" s="12"/>
      <c r="H1610" s="12"/>
      <c r="J1610" s="11"/>
    </row>
    <row r="1611" spans="5:10">
      <c r="E1611" s="11"/>
      <c r="G1611" s="12"/>
      <c r="H1611" s="12"/>
      <c r="J1611" s="11"/>
    </row>
    <row r="1612" spans="5:10">
      <c r="E1612" s="11"/>
      <c r="G1612" s="12"/>
      <c r="H1612" s="12"/>
      <c r="J1612" s="11"/>
    </row>
    <row r="1613" spans="5:10">
      <c r="E1613" s="11"/>
      <c r="G1613" s="12"/>
      <c r="H1613" s="12"/>
      <c r="J1613" s="11"/>
    </row>
    <row r="1614" spans="5:10">
      <c r="E1614" s="11"/>
      <c r="G1614" s="12"/>
      <c r="H1614" s="12"/>
      <c r="J1614" s="11"/>
    </row>
    <row r="1615" spans="5:10">
      <c r="E1615" s="11"/>
      <c r="G1615" s="12"/>
      <c r="H1615" s="12"/>
      <c r="J1615" s="11"/>
    </row>
    <row r="1616" spans="5:10">
      <c r="E1616" s="11"/>
      <c r="G1616" s="12"/>
      <c r="H1616" s="12"/>
      <c r="J1616" s="11"/>
    </row>
    <row r="1617" spans="5:10">
      <c r="E1617" s="11"/>
      <c r="G1617" s="12"/>
      <c r="H1617" s="12"/>
      <c r="J1617" s="11"/>
    </row>
    <row r="1618" spans="5:10">
      <c r="E1618" s="11"/>
      <c r="G1618" s="12"/>
      <c r="H1618" s="12"/>
      <c r="J1618" s="11"/>
    </row>
    <row r="1619" spans="5:10">
      <c r="E1619" s="11"/>
      <c r="G1619" s="12"/>
      <c r="H1619" s="12"/>
      <c r="J1619" s="11"/>
    </row>
    <row r="1620" spans="5:10">
      <c r="E1620" s="11"/>
      <c r="G1620" s="12"/>
      <c r="H1620" s="12"/>
      <c r="J1620" s="11"/>
    </row>
    <row r="1621" spans="5:10">
      <c r="E1621" s="11"/>
      <c r="G1621" s="12"/>
      <c r="H1621" s="12"/>
      <c r="J1621" s="11"/>
    </row>
    <row r="1622" spans="5:10">
      <c r="E1622" s="11"/>
      <c r="G1622" s="12"/>
      <c r="H1622" s="12"/>
      <c r="J1622" s="11"/>
    </row>
    <row r="1623" spans="5:10">
      <c r="E1623" s="11"/>
      <c r="G1623" s="12"/>
      <c r="H1623" s="12"/>
      <c r="J1623" s="11"/>
    </row>
    <row r="1624" spans="5:10">
      <c r="E1624" s="11"/>
      <c r="G1624" s="12"/>
      <c r="H1624" s="12"/>
      <c r="J1624" s="11"/>
    </row>
    <row r="1625" spans="5:10">
      <c r="E1625" s="11"/>
      <c r="G1625" s="12"/>
      <c r="H1625" s="12"/>
      <c r="J1625" s="11"/>
    </row>
    <row r="1626" spans="5:10">
      <c r="E1626" s="11"/>
      <c r="G1626" s="12"/>
      <c r="H1626" s="12"/>
      <c r="J1626" s="11"/>
    </row>
    <row r="1627" spans="5:10">
      <c r="E1627" s="11"/>
      <c r="G1627" s="12"/>
      <c r="H1627" s="12"/>
      <c r="J1627" s="11"/>
    </row>
    <row r="1628" spans="5:10">
      <c r="E1628" s="11"/>
      <c r="G1628" s="12"/>
      <c r="H1628" s="12"/>
      <c r="J1628" s="11"/>
    </row>
    <row r="1629" spans="5:10">
      <c r="E1629" s="11"/>
      <c r="G1629" s="12"/>
      <c r="H1629" s="12"/>
      <c r="J1629" s="11"/>
    </row>
    <row r="1630" spans="5:10">
      <c r="E1630" s="11"/>
      <c r="G1630" s="12"/>
      <c r="H1630" s="12"/>
      <c r="J1630" s="11"/>
    </row>
    <row r="1631" spans="5:10">
      <c r="E1631" s="11"/>
      <c r="G1631" s="12"/>
      <c r="H1631" s="12"/>
      <c r="J1631" s="11"/>
    </row>
    <row r="1632" spans="5:10">
      <c r="E1632" s="11"/>
      <c r="G1632" s="12"/>
      <c r="H1632" s="12"/>
      <c r="J1632" s="11"/>
    </row>
    <row r="1633" spans="5:10">
      <c r="E1633" s="11"/>
      <c r="G1633" s="12"/>
      <c r="H1633" s="12"/>
      <c r="J1633" s="11"/>
    </row>
    <row r="1634" spans="5:10">
      <c r="E1634" s="11"/>
      <c r="G1634" s="12"/>
      <c r="H1634" s="12"/>
      <c r="J1634" s="11"/>
    </row>
    <row r="1635" spans="5:10">
      <c r="E1635" s="11"/>
      <c r="G1635" s="12"/>
      <c r="H1635" s="12"/>
      <c r="J1635" s="11"/>
    </row>
    <row r="1636" spans="5:10">
      <c r="E1636" s="11"/>
      <c r="G1636" s="12"/>
      <c r="H1636" s="12"/>
      <c r="J1636" s="11"/>
    </row>
    <row r="1637" spans="5:10">
      <c r="E1637" s="11"/>
      <c r="G1637" s="12"/>
      <c r="H1637" s="12"/>
      <c r="J1637" s="11"/>
    </row>
    <row r="1638" spans="5:10">
      <c r="E1638" s="11"/>
      <c r="G1638" s="12"/>
      <c r="H1638" s="12"/>
      <c r="J1638" s="11"/>
    </row>
    <row r="1639" spans="5:10">
      <c r="E1639" s="11"/>
      <c r="G1639" s="12"/>
      <c r="H1639" s="12"/>
      <c r="J1639" s="11"/>
    </row>
    <row r="1640" spans="5:10">
      <c r="E1640" s="11"/>
      <c r="G1640" s="12"/>
      <c r="H1640" s="12"/>
      <c r="J1640" s="11"/>
    </row>
    <row r="1641" spans="5:10">
      <c r="E1641" s="11"/>
      <c r="G1641" s="12"/>
      <c r="H1641" s="12"/>
      <c r="J1641" s="11"/>
    </row>
    <row r="1642" spans="5:10">
      <c r="E1642" s="11"/>
      <c r="G1642" s="12"/>
      <c r="H1642" s="12"/>
      <c r="J1642" s="11"/>
    </row>
    <row r="1643" spans="5:10">
      <c r="E1643" s="11"/>
      <c r="G1643" s="12"/>
      <c r="H1643" s="12"/>
      <c r="J1643" s="11"/>
    </row>
    <row r="1644" spans="5:10">
      <c r="E1644" s="11"/>
      <c r="G1644" s="12"/>
      <c r="H1644" s="12"/>
      <c r="J1644" s="11"/>
    </row>
    <row r="1645" spans="5:10">
      <c r="E1645" s="11"/>
      <c r="G1645" s="12"/>
      <c r="H1645" s="12"/>
      <c r="J1645" s="11"/>
    </row>
    <row r="1646" spans="5:10">
      <c r="E1646" s="11"/>
      <c r="G1646" s="12"/>
      <c r="H1646" s="12"/>
      <c r="J1646" s="11"/>
    </row>
    <row r="1647" spans="5:10">
      <c r="E1647" s="11"/>
      <c r="G1647" s="12"/>
      <c r="H1647" s="12"/>
      <c r="J1647" s="11"/>
    </row>
    <row r="1648" spans="5:10">
      <c r="E1648" s="11"/>
      <c r="G1648" s="12"/>
      <c r="H1648" s="12"/>
      <c r="J1648" s="11"/>
    </row>
    <row r="1649" spans="5:10">
      <c r="E1649" s="11"/>
      <c r="G1649" s="12"/>
      <c r="H1649" s="12"/>
      <c r="J1649" s="11"/>
    </row>
    <row r="1650" spans="5:10">
      <c r="E1650" s="11"/>
      <c r="G1650" s="12"/>
      <c r="H1650" s="12"/>
      <c r="J1650" s="11"/>
    </row>
    <row r="1651" spans="5:10">
      <c r="E1651" s="11"/>
      <c r="G1651" s="12"/>
      <c r="H1651" s="12"/>
      <c r="J1651" s="11"/>
    </row>
    <row r="1652" spans="5:10">
      <c r="E1652" s="11"/>
      <c r="G1652" s="12"/>
      <c r="H1652" s="12"/>
      <c r="J1652" s="11"/>
    </row>
    <row r="1653" spans="5:10">
      <c r="E1653" s="11"/>
      <c r="G1653" s="12"/>
      <c r="H1653" s="12"/>
      <c r="J1653" s="11"/>
    </row>
    <row r="1654" spans="5:10">
      <c r="E1654" s="11"/>
      <c r="G1654" s="12"/>
      <c r="H1654" s="12"/>
      <c r="J1654" s="11"/>
    </row>
    <row r="1655" spans="5:10">
      <c r="E1655" s="11"/>
      <c r="G1655" s="12"/>
      <c r="H1655" s="12"/>
      <c r="J1655" s="11"/>
    </row>
    <row r="1656" spans="5:10">
      <c r="E1656" s="11"/>
      <c r="G1656" s="12"/>
      <c r="H1656" s="12"/>
      <c r="J1656" s="11"/>
    </row>
    <row r="1657" spans="5:10">
      <c r="E1657" s="11"/>
      <c r="G1657" s="12"/>
      <c r="H1657" s="12"/>
      <c r="J1657" s="11"/>
    </row>
    <row r="1658" spans="5:10">
      <c r="E1658" s="11"/>
      <c r="G1658" s="12"/>
      <c r="H1658" s="12"/>
      <c r="J1658" s="11"/>
    </row>
    <row r="1659" spans="5:10">
      <c r="E1659" s="11"/>
      <c r="G1659" s="12"/>
      <c r="H1659" s="12"/>
      <c r="J1659" s="11"/>
    </row>
    <row r="1660" spans="5:10">
      <c r="E1660" s="11"/>
      <c r="G1660" s="12"/>
      <c r="H1660" s="12"/>
      <c r="J1660" s="11"/>
    </row>
    <row r="1661" spans="5:10">
      <c r="E1661" s="11"/>
      <c r="G1661" s="12"/>
      <c r="H1661" s="12"/>
      <c r="J1661" s="11"/>
    </row>
    <row r="1662" spans="5:10">
      <c r="E1662" s="11"/>
      <c r="G1662" s="12"/>
      <c r="H1662" s="12"/>
      <c r="J1662" s="11"/>
    </row>
    <row r="1663" spans="5:10">
      <c r="E1663" s="11"/>
      <c r="G1663" s="12"/>
      <c r="H1663" s="12"/>
      <c r="J1663" s="11"/>
    </row>
    <row r="1664" spans="5:10">
      <c r="E1664" s="11"/>
      <c r="G1664" s="12"/>
      <c r="H1664" s="12"/>
      <c r="J1664" s="11"/>
    </row>
    <row r="1665" spans="5:10">
      <c r="E1665" s="11"/>
      <c r="G1665" s="12"/>
      <c r="H1665" s="12"/>
      <c r="J1665" s="11"/>
    </row>
    <row r="1666" spans="5:10">
      <c r="E1666" s="11"/>
      <c r="G1666" s="12"/>
      <c r="H1666" s="12"/>
      <c r="J1666" s="11"/>
    </row>
    <row r="1667" spans="5:10">
      <c r="E1667" s="11"/>
      <c r="G1667" s="12"/>
      <c r="H1667" s="12"/>
      <c r="J1667" s="11"/>
    </row>
    <row r="1668" spans="5:10">
      <c r="E1668" s="11"/>
      <c r="G1668" s="12"/>
      <c r="H1668" s="12"/>
      <c r="J1668" s="11"/>
    </row>
    <row r="1669" spans="5:10">
      <c r="E1669" s="11"/>
      <c r="G1669" s="12"/>
      <c r="H1669" s="12"/>
      <c r="J1669" s="11"/>
    </row>
    <row r="1670" spans="5:10">
      <c r="E1670" s="11"/>
      <c r="G1670" s="12"/>
      <c r="H1670" s="12"/>
      <c r="J1670" s="11"/>
    </row>
    <row r="1671" spans="5:10">
      <c r="E1671" s="11"/>
      <c r="G1671" s="12"/>
      <c r="H1671" s="12"/>
      <c r="J1671" s="11"/>
    </row>
    <row r="1672" spans="5:10">
      <c r="E1672" s="11"/>
      <c r="G1672" s="12"/>
      <c r="H1672" s="12"/>
      <c r="J1672" s="11"/>
    </row>
    <row r="1673" spans="5:10">
      <c r="E1673" s="11"/>
      <c r="G1673" s="12"/>
      <c r="H1673" s="12"/>
      <c r="J1673" s="11"/>
    </row>
    <row r="1674" spans="5:10">
      <c r="E1674" s="11"/>
      <c r="G1674" s="12"/>
      <c r="H1674" s="12"/>
      <c r="J1674" s="11"/>
    </row>
    <row r="1675" spans="5:10">
      <c r="E1675" s="11"/>
      <c r="G1675" s="12"/>
      <c r="H1675" s="12"/>
      <c r="J1675" s="11"/>
    </row>
    <row r="1676" spans="5:10">
      <c r="E1676" s="11"/>
      <c r="G1676" s="12"/>
      <c r="H1676" s="12"/>
      <c r="J1676" s="11"/>
    </row>
    <row r="1677" spans="5:10">
      <c r="E1677" s="11"/>
      <c r="G1677" s="12"/>
      <c r="H1677" s="12"/>
      <c r="J1677" s="11"/>
    </row>
    <row r="1678" spans="5:10">
      <c r="E1678" s="11"/>
      <c r="G1678" s="12"/>
      <c r="H1678" s="12"/>
      <c r="J1678" s="11"/>
    </row>
    <row r="1679" spans="5:10">
      <c r="E1679" s="11"/>
      <c r="G1679" s="12"/>
      <c r="H1679" s="12"/>
      <c r="J1679" s="11"/>
    </row>
    <row r="1680" spans="5:10">
      <c r="E1680" s="11"/>
      <c r="G1680" s="12"/>
      <c r="H1680" s="12"/>
      <c r="J1680" s="11"/>
    </row>
    <row r="1681" spans="5:10">
      <c r="E1681" s="11"/>
      <c r="G1681" s="12"/>
      <c r="H1681" s="12"/>
      <c r="J1681" s="11"/>
    </row>
    <row r="1682" spans="5:10">
      <c r="E1682" s="11"/>
      <c r="G1682" s="12"/>
      <c r="H1682" s="12"/>
      <c r="J1682" s="11"/>
    </row>
    <row r="1683" spans="5:10">
      <c r="E1683" s="11"/>
      <c r="G1683" s="12"/>
      <c r="H1683" s="12"/>
      <c r="J1683" s="11"/>
    </row>
    <row r="1684" spans="5:10">
      <c r="E1684" s="11"/>
      <c r="G1684" s="12"/>
      <c r="H1684" s="12"/>
      <c r="J1684" s="11"/>
    </row>
    <row r="1685" spans="5:10">
      <c r="E1685" s="11"/>
      <c r="G1685" s="12"/>
      <c r="H1685" s="12"/>
      <c r="J1685" s="11"/>
    </row>
    <row r="1686" spans="5:10">
      <c r="E1686" s="11"/>
      <c r="G1686" s="12"/>
      <c r="H1686" s="12"/>
      <c r="J1686" s="11"/>
    </row>
    <row r="1687" spans="5:10">
      <c r="E1687" s="11"/>
      <c r="G1687" s="12"/>
      <c r="H1687" s="12"/>
      <c r="J1687" s="11"/>
    </row>
    <row r="1688" spans="5:10">
      <c r="E1688" s="11"/>
      <c r="G1688" s="12"/>
      <c r="H1688" s="12"/>
      <c r="J1688" s="11"/>
    </row>
    <row r="1689" spans="5:10">
      <c r="E1689" s="11"/>
      <c r="G1689" s="12"/>
      <c r="H1689" s="12"/>
      <c r="J1689" s="11"/>
    </row>
    <row r="1690" spans="5:10">
      <c r="E1690" s="11"/>
      <c r="G1690" s="12"/>
      <c r="H1690" s="12"/>
      <c r="J1690" s="11"/>
    </row>
    <row r="1691" spans="5:10">
      <c r="E1691" s="11"/>
      <c r="G1691" s="12"/>
      <c r="H1691" s="12"/>
      <c r="J1691" s="11"/>
    </row>
    <row r="1692" spans="5:10">
      <c r="E1692" s="11"/>
      <c r="G1692" s="12"/>
      <c r="H1692" s="12"/>
      <c r="J1692" s="11"/>
    </row>
    <row r="1693" spans="5:10">
      <c r="E1693" s="11"/>
      <c r="G1693" s="12"/>
      <c r="H1693" s="12"/>
      <c r="J1693" s="11"/>
    </row>
    <row r="1694" spans="5:10">
      <c r="E1694" s="11"/>
      <c r="G1694" s="12"/>
      <c r="H1694" s="12"/>
      <c r="J1694" s="11"/>
    </row>
    <row r="1695" spans="5:10">
      <c r="E1695" s="11"/>
      <c r="G1695" s="12"/>
      <c r="H1695" s="12"/>
      <c r="J1695" s="11"/>
    </row>
    <row r="1696" spans="5:10">
      <c r="E1696" s="11"/>
      <c r="G1696" s="12"/>
      <c r="H1696" s="12"/>
      <c r="J1696" s="11"/>
    </row>
    <row r="1697" spans="5:10">
      <c r="E1697" s="11"/>
      <c r="G1697" s="12"/>
      <c r="H1697" s="12"/>
      <c r="J1697" s="11"/>
    </row>
    <row r="1698" spans="5:10">
      <c r="E1698" s="11"/>
      <c r="G1698" s="12"/>
      <c r="H1698" s="12"/>
      <c r="J1698" s="11"/>
    </row>
    <row r="1699" spans="5:10">
      <c r="E1699" s="11"/>
      <c r="G1699" s="12"/>
      <c r="H1699" s="12"/>
      <c r="J1699" s="11"/>
    </row>
    <row r="1700" spans="5:10">
      <c r="E1700" s="11"/>
      <c r="G1700" s="12"/>
      <c r="H1700" s="12"/>
      <c r="J1700" s="11"/>
    </row>
    <row r="1701" spans="5:10">
      <c r="E1701" s="11"/>
      <c r="G1701" s="12"/>
      <c r="H1701" s="12"/>
      <c r="J1701" s="11"/>
    </row>
    <row r="1702" spans="5:10">
      <c r="E1702" s="11"/>
      <c r="G1702" s="12"/>
      <c r="H1702" s="12"/>
      <c r="J1702" s="11"/>
    </row>
    <row r="1703" spans="5:10">
      <c r="E1703" s="11"/>
      <c r="G1703" s="12"/>
      <c r="H1703" s="12"/>
      <c r="J1703" s="11"/>
    </row>
    <row r="1704" spans="5:10">
      <c r="E1704" s="11"/>
      <c r="G1704" s="12"/>
      <c r="H1704" s="12"/>
      <c r="J1704" s="11"/>
    </row>
    <row r="1705" spans="5:10">
      <c r="E1705" s="11"/>
      <c r="G1705" s="12"/>
      <c r="H1705" s="12"/>
      <c r="J1705" s="11"/>
    </row>
    <row r="1706" spans="5:10">
      <c r="E1706" s="11"/>
      <c r="G1706" s="12"/>
      <c r="H1706" s="12"/>
      <c r="J1706" s="11"/>
    </row>
    <row r="1707" spans="5:10">
      <c r="E1707" s="11"/>
      <c r="G1707" s="12"/>
      <c r="H1707" s="12"/>
      <c r="J1707" s="11"/>
    </row>
    <row r="1708" spans="5:10">
      <c r="E1708" s="11"/>
      <c r="G1708" s="12"/>
      <c r="H1708" s="12"/>
      <c r="J1708" s="11"/>
    </row>
    <row r="1709" spans="5:10">
      <c r="E1709" s="11"/>
      <c r="G1709" s="12"/>
      <c r="H1709" s="12"/>
      <c r="J1709" s="11"/>
    </row>
    <row r="1710" spans="5:10">
      <c r="E1710" s="11"/>
      <c r="G1710" s="12"/>
      <c r="H1710" s="12"/>
      <c r="J1710" s="11"/>
    </row>
    <row r="1711" spans="5:10">
      <c r="E1711" s="11"/>
      <c r="G1711" s="12"/>
      <c r="H1711" s="12"/>
      <c r="J1711" s="11"/>
    </row>
    <row r="1712" spans="5:10">
      <c r="E1712" s="11"/>
      <c r="G1712" s="12"/>
      <c r="H1712" s="12"/>
      <c r="J1712" s="11"/>
    </row>
    <row r="1713" spans="5:10">
      <c r="E1713" s="11"/>
      <c r="G1713" s="12"/>
      <c r="H1713" s="12"/>
      <c r="J1713" s="11"/>
    </row>
    <row r="1714" spans="5:10">
      <c r="E1714" s="11"/>
      <c r="G1714" s="12"/>
      <c r="H1714" s="12"/>
      <c r="J1714" s="11"/>
    </row>
    <row r="1715" spans="5:10">
      <c r="E1715" s="11"/>
      <c r="G1715" s="12"/>
      <c r="H1715" s="12"/>
      <c r="J1715" s="11"/>
    </row>
    <row r="1716" spans="5:10">
      <c r="E1716" s="11"/>
      <c r="G1716" s="12"/>
      <c r="H1716" s="12"/>
      <c r="J1716" s="11"/>
    </row>
    <row r="1717" spans="5:10">
      <c r="E1717" s="11"/>
      <c r="G1717" s="12"/>
      <c r="H1717" s="12"/>
      <c r="J1717" s="11"/>
    </row>
    <row r="1718" spans="5:10">
      <c r="E1718" s="11"/>
      <c r="G1718" s="12"/>
      <c r="H1718" s="12"/>
      <c r="J1718" s="11"/>
    </row>
    <row r="1719" spans="5:10">
      <c r="E1719" s="11"/>
      <c r="G1719" s="12"/>
      <c r="H1719" s="12"/>
      <c r="J1719" s="11"/>
    </row>
    <row r="1720" spans="5:10">
      <c r="E1720" s="11"/>
      <c r="G1720" s="12"/>
      <c r="H1720" s="12"/>
      <c r="J1720" s="11"/>
    </row>
    <row r="1721" spans="5:10">
      <c r="E1721" s="11"/>
      <c r="G1721" s="12"/>
      <c r="H1721" s="12"/>
      <c r="J1721" s="11"/>
    </row>
    <row r="1722" spans="5:10">
      <c r="E1722" s="11"/>
      <c r="G1722" s="12"/>
      <c r="H1722" s="12"/>
      <c r="J1722" s="11"/>
    </row>
    <row r="1723" spans="5:10">
      <c r="E1723" s="11"/>
      <c r="G1723" s="12"/>
      <c r="H1723" s="12"/>
      <c r="J1723" s="11"/>
    </row>
    <row r="1724" spans="5:10">
      <c r="E1724" s="11"/>
      <c r="G1724" s="12"/>
      <c r="H1724" s="12"/>
      <c r="J1724" s="11"/>
    </row>
    <row r="1725" spans="5:10">
      <c r="E1725" s="11"/>
      <c r="G1725" s="12"/>
      <c r="H1725" s="12"/>
      <c r="J1725" s="11"/>
    </row>
    <row r="1726" spans="5:10">
      <c r="E1726" s="11"/>
      <c r="G1726" s="12"/>
      <c r="H1726" s="12"/>
      <c r="J1726" s="11"/>
    </row>
    <row r="1727" spans="5:10">
      <c r="E1727" s="11"/>
      <c r="G1727" s="12"/>
      <c r="H1727" s="12"/>
      <c r="J1727" s="11"/>
    </row>
    <row r="1728" spans="5:10">
      <c r="E1728" s="11"/>
      <c r="G1728" s="12"/>
      <c r="H1728" s="12"/>
      <c r="J1728" s="11"/>
    </row>
    <row r="1729" spans="5:10">
      <c r="E1729" s="11"/>
      <c r="G1729" s="12"/>
      <c r="H1729" s="12"/>
      <c r="J1729" s="11"/>
    </row>
    <row r="1730" spans="5:10">
      <c r="E1730" s="11"/>
      <c r="G1730" s="12"/>
      <c r="H1730" s="12"/>
      <c r="J1730" s="11"/>
    </row>
    <row r="1731" spans="5:10">
      <c r="E1731" s="11"/>
      <c r="G1731" s="12"/>
      <c r="H1731" s="12"/>
      <c r="J1731" s="11"/>
    </row>
    <row r="1732" spans="5:10">
      <c r="E1732" s="11"/>
      <c r="G1732" s="12"/>
      <c r="H1732" s="12"/>
      <c r="J1732" s="11"/>
    </row>
    <row r="1733" spans="5:10">
      <c r="E1733" s="11"/>
      <c r="G1733" s="12"/>
      <c r="H1733" s="12"/>
      <c r="J1733" s="11"/>
    </row>
    <row r="1734" spans="5:10">
      <c r="E1734" s="11"/>
      <c r="G1734" s="12"/>
      <c r="H1734" s="12"/>
      <c r="J1734" s="11"/>
    </row>
    <row r="1735" spans="5:10">
      <c r="E1735" s="11"/>
      <c r="G1735" s="12"/>
      <c r="H1735" s="12"/>
      <c r="J1735" s="11"/>
    </row>
    <row r="1736" spans="5:10">
      <c r="E1736" s="11"/>
      <c r="G1736" s="12"/>
      <c r="H1736" s="12"/>
      <c r="J1736" s="11"/>
    </row>
    <row r="1737" spans="5:10">
      <c r="E1737" s="11"/>
      <c r="G1737" s="12"/>
      <c r="H1737" s="12"/>
      <c r="J1737" s="11"/>
    </row>
    <row r="1738" spans="5:10">
      <c r="E1738" s="11"/>
      <c r="G1738" s="12"/>
      <c r="H1738" s="12"/>
      <c r="J1738" s="11"/>
    </row>
    <row r="1739" spans="5:10">
      <c r="E1739" s="11"/>
      <c r="G1739" s="12"/>
      <c r="H1739" s="12"/>
      <c r="J1739" s="11"/>
    </row>
    <row r="1740" spans="5:10">
      <c r="E1740" s="11"/>
      <c r="G1740" s="12"/>
      <c r="H1740" s="12"/>
      <c r="J1740" s="11"/>
    </row>
    <row r="1741" spans="5:10">
      <c r="E1741" s="11"/>
      <c r="G1741" s="12"/>
      <c r="H1741" s="12"/>
      <c r="J1741" s="11"/>
    </row>
    <row r="1742" spans="5:10">
      <c r="E1742" s="11"/>
      <c r="G1742" s="12"/>
      <c r="H1742" s="12"/>
      <c r="J1742" s="11"/>
    </row>
    <row r="1743" spans="5:10">
      <c r="E1743" s="11"/>
      <c r="G1743" s="12"/>
      <c r="H1743" s="12"/>
      <c r="J1743" s="11"/>
    </row>
    <row r="1744" spans="5:10">
      <c r="E1744" s="11"/>
      <c r="G1744" s="12"/>
      <c r="H1744" s="12"/>
      <c r="J1744" s="11"/>
    </row>
    <row r="1745" spans="5:10">
      <c r="E1745" s="11"/>
      <c r="G1745" s="12"/>
      <c r="H1745" s="12"/>
      <c r="J1745" s="11"/>
    </row>
    <row r="1746" spans="5:10">
      <c r="E1746" s="11"/>
      <c r="G1746" s="12"/>
      <c r="H1746" s="12"/>
      <c r="J1746" s="11"/>
    </row>
    <row r="1747" spans="5:10">
      <c r="E1747" s="11"/>
      <c r="G1747" s="12"/>
      <c r="H1747" s="12"/>
      <c r="J1747" s="11"/>
    </row>
    <row r="1748" spans="5:10">
      <c r="E1748" s="11"/>
      <c r="G1748" s="12"/>
      <c r="H1748" s="12"/>
      <c r="J1748" s="11"/>
    </row>
    <row r="1749" spans="5:10">
      <c r="E1749" s="11"/>
      <c r="G1749" s="12"/>
      <c r="H1749" s="12"/>
      <c r="J1749" s="11"/>
    </row>
    <row r="1750" spans="5:10">
      <c r="E1750" s="11"/>
      <c r="G1750" s="12"/>
      <c r="H1750" s="12"/>
      <c r="J1750" s="11"/>
    </row>
    <row r="1751" spans="5:10">
      <c r="E1751" s="11"/>
      <c r="G1751" s="12"/>
      <c r="H1751" s="12"/>
      <c r="J1751" s="11"/>
    </row>
    <row r="1752" spans="5:10">
      <c r="E1752" s="11"/>
      <c r="G1752" s="12"/>
      <c r="H1752" s="12"/>
      <c r="J1752" s="11"/>
    </row>
    <row r="1753" spans="5:10">
      <c r="E1753" s="11"/>
      <c r="G1753" s="12"/>
      <c r="H1753" s="12"/>
      <c r="J1753" s="11"/>
    </row>
    <row r="1754" spans="5:10">
      <c r="E1754" s="11"/>
      <c r="G1754" s="12"/>
      <c r="H1754" s="12"/>
      <c r="J1754" s="11"/>
    </row>
    <row r="1755" spans="5:10">
      <c r="E1755" s="11"/>
      <c r="G1755" s="12"/>
      <c r="H1755" s="12"/>
      <c r="J1755" s="11"/>
    </row>
    <row r="1756" spans="5:10">
      <c r="E1756" s="11"/>
      <c r="G1756" s="12"/>
      <c r="H1756" s="12"/>
      <c r="J1756" s="11"/>
    </row>
    <row r="1757" spans="5:10">
      <c r="E1757" s="11"/>
      <c r="G1757" s="12"/>
      <c r="H1757" s="12"/>
      <c r="J1757" s="11"/>
    </row>
    <row r="1758" spans="5:10">
      <c r="E1758" s="11"/>
      <c r="G1758" s="12"/>
      <c r="H1758" s="12"/>
      <c r="J1758" s="11"/>
    </row>
    <row r="1759" spans="5:10">
      <c r="E1759" s="11"/>
      <c r="G1759" s="12"/>
      <c r="H1759" s="12"/>
      <c r="J1759" s="11"/>
    </row>
    <row r="1760" spans="5:10">
      <c r="E1760" s="11"/>
      <c r="G1760" s="12"/>
      <c r="H1760" s="12"/>
      <c r="J1760" s="11"/>
    </row>
    <row r="1761" spans="5:10">
      <c r="E1761" s="11"/>
      <c r="G1761" s="12"/>
      <c r="H1761" s="12"/>
      <c r="J1761" s="11"/>
    </row>
    <row r="1762" spans="5:10">
      <c r="E1762" s="11"/>
      <c r="G1762" s="12"/>
      <c r="H1762" s="12"/>
      <c r="J1762" s="11"/>
    </row>
    <row r="1763" spans="5:10">
      <c r="E1763" s="11"/>
      <c r="G1763" s="12"/>
      <c r="H1763" s="12"/>
      <c r="J1763" s="11"/>
    </row>
    <row r="1764" spans="5:10">
      <c r="E1764" s="11"/>
      <c r="G1764" s="12"/>
      <c r="H1764" s="12"/>
      <c r="J1764" s="11"/>
    </row>
    <row r="1765" spans="5:10">
      <c r="E1765" s="11"/>
      <c r="G1765" s="12"/>
      <c r="H1765" s="12"/>
      <c r="J1765" s="11"/>
    </row>
    <row r="1766" spans="5:10">
      <c r="E1766" s="11"/>
      <c r="G1766" s="12"/>
      <c r="H1766" s="12"/>
      <c r="J1766" s="11"/>
    </row>
    <row r="1767" spans="5:10">
      <c r="E1767" s="11"/>
      <c r="G1767" s="12"/>
      <c r="H1767" s="12"/>
      <c r="J1767" s="11"/>
    </row>
    <row r="1768" spans="5:10">
      <c r="E1768" s="11"/>
      <c r="G1768" s="12"/>
      <c r="H1768" s="12"/>
      <c r="J1768" s="11"/>
    </row>
    <row r="1769" spans="5:10">
      <c r="E1769" s="11"/>
      <c r="G1769" s="12"/>
      <c r="H1769" s="12"/>
      <c r="J1769" s="11"/>
    </row>
    <row r="1770" spans="5:10">
      <c r="E1770" s="11"/>
      <c r="G1770" s="12"/>
      <c r="H1770" s="12"/>
      <c r="J1770" s="11"/>
    </row>
    <row r="1771" spans="5:10">
      <c r="E1771" s="11"/>
      <c r="G1771" s="12"/>
      <c r="H1771" s="12"/>
      <c r="J1771" s="11"/>
    </row>
    <row r="1772" spans="5:10">
      <c r="E1772" s="11"/>
      <c r="G1772" s="12"/>
      <c r="H1772" s="12"/>
      <c r="J1772" s="11"/>
    </row>
    <row r="1773" spans="5:10">
      <c r="E1773" s="11"/>
      <c r="G1773" s="12"/>
      <c r="H1773" s="12"/>
      <c r="J1773" s="11"/>
    </row>
    <row r="1774" spans="5:10">
      <c r="E1774" s="11"/>
      <c r="G1774" s="12"/>
      <c r="H1774" s="12"/>
      <c r="J1774" s="11"/>
    </row>
    <row r="1775" spans="5:10">
      <c r="E1775" s="11"/>
      <c r="G1775" s="12"/>
      <c r="H1775" s="12"/>
      <c r="J1775" s="11"/>
    </row>
    <row r="1776" spans="5:10">
      <c r="E1776" s="11"/>
      <c r="G1776" s="12"/>
      <c r="H1776" s="12"/>
      <c r="J1776" s="11"/>
    </row>
    <row r="1777" spans="5:10">
      <c r="E1777" s="11"/>
      <c r="G1777" s="12"/>
      <c r="H1777" s="12"/>
      <c r="J1777" s="11"/>
    </row>
    <row r="1778" spans="5:10">
      <c r="E1778" s="11"/>
      <c r="G1778" s="12"/>
      <c r="H1778" s="12"/>
      <c r="J1778" s="11"/>
    </row>
    <row r="1779" spans="5:10">
      <c r="E1779" s="11"/>
      <c r="G1779" s="12"/>
      <c r="H1779" s="12"/>
      <c r="J1779" s="11"/>
    </row>
    <row r="1780" spans="5:10">
      <c r="E1780" s="11"/>
      <c r="G1780" s="12"/>
      <c r="H1780" s="12"/>
      <c r="J1780" s="11"/>
    </row>
    <row r="1781" spans="5:10">
      <c r="E1781" s="11"/>
      <c r="G1781" s="12"/>
      <c r="H1781" s="12"/>
      <c r="J1781" s="11"/>
    </row>
    <row r="1782" spans="5:10">
      <c r="E1782" s="11"/>
      <c r="G1782" s="12"/>
      <c r="H1782" s="12"/>
      <c r="J1782" s="11"/>
    </row>
    <row r="1783" spans="5:10">
      <c r="E1783" s="11"/>
      <c r="G1783" s="12"/>
      <c r="H1783" s="12"/>
      <c r="J1783" s="11"/>
    </row>
    <row r="1784" spans="5:10">
      <c r="E1784" s="11"/>
      <c r="G1784" s="12"/>
      <c r="H1784" s="12"/>
      <c r="J1784" s="11"/>
    </row>
    <row r="1785" spans="5:10">
      <c r="E1785" s="11"/>
      <c r="G1785" s="12"/>
      <c r="H1785" s="12"/>
      <c r="J1785" s="11"/>
    </row>
    <row r="1786" spans="5:10">
      <c r="E1786" s="11"/>
      <c r="G1786" s="12"/>
      <c r="H1786" s="12"/>
      <c r="J1786" s="11"/>
    </row>
    <row r="1787" spans="5:10">
      <c r="E1787" s="11"/>
      <c r="G1787" s="12"/>
      <c r="H1787" s="12"/>
      <c r="J1787" s="11"/>
    </row>
    <row r="1788" spans="5:10">
      <c r="E1788" s="11"/>
      <c r="G1788" s="12"/>
      <c r="H1788" s="12"/>
      <c r="J1788" s="11"/>
    </row>
    <row r="1789" spans="5:10">
      <c r="E1789" s="11"/>
      <c r="G1789" s="12"/>
      <c r="H1789" s="12"/>
      <c r="J1789" s="11"/>
    </row>
    <row r="1790" spans="5:10">
      <c r="E1790" s="11"/>
      <c r="G1790" s="12"/>
      <c r="H1790" s="12"/>
      <c r="J1790" s="11"/>
    </row>
    <row r="1791" spans="5:10">
      <c r="E1791" s="11"/>
      <c r="G1791" s="12"/>
      <c r="H1791" s="12"/>
      <c r="J1791" s="11"/>
    </row>
    <row r="1792" spans="5:10">
      <c r="E1792" s="11"/>
      <c r="G1792" s="12"/>
      <c r="H1792" s="12"/>
      <c r="J1792" s="11"/>
    </row>
    <row r="1793" spans="5:10">
      <c r="E1793" s="11"/>
      <c r="G1793" s="12"/>
      <c r="H1793" s="12"/>
      <c r="J1793" s="11"/>
    </row>
    <row r="1794" spans="5:10">
      <c r="E1794" s="11"/>
      <c r="G1794" s="12"/>
      <c r="H1794" s="12"/>
      <c r="J1794" s="11"/>
    </row>
    <row r="1795" spans="5:10">
      <c r="E1795" s="11"/>
      <c r="G1795" s="12"/>
      <c r="H1795" s="12"/>
      <c r="J1795" s="11"/>
    </row>
    <row r="1796" spans="5:10">
      <c r="E1796" s="11"/>
      <c r="G1796" s="12"/>
      <c r="H1796" s="12"/>
      <c r="J1796" s="11"/>
    </row>
    <row r="1797" spans="5:10">
      <c r="E1797" s="11"/>
      <c r="G1797" s="12"/>
      <c r="H1797" s="12"/>
      <c r="J1797" s="11"/>
    </row>
    <row r="1798" spans="5:10">
      <c r="E1798" s="11"/>
      <c r="G1798" s="12"/>
      <c r="H1798" s="12"/>
      <c r="J1798" s="11"/>
    </row>
    <row r="1799" spans="5:10">
      <c r="E1799" s="11"/>
      <c r="G1799" s="12"/>
      <c r="H1799" s="12"/>
      <c r="J1799" s="11"/>
    </row>
    <row r="1800" spans="5:10">
      <c r="E1800" s="11"/>
      <c r="G1800" s="12"/>
      <c r="H1800" s="12"/>
      <c r="J1800" s="11"/>
    </row>
    <row r="1801" spans="5:10">
      <c r="E1801" s="11"/>
      <c r="G1801" s="12"/>
      <c r="H1801" s="12"/>
      <c r="J1801" s="11"/>
    </row>
    <row r="1802" spans="5:10">
      <c r="E1802" s="11"/>
      <c r="G1802" s="12"/>
      <c r="H1802" s="12"/>
      <c r="J1802" s="11"/>
    </row>
    <row r="1803" spans="5:10">
      <c r="E1803" s="11"/>
      <c r="G1803" s="12"/>
      <c r="H1803" s="12"/>
      <c r="J1803" s="11"/>
    </row>
    <row r="1804" spans="5:10">
      <c r="E1804" s="11"/>
      <c r="G1804" s="12"/>
      <c r="H1804" s="12"/>
      <c r="J1804" s="11"/>
    </row>
    <row r="1805" spans="5:10">
      <c r="E1805" s="11"/>
      <c r="G1805" s="12"/>
      <c r="H1805" s="12"/>
      <c r="J1805" s="11"/>
    </row>
    <row r="1806" spans="5:10">
      <c r="E1806" s="11"/>
      <c r="G1806" s="12"/>
      <c r="H1806" s="12"/>
      <c r="J1806" s="11"/>
    </row>
    <row r="1807" spans="5:10">
      <c r="E1807" s="11"/>
      <c r="G1807" s="12"/>
      <c r="H1807" s="12"/>
      <c r="J1807" s="11"/>
    </row>
    <row r="1808" spans="5:10">
      <c r="E1808" s="11"/>
      <c r="G1808" s="12"/>
      <c r="H1808" s="12"/>
      <c r="J1808" s="11"/>
    </row>
    <row r="1809" spans="5:10">
      <c r="E1809" s="11"/>
      <c r="G1809" s="12"/>
      <c r="H1809" s="12"/>
      <c r="J1809" s="11"/>
    </row>
    <row r="1810" spans="5:10">
      <c r="E1810" s="11"/>
      <c r="G1810" s="12"/>
      <c r="H1810" s="12"/>
      <c r="J1810" s="11"/>
    </row>
    <row r="1811" spans="5:10">
      <c r="E1811" s="11"/>
      <c r="G1811" s="12"/>
      <c r="H1811" s="12"/>
      <c r="J1811" s="11"/>
    </row>
    <row r="1812" spans="5:10">
      <c r="E1812" s="11"/>
      <c r="G1812" s="12"/>
      <c r="H1812" s="12"/>
      <c r="J1812" s="11"/>
    </row>
    <row r="1813" spans="5:10">
      <c r="E1813" s="11"/>
      <c r="G1813" s="12"/>
      <c r="H1813" s="12"/>
      <c r="J1813" s="11"/>
    </row>
    <row r="1814" spans="5:10">
      <c r="E1814" s="11"/>
      <c r="G1814" s="12"/>
      <c r="H1814" s="12"/>
      <c r="J1814" s="11"/>
    </row>
    <row r="1815" spans="5:10">
      <c r="E1815" s="11"/>
      <c r="G1815" s="12"/>
      <c r="H1815" s="12"/>
      <c r="J1815" s="11"/>
    </row>
    <row r="1816" spans="5:10">
      <c r="E1816" s="11"/>
      <c r="G1816" s="12"/>
      <c r="H1816" s="12"/>
      <c r="J1816" s="11"/>
    </row>
    <row r="1817" spans="5:10">
      <c r="E1817" s="11"/>
      <c r="G1817" s="12"/>
      <c r="H1817" s="12"/>
      <c r="J1817" s="11"/>
    </row>
    <row r="1818" spans="5:10">
      <c r="E1818" s="11"/>
      <c r="G1818" s="12"/>
      <c r="H1818" s="12"/>
      <c r="J1818" s="11"/>
    </row>
    <row r="1819" spans="5:10">
      <c r="E1819" s="11"/>
      <c r="G1819" s="12"/>
      <c r="H1819" s="12"/>
      <c r="J1819" s="11"/>
    </row>
    <row r="1820" spans="5:10">
      <c r="E1820" s="11"/>
      <c r="G1820" s="12"/>
      <c r="H1820" s="12"/>
      <c r="J1820" s="11"/>
    </row>
    <row r="1821" spans="5:10">
      <c r="E1821" s="11"/>
      <c r="G1821" s="12"/>
      <c r="H1821" s="12"/>
      <c r="J1821" s="11"/>
    </row>
    <row r="1822" spans="5:10">
      <c r="E1822" s="11"/>
      <c r="G1822" s="12"/>
      <c r="H1822" s="12"/>
      <c r="J1822" s="11"/>
    </row>
    <row r="1823" spans="5:10">
      <c r="E1823" s="11"/>
      <c r="G1823" s="12"/>
      <c r="H1823" s="12"/>
      <c r="J1823" s="11"/>
    </row>
    <row r="1824" spans="5:10">
      <c r="E1824" s="11"/>
      <c r="G1824" s="12"/>
      <c r="H1824" s="12"/>
      <c r="J1824" s="11"/>
    </row>
    <row r="1825" spans="5:10">
      <c r="E1825" s="11"/>
      <c r="G1825" s="12"/>
      <c r="H1825" s="12"/>
      <c r="J1825" s="11"/>
    </row>
    <row r="1826" spans="5:10">
      <c r="E1826" s="11"/>
      <c r="G1826" s="12"/>
      <c r="H1826" s="12"/>
      <c r="J1826" s="11"/>
    </row>
    <row r="1827" spans="5:10">
      <c r="E1827" s="11"/>
      <c r="G1827" s="12"/>
      <c r="H1827" s="12"/>
      <c r="J1827" s="11"/>
    </row>
    <row r="1828" spans="5:10">
      <c r="E1828" s="11"/>
      <c r="G1828" s="12"/>
      <c r="H1828" s="12"/>
      <c r="J1828" s="11"/>
    </row>
    <row r="1829" spans="5:10">
      <c r="E1829" s="11"/>
      <c r="G1829" s="12"/>
      <c r="H1829" s="12"/>
      <c r="J1829" s="11"/>
    </row>
    <row r="1830" spans="5:10">
      <c r="E1830" s="11"/>
      <c r="G1830" s="12"/>
      <c r="H1830" s="12"/>
      <c r="J1830" s="11"/>
    </row>
    <row r="1831" spans="5:10">
      <c r="E1831" s="11"/>
      <c r="G1831" s="12"/>
      <c r="H1831" s="12"/>
      <c r="J1831" s="11"/>
    </row>
    <row r="1832" spans="5:10">
      <c r="E1832" s="11"/>
      <c r="G1832" s="12"/>
      <c r="H1832" s="12"/>
      <c r="J1832" s="11"/>
    </row>
    <row r="1833" spans="5:10">
      <c r="E1833" s="11"/>
      <c r="G1833" s="12"/>
      <c r="H1833" s="12"/>
      <c r="J1833" s="11"/>
    </row>
    <row r="1834" spans="5:10">
      <c r="E1834" s="11"/>
      <c r="G1834" s="12"/>
      <c r="H1834" s="12"/>
      <c r="J1834" s="11"/>
    </row>
    <row r="1835" spans="5:10">
      <c r="E1835" s="11"/>
      <c r="G1835" s="12"/>
      <c r="H1835" s="12"/>
      <c r="J1835" s="11"/>
    </row>
    <row r="1836" spans="5:10">
      <c r="E1836" s="11"/>
      <c r="G1836" s="12"/>
      <c r="H1836" s="12"/>
      <c r="J1836" s="11"/>
    </row>
    <row r="1837" spans="5:10">
      <c r="E1837" s="11"/>
      <c r="G1837" s="12"/>
      <c r="H1837" s="12"/>
      <c r="J1837" s="11"/>
    </row>
    <row r="1838" spans="5:10">
      <c r="E1838" s="11"/>
      <c r="G1838" s="12"/>
      <c r="H1838" s="12"/>
      <c r="J1838" s="11"/>
    </row>
    <row r="1839" spans="5:10">
      <c r="E1839" s="11"/>
      <c r="G1839" s="12"/>
      <c r="H1839" s="12"/>
      <c r="J1839" s="11"/>
    </row>
    <row r="1840" spans="5:10">
      <c r="E1840" s="11"/>
      <c r="G1840" s="12"/>
      <c r="H1840" s="12"/>
      <c r="J1840" s="11"/>
    </row>
    <row r="1841" spans="5:10">
      <c r="E1841" s="11"/>
      <c r="G1841" s="12"/>
      <c r="H1841" s="12"/>
      <c r="J1841" s="11"/>
    </row>
    <row r="1842" spans="5:10">
      <c r="E1842" s="11"/>
      <c r="G1842" s="12"/>
      <c r="H1842" s="12"/>
      <c r="J1842" s="11"/>
    </row>
    <row r="1843" spans="5:10">
      <c r="E1843" s="11"/>
      <c r="G1843" s="12"/>
      <c r="H1843" s="12"/>
      <c r="J1843" s="11"/>
    </row>
    <row r="1844" spans="5:10">
      <c r="E1844" s="11"/>
      <c r="G1844" s="12"/>
      <c r="H1844" s="12"/>
      <c r="J1844" s="11"/>
    </row>
    <row r="1845" spans="5:10">
      <c r="E1845" s="11"/>
      <c r="G1845" s="12"/>
      <c r="H1845" s="12"/>
      <c r="J1845" s="11"/>
    </row>
    <row r="1846" spans="5:10">
      <c r="E1846" s="11"/>
      <c r="G1846" s="12"/>
      <c r="H1846" s="12"/>
      <c r="J1846" s="11"/>
    </row>
    <row r="1847" spans="5:10">
      <c r="E1847" s="11"/>
      <c r="G1847" s="12"/>
      <c r="H1847" s="12"/>
      <c r="J1847" s="11"/>
    </row>
    <row r="1848" spans="5:10">
      <c r="E1848" s="11"/>
      <c r="G1848" s="12"/>
      <c r="H1848" s="12"/>
      <c r="J1848" s="11"/>
    </row>
    <row r="1849" spans="5:10">
      <c r="E1849" s="11"/>
      <c r="G1849" s="12"/>
      <c r="H1849" s="12"/>
      <c r="J1849" s="11"/>
    </row>
    <row r="1850" spans="5:10">
      <c r="E1850" s="11"/>
      <c r="G1850" s="12"/>
      <c r="H1850" s="12"/>
      <c r="J1850" s="11"/>
    </row>
    <row r="1851" spans="5:10">
      <c r="E1851" s="11"/>
      <c r="G1851" s="12"/>
      <c r="H1851" s="12"/>
      <c r="J1851" s="11"/>
    </row>
    <row r="1852" spans="5:10">
      <c r="E1852" s="11"/>
      <c r="G1852" s="12"/>
      <c r="H1852" s="12"/>
      <c r="J1852" s="11"/>
    </row>
    <row r="1853" spans="5:10">
      <c r="E1853" s="11"/>
      <c r="G1853" s="12"/>
      <c r="H1853" s="12"/>
      <c r="J1853" s="11"/>
    </row>
    <row r="1854" spans="5:10">
      <c r="E1854" s="11"/>
      <c r="G1854" s="12"/>
      <c r="H1854" s="12"/>
      <c r="J1854" s="11"/>
    </row>
    <row r="1855" spans="5:10">
      <c r="E1855" s="11"/>
      <c r="G1855" s="12"/>
      <c r="H1855" s="12"/>
      <c r="J1855" s="11"/>
    </row>
    <row r="1856" spans="5:10">
      <c r="E1856" s="11"/>
      <c r="G1856" s="12"/>
      <c r="H1856" s="12"/>
      <c r="J1856" s="11"/>
    </row>
    <row r="1857" spans="5:10">
      <c r="E1857" s="11"/>
      <c r="G1857" s="12"/>
      <c r="H1857" s="12"/>
      <c r="J1857" s="11"/>
    </row>
    <row r="1858" spans="5:10">
      <c r="E1858" s="11"/>
      <c r="G1858" s="12"/>
      <c r="H1858" s="12"/>
      <c r="J1858" s="11"/>
    </row>
    <row r="1859" spans="5:10">
      <c r="E1859" s="11"/>
      <c r="G1859" s="12"/>
      <c r="H1859" s="12"/>
      <c r="J1859" s="11"/>
    </row>
    <row r="1860" spans="5:10">
      <c r="E1860" s="11"/>
      <c r="G1860" s="12"/>
      <c r="H1860" s="12"/>
      <c r="J1860" s="11"/>
    </row>
    <row r="1861" spans="5:10">
      <c r="E1861" s="11"/>
      <c r="G1861" s="12"/>
      <c r="H1861" s="12"/>
      <c r="J1861" s="11"/>
    </row>
    <row r="1862" spans="5:10">
      <c r="E1862" s="11"/>
      <c r="G1862" s="12"/>
      <c r="H1862" s="12"/>
      <c r="J1862" s="11"/>
    </row>
    <row r="1863" spans="5:10">
      <c r="E1863" s="11"/>
      <c r="G1863" s="12"/>
      <c r="H1863" s="12"/>
      <c r="J1863" s="11"/>
    </row>
    <row r="1864" spans="5:10">
      <c r="E1864" s="11"/>
      <c r="G1864" s="12"/>
      <c r="H1864" s="12"/>
      <c r="J1864" s="11"/>
    </row>
    <row r="1865" spans="5:10">
      <c r="E1865" s="11"/>
      <c r="G1865" s="12"/>
      <c r="H1865" s="12"/>
      <c r="J1865" s="11"/>
    </row>
    <row r="1866" spans="5:10">
      <c r="E1866" s="11"/>
      <c r="G1866" s="12"/>
      <c r="H1866" s="12"/>
      <c r="J1866" s="11"/>
    </row>
    <row r="1867" spans="5:10">
      <c r="E1867" s="11"/>
      <c r="G1867" s="12"/>
      <c r="H1867" s="12"/>
      <c r="J1867" s="11"/>
    </row>
    <row r="1868" spans="5:10">
      <c r="E1868" s="11"/>
      <c r="G1868" s="12"/>
      <c r="H1868" s="12"/>
      <c r="J1868" s="11"/>
    </row>
    <row r="1869" spans="5:10">
      <c r="E1869" s="11"/>
      <c r="G1869" s="12"/>
      <c r="H1869" s="12"/>
      <c r="J1869" s="11"/>
    </row>
    <row r="1870" spans="5:10">
      <c r="E1870" s="11"/>
      <c r="G1870" s="12"/>
      <c r="H1870" s="12"/>
      <c r="J1870" s="11"/>
    </row>
    <row r="1871" spans="5:10">
      <c r="E1871" s="11"/>
      <c r="G1871" s="12"/>
      <c r="H1871" s="12"/>
      <c r="J1871" s="11"/>
    </row>
    <row r="1872" spans="5:10">
      <c r="E1872" s="11"/>
      <c r="G1872" s="12"/>
      <c r="H1872" s="12"/>
      <c r="J1872" s="11"/>
    </row>
    <row r="1873" spans="5:10">
      <c r="E1873" s="11"/>
      <c r="G1873" s="12"/>
      <c r="H1873" s="12"/>
      <c r="J1873" s="11"/>
    </row>
    <row r="1874" spans="5:10">
      <c r="E1874" s="11"/>
      <c r="G1874" s="12"/>
      <c r="H1874" s="12"/>
      <c r="J1874" s="11"/>
    </row>
    <row r="1875" spans="5:10">
      <c r="E1875" s="11"/>
      <c r="G1875" s="12"/>
      <c r="H1875" s="12"/>
      <c r="J1875" s="11"/>
    </row>
    <row r="1876" spans="5:10">
      <c r="E1876" s="11"/>
      <c r="G1876" s="12"/>
      <c r="H1876" s="12"/>
      <c r="J1876" s="11"/>
    </row>
    <row r="1877" spans="5:10">
      <c r="E1877" s="11"/>
      <c r="G1877" s="12"/>
      <c r="H1877" s="12"/>
      <c r="J1877" s="11"/>
    </row>
    <row r="1878" spans="5:10">
      <c r="E1878" s="11"/>
      <c r="G1878" s="12"/>
      <c r="H1878" s="12"/>
      <c r="J1878" s="11"/>
    </row>
    <row r="1879" spans="5:10">
      <c r="E1879" s="11"/>
      <c r="G1879" s="12"/>
      <c r="H1879" s="12"/>
      <c r="J1879" s="11"/>
    </row>
    <row r="1880" spans="5:10">
      <c r="E1880" s="11"/>
      <c r="G1880" s="12"/>
      <c r="H1880" s="12"/>
      <c r="J1880" s="11"/>
    </row>
    <row r="1881" spans="5:10">
      <c r="E1881" s="11"/>
      <c r="G1881" s="12"/>
      <c r="H1881" s="12"/>
      <c r="J1881" s="11"/>
    </row>
    <row r="1882" spans="5:10">
      <c r="E1882" s="11"/>
      <c r="G1882" s="12"/>
      <c r="H1882" s="12"/>
      <c r="J1882" s="11"/>
    </row>
    <row r="1883" spans="5:10">
      <c r="E1883" s="11"/>
      <c r="G1883" s="12"/>
      <c r="H1883" s="12"/>
      <c r="J1883" s="11"/>
    </row>
    <row r="1884" spans="5:10">
      <c r="E1884" s="11"/>
      <c r="G1884" s="12"/>
      <c r="H1884" s="12"/>
      <c r="J1884" s="11"/>
    </row>
    <row r="1885" spans="5:10">
      <c r="E1885" s="11"/>
      <c r="G1885" s="12"/>
      <c r="H1885" s="12"/>
      <c r="J1885" s="11"/>
    </row>
    <row r="1886" spans="5:10">
      <c r="E1886" s="11"/>
      <c r="G1886" s="12"/>
      <c r="H1886" s="12"/>
      <c r="J1886" s="11"/>
    </row>
    <row r="1887" spans="5:10">
      <c r="E1887" s="11"/>
      <c r="G1887" s="12"/>
      <c r="H1887" s="12"/>
      <c r="J1887" s="11"/>
    </row>
    <row r="1888" spans="5:10">
      <c r="E1888" s="11"/>
      <c r="G1888" s="12"/>
      <c r="H1888" s="12"/>
      <c r="J1888" s="11"/>
    </row>
    <row r="1889" spans="5:10">
      <c r="E1889" s="11"/>
      <c r="G1889" s="12"/>
      <c r="H1889" s="12"/>
      <c r="J1889" s="11"/>
    </row>
    <row r="1890" spans="5:10">
      <c r="E1890" s="11"/>
      <c r="G1890" s="12"/>
      <c r="H1890" s="12"/>
      <c r="J1890" s="11"/>
    </row>
    <row r="1891" spans="5:10">
      <c r="E1891" s="11"/>
      <c r="G1891" s="12"/>
      <c r="H1891" s="12"/>
      <c r="J1891" s="11"/>
    </row>
    <row r="1892" spans="5:10">
      <c r="E1892" s="11"/>
      <c r="G1892" s="12"/>
      <c r="H1892" s="12"/>
      <c r="J1892" s="11"/>
    </row>
    <row r="1893" spans="5:10">
      <c r="E1893" s="11"/>
      <c r="G1893" s="12"/>
      <c r="H1893" s="12"/>
      <c r="J1893" s="11"/>
    </row>
    <row r="1894" spans="5:10">
      <c r="E1894" s="11"/>
      <c r="G1894" s="12"/>
      <c r="H1894" s="12"/>
      <c r="J1894" s="11"/>
    </row>
    <row r="1895" spans="5:10">
      <c r="E1895" s="11"/>
      <c r="G1895" s="12"/>
      <c r="H1895" s="12"/>
      <c r="J1895" s="11"/>
    </row>
    <row r="1896" spans="5:10">
      <c r="E1896" s="11"/>
      <c r="G1896" s="12"/>
      <c r="H1896" s="12"/>
      <c r="J1896" s="11"/>
    </row>
    <row r="1897" spans="5:10">
      <c r="E1897" s="11"/>
      <c r="G1897" s="12"/>
      <c r="H1897" s="12"/>
      <c r="J1897" s="11"/>
    </row>
    <row r="1898" spans="5:10">
      <c r="E1898" s="11"/>
      <c r="G1898" s="12"/>
      <c r="H1898" s="12"/>
      <c r="J1898" s="11"/>
    </row>
    <row r="1899" spans="5:10">
      <c r="E1899" s="11"/>
      <c r="G1899" s="12"/>
      <c r="H1899" s="12"/>
      <c r="J1899" s="11"/>
    </row>
    <row r="1900" spans="5:10">
      <c r="E1900" s="11"/>
      <c r="G1900" s="12"/>
      <c r="H1900" s="12"/>
      <c r="J1900" s="11"/>
    </row>
    <row r="1901" spans="5:10">
      <c r="E1901" s="11"/>
      <c r="G1901" s="12"/>
      <c r="H1901" s="12"/>
      <c r="J1901" s="11"/>
    </row>
    <row r="1902" spans="5:10">
      <c r="E1902" s="11"/>
      <c r="G1902" s="12"/>
      <c r="H1902" s="12"/>
      <c r="J1902" s="11"/>
    </row>
    <row r="1903" spans="5:10">
      <c r="E1903" s="11"/>
      <c r="G1903" s="12"/>
      <c r="H1903" s="12"/>
      <c r="J1903" s="11"/>
    </row>
    <row r="1904" spans="5:10">
      <c r="E1904" s="11"/>
      <c r="G1904" s="12"/>
      <c r="H1904" s="12"/>
      <c r="J1904" s="11"/>
    </row>
    <row r="1905" spans="5:10">
      <c r="E1905" s="11"/>
      <c r="G1905" s="12"/>
      <c r="H1905" s="12"/>
      <c r="J1905" s="11"/>
    </row>
    <row r="1906" spans="5:10">
      <c r="E1906" s="11"/>
      <c r="G1906" s="12"/>
      <c r="H1906" s="12"/>
      <c r="J1906" s="11"/>
    </row>
    <row r="1907" spans="5:10">
      <c r="E1907" s="11"/>
      <c r="G1907" s="12"/>
      <c r="H1907" s="12"/>
      <c r="J1907" s="11"/>
    </row>
    <row r="1908" spans="5:10">
      <c r="E1908" s="11"/>
      <c r="G1908" s="12"/>
      <c r="H1908" s="12"/>
      <c r="J1908" s="11"/>
    </row>
    <row r="1909" spans="5:10">
      <c r="E1909" s="11"/>
      <c r="G1909" s="12"/>
      <c r="H1909" s="12"/>
      <c r="J1909" s="11"/>
    </row>
    <row r="1910" spans="5:10">
      <c r="E1910" s="11"/>
      <c r="G1910" s="12"/>
      <c r="H1910" s="12"/>
      <c r="J1910" s="11"/>
    </row>
    <row r="1911" spans="5:10">
      <c r="E1911" s="11"/>
      <c r="G1911" s="12"/>
      <c r="H1911" s="12"/>
      <c r="J1911" s="11"/>
    </row>
    <row r="1912" spans="5:10">
      <c r="E1912" s="11"/>
      <c r="G1912" s="12"/>
      <c r="H1912" s="12"/>
      <c r="J1912" s="11"/>
    </row>
    <row r="1913" spans="5:10">
      <c r="E1913" s="11"/>
      <c r="G1913" s="12"/>
      <c r="H1913" s="12"/>
      <c r="J1913" s="11"/>
    </row>
    <row r="1914" spans="5:10">
      <c r="E1914" s="11"/>
      <c r="G1914" s="12"/>
      <c r="H1914" s="12"/>
      <c r="J1914" s="11"/>
    </row>
    <row r="1915" spans="5:10">
      <c r="E1915" s="11"/>
      <c r="G1915" s="12"/>
      <c r="H1915" s="12"/>
      <c r="J1915" s="11"/>
    </row>
    <row r="1916" spans="5:10">
      <c r="E1916" s="11"/>
      <c r="G1916" s="12"/>
      <c r="H1916" s="12"/>
      <c r="J1916" s="11"/>
    </row>
    <row r="1917" spans="5:10">
      <c r="E1917" s="11"/>
      <c r="G1917" s="12"/>
      <c r="H1917" s="12"/>
      <c r="J1917" s="11"/>
    </row>
    <row r="1918" spans="5:10">
      <c r="E1918" s="11"/>
      <c r="G1918" s="12"/>
      <c r="H1918" s="12"/>
      <c r="J1918" s="11"/>
    </row>
    <row r="1919" spans="5:10">
      <c r="E1919" s="11"/>
      <c r="G1919" s="12"/>
      <c r="H1919" s="12"/>
      <c r="J1919" s="11"/>
    </row>
    <row r="1920" spans="5:10">
      <c r="E1920" s="11"/>
      <c r="G1920" s="12"/>
      <c r="H1920" s="12"/>
      <c r="J1920" s="11"/>
    </row>
    <row r="1921" spans="5:10">
      <c r="E1921" s="11"/>
      <c r="G1921" s="12"/>
      <c r="H1921" s="12"/>
      <c r="J1921" s="11"/>
    </row>
    <row r="1922" spans="5:10">
      <c r="E1922" s="11"/>
      <c r="G1922" s="12"/>
      <c r="H1922" s="12"/>
      <c r="J1922" s="11"/>
    </row>
    <row r="1923" spans="5:10">
      <c r="E1923" s="11"/>
      <c r="G1923" s="12"/>
      <c r="H1923" s="12"/>
      <c r="J1923" s="11"/>
    </row>
    <row r="1924" spans="5:10">
      <c r="E1924" s="11"/>
      <c r="G1924" s="12"/>
      <c r="H1924" s="12"/>
      <c r="J1924" s="11"/>
    </row>
    <row r="1925" spans="5:10">
      <c r="E1925" s="11"/>
      <c r="G1925" s="12"/>
      <c r="H1925" s="12"/>
      <c r="J1925" s="11"/>
    </row>
    <row r="1926" spans="5:10">
      <c r="E1926" s="11"/>
      <c r="G1926" s="12"/>
      <c r="H1926" s="12"/>
      <c r="J1926" s="11"/>
    </row>
    <row r="1927" spans="5:10">
      <c r="E1927" s="11"/>
      <c r="G1927" s="12"/>
      <c r="H1927" s="12"/>
      <c r="J1927" s="11"/>
    </row>
    <row r="1928" spans="5:10">
      <c r="E1928" s="11"/>
      <c r="G1928" s="12"/>
      <c r="H1928" s="12"/>
      <c r="J1928" s="11"/>
    </row>
    <row r="1929" spans="5:10">
      <c r="E1929" s="11"/>
      <c r="G1929" s="12"/>
      <c r="H1929" s="12"/>
      <c r="J1929" s="11"/>
    </row>
    <row r="1930" spans="5:10">
      <c r="E1930" s="11"/>
      <c r="G1930" s="12"/>
      <c r="H1930" s="12"/>
      <c r="J1930" s="11"/>
    </row>
    <row r="1931" spans="5:10">
      <c r="E1931" s="11"/>
      <c r="G1931" s="12"/>
      <c r="H1931" s="12"/>
      <c r="J1931" s="11"/>
    </row>
    <row r="1932" spans="5:10">
      <c r="E1932" s="11"/>
      <c r="G1932" s="12"/>
      <c r="H1932" s="12"/>
      <c r="J1932" s="11"/>
    </row>
    <row r="1933" spans="5:10">
      <c r="E1933" s="11"/>
      <c r="G1933" s="12"/>
      <c r="H1933" s="12"/>
      <c r="J1933" s="11"/>
    </row>
    <row r="1934" spans="5:10">
      <c r="E1934" s="11"/>
      <c r="G1934" s="12"/>
      <c r="H1934" s="12"/>
      <c r="J1934" s="11"/>
    </row>
    <row r="1935" spans="5:10">
      <c r="E1935" s="11"/>
      <c r="G1935" s="12"/>
      <c r="H1935" s="12"/>
      <c r="J1935" s="11"/>
    </row>
    <row r="1936" spans="5:10">
      <c r="E1936" s="11"/>
      <c r="G1936" s="12"/>
      <c r="H1936" s="12"/>
      <c r="J1936" s="11"/>
    </row>
    <row r="1937" spans="5:10">
      <c r="E1937" s="11"/>
      <c r="G1937" s="12"/>
      <c r="H1937" s="12"/>
      <c r="J1937" s="11"/>
    </row>
    <row r="1938" spans="5:10">
      <c r="E1938" s="11"/>
      <c r="G1938" s="12"/>
      <c r="H1938" s="12"/>
      <c r="J1938" s="11"/>
    </row>
    <row r="1939" spans="5:10">
      <c r="E1939" s="11"/>
      <c r="G1939" s="12"/>
      <c r="H1939" s="12"/>
      <c r="J1939" s="11"/>
    </row>
    <row r="1940" spans="5:10">
      <c r="E1940" s="11"/>
      <c r="G1940" s="12"/>
      <c r="H1940" s="12"/>
      <c r="J1940" s="11"/>
    </row>
    <row r="1941" spans="5:10">
      <c r="E1941" s="11"/>
      <c r="G1941" s="12"/>
      <c r="H1941" s="12"/>
      <c r="J1941" s="11"/>
    </row>
    <row r="1942" spans="5:10">
      <c r="E1942" s="11"/>
      <c r="G1942" s="12"/>
      <c r="H1942" s="12"/>
      <c r="J1942" s="11"/>
    </row>
    <row r="1943" spans="5:10">
      <c r="E1943" s="11"/>
      <c r="G1943" s="12"/>
      <c r="H1943" s="12"/>
      <c r="J1943" s="11"/>
    </row>
    <row r="1944" spans="5:10">
      <c r="E1944" s="11"/>
      <c r="G1944" s="12"/>
      <c r="H1944" s="12"/>
      <c r="J1944" s="11"/>
    </row>
    <row r="1945" spans="5:10">
      <c r="E1945" s="11"/>
      <c r="G1945" s="12"/>
      <c r="H1945" s="12"/>
      <c r="J1945" s="11"/>
    </row>
    <row r="1946" spans="5:10">
      <c r="E1946" s="11"/>
      <c r="G1946" s="12"/>
      <c r="H1946" s="12"/>
      <c r="J1946" s="11"/>
    </row>
    <row r="1947" spans="5:10">
      <c r="E1947" s="11"/>
      <c r="G1947" s="12"/>
      <c r="H1947" s="12"/>
      <c r="J1947" s="11"/>
    </row>
    <row r="1948" spans="5:10">
      <c r="E1948" s="11"/>
      <c r="G1948" s="12"/>
      <c r="H1948" s="12"/>
      <c r="J1948" s="11"/>
    </row>
    <row r="1949" spans="5:10">
      <c r="E1949" s="11"/>
      <c r="G1949" s="12"/>
      <c r="H1949" s="12"/>
      <c r="J1949" s="11"/>
    </row>
    <row r="1950" spans="5:10">
      <c r="E1950" s="11"/>
      <c r="G1950" s="12"/>
      <c r="H1950" s="12"/>
      <c r="J1950" s="11"/>
    </row>
    <row r="1951" spans="5:10">
      <c r="E1951" s="11"/>
      <c r="G1951" s="12"/>
      <c r="H1951" s="12"/>
      <c r="J1951" s="11"/>
    </row>
    <row r="1952" spans="5:10">
      <c r="E1952" s="11"/>
      <c r="G1952" s="12"/>
      <c r="H1952" s="12"/>
      <c r="J1952" s="11"/>
    </row>
    <row r="1953" spans="5:10">
      <c r="E1953" s="11"/>
      <c r="G1953" s="12"/>
      <c r="H1953" s="12"/>
      <c r="J1953" s="11"/>
    </row>
    <row r="1954" spans="5:10">
      <c r="E1954" s="11"/>
      <c r="G1954" s="12"/>
      <c r="H1954" s="12"/>
      <c r="J1954" s="11"/>
    </row>
    <row r="1955" spans="5:10">
      <c r="E1955" s="11"/>
      <c r="G1955" s="12"/>
      <c r="H1955" s="12"/>
      <c r="J1955" s="11"/>
    </row>
    <row r="1956" spans="5:10">
      <c r="E1956" s="11"/>
      <c r="G1956" s="12"/>
      <c r="H1956" s="12"/>
      <c r="J1956" s="11"/>
    </row>
    <row r="1957" spans="5:10">
      <c r="E1957" s="11"/>
      <c r="G1957" s="12"/>
      <c r="H1957" s="12"/>
      <c r="J1957" s="11"/>
    </row>
    <row r="1958" spans="5:10">
      <c r="E1958" s="11"/>
      <c r="G1958" s="12"/>
      <c r="H1958" s="12"/>
      <c r="J1958" s="11"/>
    </row>
    <row r="1959" spans="5:10">
      <c r="E1959" s="11"/>
      <c r="G1959" s="12"/>
      <c r="H1959" s="12"/>
      <c r="J1959" s="11"/>
    </row>
    <row r="1960" spans="5:10">
      <c r="E1960" s="11"/>
      <c r="G1960" s="12"/>
      <c r="H1960" s="12"/>
      <c r="J1960" s="11"/>
    </row>
    <row r="1961" spans="5:10">
      <c r="E1961" s="11"/>
      <c r="G1961" s="12"/>
      <c r="H1961" s="12"/>
      <c r="J1961" s="11"/>
    </row>
    <row r="1962" spans="5:10">
      <c r="E1962" s="11"/>
      <c r="G1962" s="12"/>
      <c r="H1962" s="12"/>
      <c r="J1962" s="11"/>
    </row>
    <row r="1963" spans="5:10">
      <c r="E1963" s="11"/>
      <c r="G1963" s="12"/>
      <c r="H1963" s="12"/>
      <c r="J1963" s="11"/>
    </row>
    <row r="1964" spans="5:10">
      <c r="E1964" s="11"/>
      <c r="G1964" s="12"/>
      <c r="H1964" s="12"/>
      <c r="J1964" s="11"/>
    </row>
    <row r="1965" spans="5:10">
      <c r="E1965" s="11"/>
      <c r="G1965" s="12"/>
      <c r="H1965" s="12"/>
      <c r="J1965" s="11"/>
    </row>
    <row r="1966" spans="5:10">
      <c r="E1966" s="11"/>
      <c r="G1966" s="12"/>
      <c r="H1966" s="12"/>
      <c r="J1966" s="11"/>
    </row>
    <row r="1967" spans="5:10">
      <c r="E1967" s="11"/>
      <c r="G1967" s="12"/>
      <c r="H1967" s="12"/>
      <c r="J1967" s="11"/>
    </row>
    <row r="1968" spans="5:10">
      <c r="E1968" s="11"/>
      <c r="G1968" s="12"/>
      <c r="H1968" s="12"/>
      <c r="J1968" s="11"/>
    </row>
    <row r="1969" spans="5:10">
      <c r="E1969" s="11"/>
      <c r="G1969" s="12"/>
      <c r="H1969" s="12"/>
      <c r="J1969" s="11"/>
    </row>
    <row r="1970" spans="5:10">
      <c r="E1970" s="11"/>
      <c r="G1970" s="12"/>
      <c r="H1970" s="12"/>
      <c r="J1970" s="11"/>
    </row>
    <row r="1971" spans="5:10">
      <c r="E1971" s="11"/>
      <c r="G1971" s="12"/>
      <c r="H1971" s="12"/>
      <c r="J1971" s="11"/>
    </row>
    <row r="1972" spans="5:10">
      <c r="E1972" s="11"/>
      <c r="G1972" s="12"/>
      <c r="H1972" s="12"/>
      <c r="J1972" s="11"/>
    </row>
    <row r="1973" spans="5:10">
      <c r="E1973" s="11"/>
      <c r="G1973" s="12"/>
      <c r="H1973" s="12"/>
      <c r="J1973" s="11"/>
    </row>
    <row r="1974" spans="5:10">
      <c r="E1974" s="11"/>
      <c r="G1974" s="12"/>
      <c r="H1974" s="12"/>
      <c r="J1974" s="11"/>
    </row>
    <row r="1975" spans="5:10">
      <c r="E1975" s="11"/>
      <c r="G1975" s="12"/>
      <c r="H1975" s="12"/>
      <c r="J1975" s="11"/>
    </row>
    <row r="1976" spans="5:10">
      <c r="E1976" s="11"/>
      <c r="G1976" s="12"/>
      <c r="H1976" s="12"/>
      <c r="J1976" s="11"/>
    </row>
    <row r="1977" spans="5:10">
      <c r="E1977" s="11"/>
      <c r="G1977" s="12"/>
      <c r="H1977" s="12"/>
      <c r="J1977" s="11"/>
    </row>
    <row r="1978" spans="5:10">
      <c r="E1978" s="11"/>
      <c r="G1978" s="12"/>
      <c r="H1978" s="12"/>
      <c r="J1978" s="11"/>
    </row>
    <row r="1979" spans="5:10">
      <c r="E1979" s="11"/>
      <c r="G1979" s="12"/>
      <c r="H1979" s="12"/>
      <c r="J1979" s="11"/>
    </row>
    <row r="1980" spans="5:10">
      <c r="E1980" s="11"/>
      <c r="G1980" s="12"/>
      <c r="H1980" s="12"/>
      <c r="J1980" s="11"/>
    </row>
    <row r="1981" spans="5:10">
      <c r="E1981" s="11"/>
      <c r="G1981" s="12"/>
      <c r="H1981" s="12"/>
      <c r="J1981" s="11"/>
    </row>
    <row r="1982" spans="5:10">
      <c r="E1982" s="11"/>
      <c r="G1982" s="12"/>
      <c r="H1982" s="12"/>
      <c r="J1982" s="11"/>
    </row>
    <row r="1983" spans="5:10">
      <c r="E1983" s="11"/>
      <c r="G1983" s="12"/>
      <c r="H1983" s="12"/>
      <c r="J1983" s="11"/>
    </row>
    <row r="1984" spans="5:10">
      <c r="E1984" s="11"/>
      <c r="G1984" s="12"/>
      <c r="H1984" s="12"/>
      <c r="J1984" s="11"/>
    </row>
    <row r="1985" spans="5:10">
      <c r="E1985" s="11"/>
      <c r="G1985" s="12"/>
      <c r="H1985" s="12"/>
      <c r="J1985" s="11"/>
    </row>
    <row r="1986" spans="5:10">
      <c r="E1986" s="11"/>
      <c r="G1986" s="12"/>
      <c r="H1986" s="12"/>
      <c r="J1986" s="11"/>
    </row>
    <row r="1987" spans="5:10">
      <c r="E1987" s="11"/>
      <c r="G1987" s="12"/>
      <c r="H1987" s="12"/>
      <c r="J1987" s="11"/>
    </row>
    <row r="1988" spans="5:10">
      <c r="E1988" s="11"/>
      <c r="G1988" s="12"/>
      <c r="H1988" s="12"/>
      <c r="J1988" s="11"/>
    </row>
    <row r="1989" spans="5:10">
      <c r="E1989" s="11"/>
      <c r="G1989" s="12"/>
      <c r="H1989" s="12"/>
      <c r="J1989" s="11"/>
    </row>
    <row r="1990" spans="5:10">
      <c r="E1990" s="11"/>
      <c r="G1990" s="12"/>
      <c r="H1990" s="12"/>
      <c r="J1990" s="11"/>
    </row>
    <row r="1991" spans="5:10">
      <c r="E1991" s="11"/>
      <c r="G1991" s="12"/>
      <c r="H1991" s="12"/>
      <c r="J1991" s="11"/>
    </row>
    <row r="1992" spans="5:10">
      <c r="E1992" s="11"/>
      <c r="G1992" s="12"/>
      <c r="H1992" s="12"/>
      <c r="J1992" s="11"/>
    </row>
    <row r="1993" spans="5:10">
      <c r="E1993" s="11"/>
      <c r="G1993" s="12"/>
      <c r="H1993" s="12"/>
      <c r="J1993" s="11"/>
    </row>
    <row r="1994" spans="5:10">
      <c r="E1994" s="11"/>
      <c r="G1994" s="12"/>
      <c r="H1994" s="12"/>
      <c r="J1994" s="11"/>
    </row>
    <row r="1995" spans="5:10">
      <c r="E1995" s="11"/>
      <c r="G1995" s="12"/>
      <c r="H1995" s="12"/>
      <c r="J1995" s="11"/>
    </row>
    <row r="1996" spans="5:10">
      <c r="E1996" s="11"/>
      <c r="G1996" s="12"/>
      <c r="H1996" s="12"/>
      <c r="J1996" s="11"/>
    </row>
    <row r="1997" spans="5:10">
      <c r="E1997" s="11"/>
      <c r="G1997" s="12"/>
      <c r="H1997" s="12"/>
      <c r="J1997" s="11"/>
    </row>
    <row r="1998" spans="5:10">
      <c r="E1998" s="11"/>
      <c r="G1998" s="12"/>
      <c r="H1998" s="12"/>
      <c r="J1998" s="11"/>
    </row>
    <row r="1999" spans="5:10">
      <c r="E1999" s="11"/>
      <c r="G1999" s="12"/>
      <c r="H1999" s="12"/>
      <c r="J1999" s="11"/>
    </row>
    <row r="2000" spans="5:10">
      <c r="E2000" s="11"/>
      <c r="G2000" s="12"/>
      <c r="H2000" s="12"/>
      <c r="J2000" s="11"/>
    </row>
    <row r="2001" spans="5:10">
      <c r="E2001" s="11"/>
      <c r="G2001" s="12"/>
      <c r="H2001" s="12"/>
      <c r="J2001" s="11"/>
    </row>
    <row r="2002" spans="5:10">
      <c r="E2002" s="11"/>
      <c r="G2002" s="12"/>
      <c r="H2002" s="12"/>
      <c r="J2002" s="11"/>
    </row>
    <row r="2003" spans="5:10">
      <c r="E2003" s="11"/>
      <c r="G2003" s="12"/>
      <c r="H2003" s="12"/>
      <c r="J2003" s="11"/>
    </row>
    <row r="2004" spans="5:10">
      <c r="E2004" s="11"/>
      <c r="G2004" s="12"/>
      <c r="H2004" s="12"/>
      <c r="J2004" s="11"/>
    </row>
    <row r="2005" spans="5:10">
      <c r="E2005" s="11"/>
      <c r="G2005" s="12"/>
      <c r="H2005" s="12"/>
      <c r="J2005" s="11"/>
    </row>
    <row r="2006" spans="5:10">
      <c r="E2006" s="11"/>
      <c r="G2006" s="12"/>
      <c r="H2006" s="12"/>
      <c r="J2006" s="11"/>
    </row>
    <row r="2007" spans="5:10">
      <c r="E2007" s="11"/>
      <c r="G2007" s="12"/>
      <c r="H2007" s="12"/>
      <c r="J2007" s="11"/>
    </row>
    <row r="2008" spans="5:10">
      <c r="E2008" s="11"/>
      <c r="G2008" s="12"/>
      <c r="H2008" s="12"/>
      <c r="J2008" s="11"/>
    </row>
    <row r="2009" spans="5:10">
      <c r="E2009" s="11"/>
      <c r="G2009" s="12"/>
      <c r="H2009" s="12"/>
      <c r="J2009" s="11"/>
    </row>
    <row r="2010" spans="5:10">
      <c r="E2010" s="11"/>
      <c r="G2010" s="12"/>
      <c r="H2010" s="12"/>
      <c r="J2010" s="11"/>
    </row>
    <row r="2011" spans="5:10">
      <c r="E2011" s="11"/>
      <c r="G2011" s="12"/>
      <c r="H2011" s="12"/>
      <c r="J2011" s="11"/>
    </row>
    <row r="2012" spans="5:10">
      <c r="E2012" s="11"/>
      <c r="G2012" s="12"/>
      <c r="H2012" s="12"/>
      <c r="J2012" s="11"/>
    </row>
    <row r="2013" spans="5:10">
      <c r="E2013" s="11"/>
      <c r="G2013" s="12"/>
      <c r="H2013" s="12"/>
      <c r="J2013" s="11"/>
    </row>
    <row r="2014" spans="5:10">
      <c r="E2014" s="11"/>
      <c r="G2014" s="12"/>
      <c r="H2014" s="12"/>
      <c r="J2014" s="11"/>
    </row>
    <row r="2015" spans="5:10">
      <c r="E2015" s="11"/>
      <c r="G2015" s="12"/>
      <c r="H2015" s="12"/>
      <c r="J2015" s="11"/>
    </row>
    <row r="2016" spans="5:10">
      <c r="E2016" s="11"/>
      <c r="G2016" s="12"/>
      <c r="H2016" s="12"/>
      <c r="J2016" s="11"/>
    </row>
    <row r="2017" spans="5:10">
      <c r="E2017" s="11"/>
      <c r="G2017" s="12"/>
      <c r="H2017" s="12"/>
      <c r="J2017" s="11"/>
    </row>
    <row r="2018" spans="5:10">
      <c r="E2018" s="11"/>
      <c r="G2018" s="12"/>
      <c r="H2018" s="12"/>
      <c r="J2018" s="11"/>
    </row>
    <row r="2019" spans="5:10">
      <c r="E2019" s="11"/>
      <c r="G2019" s="12"/>
      <c r="H2019" s="12"/>
      <c r="J2019" s="11"/>
    </row>
    <row r="2020" spans="5:10">
      <c r="E2020" s="11"/>
      <c r="G2020" s="12"/>
      <c r="H2020" s="12"/>
      <c r="J2020" s="11"/>
    </row>
    <row r="2021" spans="5:10">
      <c r="E2021" s="11"/>
      <c r="G2021" s="12"/>
      <c r="H2021" s="12"/>
      <c r="J2021" s="11"/>
    </row>
    <row r="2022" spans="5:10">
      <c r="E2022" s="11"/>
      <c r="G2022" s="12"/>
      <c r="H2022" s="12"/>
      <c r="J2022" s="11"/>
    </row>
    <row r="2023" spans="5:10">
      <c r="E2023" s="11"/>
      <c r="G2023" s="12"/>
      <c r="H2023" s="12"/>
      <c r="J2023" s="11"/>
    </row>
    <row r="2024" spans="5:10">
      <c r="E2024" s="11"/>
      <c r="G2024" s="12"/>
      <c r="H2024" s="12"/>
      <c r="J2024" s="11"/>
    </row>
    <row r="2025" spans="5:10">
      <c r="E2025" s="11"/>
      <c r="G2025" s="12"/>
      <c r="H2025" s="12"/>
      <c r="J2025" s="11"/>
    </row>
    <row r="2026" spans="5:10">
      <c r="E2026" s="11"/>
      <c r="G2026" s="12"/>
      <c r="H2026" s="12"/>
      <c r="J2026" s="11"/>
    </row>
    <row r="2027" spans="5:10">
      <c r="E2027" s="11"/>
      <c r="G2027" s="12"/>
      <c r="H2027" s="12"/>
      <c r="J2027" s="11"/>
    </row>
    <row r="2028" spans="5:10">
      <c r="E2028" s="11"/>
      <c r="G2028" s="12"/>
      <c r="H2028" s="12"/>
      <c r="J2028" s="11"/>
    </row>
    <row r="2029" spans="5:10">
      <c r="E2029" s="11"/>
      <c r="G2029" s="12"/>
      <c r="H2029" s="12"/>
      <c r="J2029" s="11"/>
    </row>
    <row r="2030" spans="5:10">
      <c r="E2030" s="11"/>
      <c r="G2030" s="12"/>
      <c r="H2030" s="12"/>
      <c r="J2030" s="11"/>
    </row>
    <row r="2031" spans="5:10">
      <c r="E2031" s="11"/>
      <c r="G2031" s="12"/>
      <c r="H2031" s="12"/>
      <c r="J2031" s="11"/>
    </row>
    <row r="2032" spans="5:10">
      <c r="E2032" s="11"/>
      <c r="G2032" s="12"/>
      <c r="H2032" s="12"/>
      <c r="J2032" s="11"/>
    </row>
    <row r="2033" spans="5:10">
      <c r="E2033" s="11"/>
      <c r="G2033" s="12"/>
      <c r="H2033" s="12"/>
      <c r="J2033" s="11"/>
    </row>
    <row r="2034" spans="5:10">
      <c r="E2034" s="11"/>
      <c r="G2034" s="12"/>
      <c r="H2034" s="12"/>
      <c r="J2034" s="11"/>
    </row>
    <row r="2035" spans="5:10">
      <c r="E2035" s="11"/>
      <c r="G2035" s="12"/>
      <c r="H2035" s="12"/>
      <c r="J2035" s="11"/>
    </row>
    <row r="2036" spans="5:10">
      <c r="E2036" s="11"/>
      <c r="G2036" s="12"/>
      <c r="H2036" s="12"/>
      <c r="J2036" s="11"/>
    </row>
    <row r="2037" spans="5:10">
      <c r="E2037" s="11"/>
      <c r="G2037" s="12"/>
      <c r="H2037" s="12"/>
      <c r="J2037" s="11"/>
    </row>
    <row r="2038" spans="5:10">
      <c r="E2038" s="11"/>
      <c r="G2038" s="12"/>
      <c r="H2038" s="12"/>
      <c r="J2038" s="11"/>
    </row>
    <row r="2039" spans="5:10">
      <c r="E2039" s="11"/>
      <c r="G2039" s="12"/>
      <c r="H2039" s="12"/>
      <c r="J2039" s="11"/>
    </row>
    <row r="2040" spans="5:10">
      <c r="E2040" s="11"/>
      <c r="G2040" s="12"/>
      <c r="H2040" s="12"/>
      <c r="J2040" s="11"/>
    </row>
    <row r="2041" spans="5:10">
      <c r="E2041" s="11"/>
      <c r="G2041" s="12"/>
      <c r="H2041" s="12"/>
      <c r="J2041" s="11"/>
    </row>
    <row r="2042" spans="5:10">
      <c r="E2042" s="11"/>
      <c r="G2042" s="12"/>
      <c r="H2042" s="12"/>
      <c r="J2042" s="11"/>
    </row>
    <row r="2043" spans="5:10">
      <c r="E2043" s="11"/>
      <c r="G2043" s="12"/>
      <c r="H2043" s="12"/>
      <c r="J2043" s="11"/>
    </row>
    <row r="2044" spans="5:10">
      <c r="E2044" s="11"/>
      <c r="G2044" s="12"/>
      <c r="H2044" s="12"/>
      <c r="J2044" s="11"/>
    </row>
    <row r="2045" spans="5:10">
      <c r="E2045" s="11"/>
      <c r="G2045" s="12"/>
      <c r="H2045" s="12"/>
      <c r="J2045" s="11"/>
    </row>
    <row r="2046" spans="5:10">
      <c r="E2046" s="11"/>
      <c r="G2046" s="12"/>
      <c r="H2046" s="12"/>
      <c r="J2046" s="11"/>
    </row>
    <row r="2047" spans="5:10">
      <c r="E2047" s="11"/>
      <c r="G2047" s="12"/>
      <c r="H2047" s="12"/>
      <c r="J2047" s="11"/>
    </row>
    <row r="2048" spans="5:10">
      <c r="E2048" s="11"/>
      <c r="G2048" s="12"/>
      <c r="H2048" s="12"/>
      <c r="J2048" s="11"/>
    </row>
    <row r="2049" spans="5:10">
      <c r="E2049" s="11"/>
      <c r="G2049" s="12"/>
      <c r="H2049" s="12"/>
      <c r="J2049" s="11"/>
    </row>
    <row r="2050" spans="5:10">
      <c r="E2050" s="11"/>
      <c r="G2050" s="12"/>
      <c r="H2050" s="12"/>
      <c r="J2050" s="11"/>
    </row>
    <row r="2051" spans="5:10">
      <c r="E2051" s="11"/>
      <c r="G2051" s="12"/>
      <c r="H2051" s="12"/>
      <c r="J2051" s="11"/>
    </row>
    <row r="2052" spans="5:10">
      <c r="E2052" s="11"/>
      <c r="G2052" s="12"/>
      <c r="H2052" s="12"/>
      <c r="J2052" s="11"/>
    </row>
    <row r="2053" spans="5:10">
      <c r="E2053" s="11"/>
      <c r="G2053" s="12"/>
      <c r="H2053" s="12"/>
      <c r="J2053" s="11"/>
    </row>
    <row r="2054" spans="5:10">
      <c r="E2054" s="11"/>
      <c r="G2054" s="12"/>
      <c r="H2054" s="12"/>
      <c r="J2054" s="11"/>
    </row>
    <row r="2055" spans="5:10">
      <c r="E2055" s="11"/>
      <c r="G2055" s="12"/>
      <c r="H2055" s="12"/>
      <c r="J2055" s="11"/>
    </row>
    <row r="2056" spans="5:10">
      <c r="E2056" s="11"/>
      <c r="G2056" s="12"/>
      <c r="H2056" s="12"/>
      <c r="J2056" s="11"/>
    </row>
    <row r="2057" spans="5:10">
      <c r="E2057" s="11"/>
      <c r="G2057" s="12"/>
      <c r="H2057" s="12"/>
      <c r="J2057" s="11"/>
    </row>
    <row r="2058" spans="5:10">
      <c r="E2058" s="11"/>
      <c r="G2058" s="12"/>
      <c r="H2058" s="12"/>
      <c r="J2058" s="11"/>
    </row>
    <row r="2059" spans="5:10">
      <c r="E2059" s="11"/>
      <c r="G2059" s="12"/>
      <c r="H2059" s="12"/>
      <c r="J2059" s="11"/>
    </row>
    <row r="2060" spans="5:10">
      <c r="E2060" s="11"/>
      <c r="G2060" s="12"/>
      <c r="H2060" s="12"/>
      <c r="J2060" s="11"/>
    </row>
    <row r="2061" spans="5:10">
      <c r="E2061" s="11"/>
      <c r="G2061" s="12"/>
      <c r="H2061" s="12"/>
      <c r="J2061" s="11"/>
    </row>
    <row r="2062" spans="5:10">
      <c r="E2062" s="11"/>
      <c r="G2062" s="12"/>
      <c r="H2062" s="12"/>
      <c r="J2062" s="11"/>
    </row>
    <row r="2063" spans="5:10">
      <c r="E2063" s="11"/>
      <c r="G2063" s="12"/>
      <c r="H2063" s="12"/>
      <c r="J2063" s="11"/>
    </row>
    <row r="2064" spans="5:10">
      <c r="E2064" s="11"/>
      <c r="G2064" s="12"/>
      <c r="H2064" s="12"/>
      <c r="J2064" s="11"/>
    </row>
    <row r="2065" spans="5:10">
      <c r="E2065" s="11"/>
      <c r="G2065" s="12"/>
      <c r="H2065" s="12"/>
      <c r="J2065" s="11"/>
    </row>
    <row r="2066" spans="5:10">
      <c r="E2066" s="11"/>
      <c r="G2066" s="12"/>
      <c r="H2066" s="12"/>
      <c r="J2066" s="11"/>
    </row>
    <row r="2067" spans="5:10">
      <c r="E2067" s="11"/>
      <c r="G2067" s="12"/>
      <c r="H2067" s="12"/>
      <c r="J2067" s="11"/>
    </row>
    <row r="2068" spans="5:10">
      <c r="E2068" s="11"/>
      <c r="G2068" s="12"/>
      <c r="H2068" s="12"/>
      <c r="J2068" s="11"/>
    </row>
    <row r="2069" spans="5:10">
      <c r="E2069" s="11"/>
      <c r="G2069" s="12"/>
      <c r="H2069" s="12"/>
      <c r="J2069" s="11"/>
    </row>
    <row r="2070" spans="5:10">
      <c r="E2070" s="11"/>
      <c r="G2070" s="12"/>
      <c r="H2070" s="12"/>
      <c r="J2070" s="11"/>
    </row>
    <row r="2071" spans="5:10">
      <c r="E2071" s="11"/>
      <c r="G2071" s="12"/>
      <c r="H2071" s="12"/>
      <c r="J2071" s="11"/>
    </row>
    <row r="2072" spans="5:10">
      <c r="E2072" s="11"/>
      <c r="G2072" s="12"/>
      <c r="H2072" s="12"/>
      <c r="J2072" s="11"/>
    </row>
    <row r="2073" spans="5:10">
      <c r="E2073" s="11"/>
      <c r="G2073" s="12"/>
      <c r="H2073" s="12"/>
      <c r="J2073" s="11"/>
    </row>
    <row r="2074" spans="5:10">
      <c r="E2074" s="11"/>
      <c r="G2074" s="12"/>
      <c r="H2074" s="12"/>
      <c r="J2074" s="11"/>
    </row>
    <row r="2075" spans="5:10">
      <c r="E2075" s="11"/>
      <c r="G2075" s="12"/>
      <c r="H2075" s="12"/>
      <c r="J2075" s="11"/>
    </row>
    <row r="2076" spans="5:10">
      <c r="E2076" s="11"/>
      <c r="G2076" s="12"/>
      <c r="H2076" s="12"/>
      <c r="J2076" s="11"/>
    </row>
    <row r="2077" spans="5:10">
      <c r="E2077" s="11"/>
      <c r="G2077" s="12"/>
      <c r="H2077" s="12"/>
      <c r="J2077" s="11"/>
    </row>
    <row r="2078" spans="5:10">
      <c r="E2078" s="11"/>
      <c r="G2078" s="12"/>
      <c r="H2078" s="12"/>
      <c r="J2078" s="11"/>
    </row>
    <row r="2079" spans="5:10">
      <c r="E2079" s="11"/>
      <c r="G2079" s="12"/>
      <c r="H2079" s="12"/>
      <c r="J2079" s="11"/>
    </row>
    <row r="2080" spans="5:10">
      <c r="E2080" s="11"/>
      <c r="G2080" s="12"/>
      <c r="H2080" s="12"/>
      <c r="J2080" s="11"/>
    </row>
    <row r="2081" spans="5:10">
      <c r="E2081" s="11"/>
      <c r="G2081" s="12"/>
      <c r="H2081" s="12"/>
      <c r="J2081" s="11"/>
    </row>
    <row r="2082" spans="5:10">
      <c r="E2082" s="11"/>
      <c r="G2082" s="12"/>
      <c r="H2082" s="12"/>
      <c r="J2082" s="11"/>
    </row>
    <row r="2083" spans="5:10">
      <c r="E2083" s="11"/>
      <c r="G2083" s="12"/>
      <c r="H2083" s="12"/>
      <c r="J2083" s="11"/>
    </row>
    <row r="2084" spans="5:10">
      <c r="E2084" s="11"/>
      <c r="G2084" s="12"/>
      <c r="H2084" s="12"/>
      <c r="J2084" s="11"/>
    </row>
    <row r="2085" spans="5:10">
      <c r="E2085" s="11"/>
      <c r="G2085" s="12"/>
      <c r="H2085" s="12"/>
      <c r="J2085" s="11"/>
    </row>
    <row r="2086" spans="5:10">
      <c r="E2086" s="11"/>
      <c r="G2086" s="12"/>
      <c r="H2086" s="12"/>
      <c r="J2086" s="11"/>
    </row>
    <row r="2087" spans="5:10">
      <c r="E2087" s="11"/>
      <c r="G2087" s="12"/>
      <c r="H2087" s="12"/>
      <c r="J2087" s="11"/>
    </row>
    <row r="2088" spans="5:10">
      <c r="E2088" s="11"/>
      <c r="G2088" s="12"/>
      <c r="H2088" s="12"/>
      <c r="J2088" s="11"/>
    </row>
    <row r="2089" spans="5:10">
      <c r="E2089" s="11"/>
      <c r="G2089" s="12"/>
      <c r="H2089" s="12"/>
      <c r="J2089" s="11"/>
    </row>
    <row r="2090" spans="5:10">
      <c r="E2090" s="11"/>
      <c r="G2090" s="12"/>
      <c r="H2090" s="12"/>
      <c r="J2090" s="11"/>
    </row>
    <row r="2091" spans="5:10">
      <c r="E2091" s="11"/>
      <c r="G2091" s="12"/>
      <c r="H2091" s="12"/>
      <c r="J2091" s="11"/>
    </row>
    <row r="2092" spans="5:10">
      <c r="E2092" s="11"/>
      <c r="G2092" s="12"/>
      <c r="H2092" s="12"/>
      <c r="J2092" s="11"/>
    </row>
    <row r="2093" spans="5:10">
      <c r="E2093" s="11"/>
      <c r="G2093" s="12"/>
      <c r="H2093" s="12"/>
      <c r="J2093" s="11"/>
    </row>
    <row r="2094" spans="5:10">
      <c r="E2094" s="11"/>
      <c r="G2094" s="12"/>
      <c r="H2094" s="12"/>
      <c r="J2094" s="11"/>
    </row>
    <row r="2095" spans="5:10">
      <c r="E2095" s="11"/>
      <c r="G2095" s="12"/>
      <c r="H2095" s="12"/>
      <c r="J2095" s="11"/>
    </row>
    <row r="2096" spans="5:10">
      <c r="E2096" s="11"/>
      <c r="G2096" s="12"/>
      <c r="H2096" s="12"/>
      <c r="J2096" s="11"/>
    </row>
    <row r="2097" spans="5:10">
      <c r="E2097" s="11"/>
      <c r="G2097" s="12"/>
      <c r="H2097" s="12"/>
      <c r="J2097" s="11"/>
    </row>
    <row r="2098" spans="5:10">
      <c r="E2098" s="11"/>
      <c r="G2098" s="12"/>
      <c r="H2098" s="12"/>
      <c r="J2098" s="11"/>
    </row>
    <row r="2099" spans="5:10">
      <c r="E2099" s="11"/>
      <c r="G2099" s="12"/>
      <c r="H2099" s="12"/>
      <c r="J2099" s="11"/>
    </row>
    <row r="2100" spans="5:10">
      <c r="E2100" s="11"/>
      <c r="G2100" s="12"/>
      <c r="H2100" s="12"/>
      <c r="J2100" s="11"/>
    </row>
    <row r="2101" spans="5:10">
      <c r="E2101" s="11"/>
      <c r="G2101" s="12"/>
      <c r="H2101" s="12"/>
      <c r="J2101" s="11"/>
    </row>
    <row r="2102" spans="5:10">
      <c r="E2102" s="11"/>
      <c r="G2102" s="12"/>
      <c r="H2102" s="12"/>
      <c r="J2102" s="11"/>
    </row>
    <row r="2103" spans="5:10">
      <c r="E2103" s="11"/>
      <c r="G2103" s="12"/>
      <c r="H2103" s="12"/>
      <c r="J2103" s="11"/>
    </row>
    <row r="2104" spans="5:10">
      <c r="E2104" s="11"/>
      <c r="G2104" s="12"/>
      <c r="H2104" s="12"/>
      <c r="J2104" s="11"/>
    </row>
    <row r="2105" spans="5:10">
      <c r="E2105" s="11"/>
      <c r="G2105" s="12"/>
      <c r="H2105" s="12"/>
      <c r="J2105" s="11"/>
    </row>
    <row r="2106" spans="5:10">
      <c r="E2106" s="11"/>
      <c r="G2106" s="12"/>
      <c r="H2106" s="12"/>
      <c r="J2106" s="11"/>
    </row>
    <row r="2107" spans="5:10">
      <c r="E2107" s="11"/>
      <c r="G2107" s="12"/>
      <c r="H2107" s="12"/>
      <c r="J2107" s="11"/>
    </row>
    <row r="2108" spans="5:10">
      <c r="E2108" s="11"/>
      <c r="G2108" s="12"/>
      <c r="H2108" s="12"/>
      <c r="J2108" s="11"/>
    </row>
    <row r="2109" spans="5:10">
      <c r="E2109" s="11"/>
      <c r="G2109" s="12"/>
      <c r="H2109" s="12"/>
      <c r="J2109" s="11"/>
    </row>
    <row r="2110" spans="5:10">
      <c r="E2110" s="11"/>
      <c r="G2110" s="12"/>
      <c r="H2110" s="12"/>
      <c r="J2110" s="11"/>
    </row>
    <row r="2111" spans="5:10">
      <c r="E2111" s="11"/>
      <c r="G2111" s="12"/>
      <c r="H2111" s="12"/>
      <c r="J2111" s="11"/>
    </row>
    <row r="2112" spans="5:10">
      <c r="E2112" s="11"/>
      <c r="G2112" s="12"/>
      <c r="H2112" s="12"/>
      <c r="J2112" s="11"/>
    </row>
    <row r="2113" spans="5:10">
      <c r="E2113" s="11"/>
      <c r="G2113" s="12"/>
      <c r="H2113" s="12"/>
      <c r="J2113" s="11"/>
    </row>
    <row r="2114" spans="5:10">
      <c r="E2114" s="11"/>
      <c r="G2114" s="12"/>
      <c r="H2114" s="12"/>
      <c r="J2114" s="11"/>
    </row>
    <row r="2115" spans="5:10">
      <c r="E2115" s="11"/>
      <c r="G2115" s="12"/>
      <c r="H2115" s="12"/>
      <c r="J2115" s="11"/>
    </row>
    <row r="2116" spans="5:10">
      <c r="E2116" s="11"/>
      <c r="G2116" s="12"/>
      <c r="H2116" s="12"/>
      <c r="J2116" s="11"/>
    </row>
    <row r="2117" spans="5:10">
      <c r="E2117" s="11"/>
      <c r="G2117" s="12"/>
      <c r="H2117" s="12"/>
      <c r="J2117" s="11"/>
    </row>
    <row r="2118" spans="5:10">
      <c r="E2118" s="11"/>
      <c r="G2118" s="12"/>
      <c r="H2118" s="12"/>
      <c r="J2118" s="11"/>
    </row>
    <row r="2119" spans="5:10">
      <c r="E2119" s="11"/>
      <c r="G2119" s="12"/>
      <c r="H2119" s="12"/>
      <c r="J2119" s="11"/>
    </row>
    <row r="2120" spans="5:10">
      <c r="E2120" s="11"/>
      <c r="G2120" s="12"/>
      <c r="H2120" s="12"/>
      <c r="J2120" s="11"/>
    </row>
    <row r="2121" spans="5:10">
      <c r="E2121" s="11"/>
      <c r="G2121" s="12"/>
      <c r="H2121" s="12"/>
      <c r="J2121" s="11"/>
    </row>
    <row r="2122" spans="5:10">
      <c r="E2122" s="11"/>
      <c r="G2122" s="12"/>
      <c r="H2122" s="12"/>
      <c r="J2122" s="11"/>
    </row>
    <row r="2123" spans="5:10">
      <c r="E2123" s="11"/>
      <c r="G2123" s="12"/>
      <c r="H2123" s="12"/>
      <c r="J2123" s="11"/>
    </row>
    <row r="2124" spans="5:10">
      <c r="E2124" s="11"/>
      <c r="G2124" s="12"/>
      <c r="H2124" s="12"/>
      <c r="J2124" s="11"/>
    </row>
    <row r="2125" spans="5:10">
      <c r="E2125" s="11"/>
      <c r="G2125" s="12"/>
      <c r="H2125" s="12"/>
      <c r="J2125" s="11"/>
    </row>
    <row r="2126" spans="5:10">
      <c r="E2126" s="11"/>
      <c r="G2126" s="12"/>
      <c r="H2126" s="12"/>
      <c r="J2126" s="11"/>
    </row>
    <row r="2127" spans="5:10">
      <c r="E2127" s="11"/>
      <c r="G2127" s="12"/>
      <c r="H2127" s="12"/>
      <c r="J2127" s="11"/>
    </row>
    <row r="2128" spans="5:10">
      <c r="E2128" s="11"/>
      <c r="G2128" s="12"/>
      <c r="H2128" s="12"/>
      <c r="J2128" s="11"/>
    </row>
    <row r="2129" spans="5:10">
      <c r="E2129" s="11"/>
      <c r="G2129" s="12"/>
      <c r="H2129" s="12"/>
      <c r="J2129" s="11"/>
    </row>
    <row r="2130" spans="5:10">
      <c r="E2130" s="11"/>
      <c r="G2130" s="12"/>
      <c r="H2130" s="12"/>
      <c r="J2130" s="11"/>
    </row>
    <row r="2131" spans="5:10">
      <c r="E2131" s="11"/>
      <c r="G2131" s="12"/>
      <c r="H2131" s="12"/>
      <c r="J2131" s="11"/>
    </row>
    <row r="2132" spans="5:10">
      <c r="E2132" s="11"/>
      <c r="G2132" s="12"/>
      <c r="H2132" s="12"/>
      <c r="J2132" s="11"/>
    </row>
    <row r="2133" spans="5:10">
      <c r="E2133" s="11"/>
      <c r="G2133" s="12"/>
      <c r="H2133" s="12"/>
      <c r="J2133" s="11"/>
    </row>
    <row r="2134" spans="5:10">
      <c r="E2134" s="11"/>
      <c r="G2134" s="12"/>
      <c r="H2134" s="12"/>
      <c r="J2134" s="11"/>
    </row>
    <row r="2135" spans="5:10">
      <c r="E2135" s="11"/>
      <c r="G2135" s="12"/>
      <c r="H2135" s="12"/>
      <c r="J2135" s="11"/>
    </row>
    <row r="2136" spans="5:10">
      <c r="E2136" s="11"/>
      <c r="G2136" s="12"/>
      <c r="H2136" s="12"/>
      <c r="J2136" s="11"/>
    </row>
    <row r="2137" spans="5:10">
      <c r="E2137" s="11"/>
      <c r="G2137" s="12"/>
      <c r="H2137" s="12"/>
      <c r="J2137" s="11"/>
    </row>
    <row r="2138" spans="5:10">
      <c r="E2138" s="11"/>
      <c r="G2138" s="12"/>
      <c r="H2138" s="12"/>
      <c r="J2138" s="11"/>
    </row>
    <row r="2139" spans="5:10">
      <c r="E2139" s="11"/>
      <c r="G2139" s="12"/>
      <c r="H2139" s="12"/>
      <c r="J2139" s="11"/>
    </row>
    <row r="2140" spans="5:10">
      <c r="E2140" s="11"/>
      <c r="G2140" s="12"/>
      <c r="H2140" s="12"/>
      <c r="J2140" s="11"/>
    </row>
    <row r="2141" spans="5:10">
      <c r="E2141" s="11"/>
      <c r="G2141" s="12"/>
      <c r="H2141" s="12"/>
      <c r="J2141" s="11"/>
    </row>
    <row r="2142" spans="5:10">
      <c r="E2142" s="11"/>
      <c r="G2142" s="12"/>
      <c r="H2142" s="12"/>
      <c r="J2142" s="11"/>
    </row>
    <row r="2143" spans="5:10">
      <c r="E2143" s="11"/>
      <c r="G2143" s="12"/>
      <c r="H2143" s="12"/>
      <c r="J2143" s="11"/>
    </row>
    <row r="2144" spans="5:10">
      <c r="E2144" s="11"/>
      <c r="G2144" s="12"/>
      <c r="H2144" s="12"/>
      <c r="J2144" s="11"/>
    </row>
    <row r="2145" spans="5:10">
      <c r="E2145" s="11"/>
      <c r="G2145" s="12"/>
      <c r="H2145" s="12"/>
      <c r="J2145" s="11"/>
    </row>
    <row r="2146" spans="5:10">
      <c r="E2146" s="11"/>
      <c r="G2146" s="12"/>
      <c r="H2146" s="12"/>
      <c r="J2146" s="11"/>
    </row>
    <row r="2147" spans="5:10">
      <c r="E2147" s="11"/>
      <c r="G2147" s="12"/>
      <c r="H2147" s="12"/>
      <c r="J2147" s="11"/>
    </row>
    <row r="2148" spans="5:10">
      <c r="E2148" s="11"/>
      <c r="G2148" s="12"/>
      <c r="H2148" s="12"/>
      <c r="J2148" s="11"/>
    </row>
    <row r="2149" spans="5:10">
      <c r="E2149" s="11"/>
      <c r="G2149" s="12"/>
      <c r="H2149" s="12"/>
      <c r="J2149" s="11"/>
    </row>
    <row r="2150" spans="5:10">
      <c r="E2150" s="11"/>
      <c r="G2150" s="12"/>
      <c r="H2150" s="12"/>
      <c r="J2150" s="11"/>
    </row>
    <row r="2151" spans="5:10">
      <c r="E2151" s="11"/>
      <c r="G2151" s="12"/>
      <c r="H2151" s="12"/>
      <c r="J2151" s="11"/>
    </row>
    <row r="2152" spans="5:10">
      <c r="E2152" s="11"/>
      <c r="G2152" s="12"/>
      <c r="H2152" s="12"/>
      <c r="J2152" s="11"/>
    </row>
    <row r="2153" spans="5:10">
      <c r="E2153" s="11"/>
      <c r="G2153" s="12"/>
      <c r="H2153" s="12"/>
      <c r="J2153" s="11"/>
    </row>
    <row r="2154" spans="5:10">
      <c r="E2154" s="11"/>
      <c r="G2154" s="12"/>
      <c r="H2154" s="12"/>
      <c r="J2154" s="11"/>
    </row>
    <row r="2155" spans="5:10">
      <c r="E2155" s="11"/>
      <c r="G2155" s="12"/>
      <c r="H2155" s="12"/>
      <c r="J2155" s="11"/>
    </row>
    <row r="2156" spans="5:10">
      <c r="E2156" s="11"/>
      <c r="G2156" s="12"/>
      <c r="H2156" s="12"/>
      <c r="J2156" s="11"/>
    </row>
    <row r="2157" spans="5:10">
      <c r="E2157" s="11"/>
      <c r="G2157" s="12"/>
      <c r="H2157" s="12"/>
      <c r="J2157" s="11"/>
    </row>
    <row r="2158" spans="5:10">
      <c r="E2158" s="11"/>
      <c r="G2158" s="12"/>
      <c r="H2158" s="12"/>
      <c r="J2158" s="11"/>
    </row>
    <row r="2159" spans="5:10">
      <c r="E2159" s="11"/>
      <c r="G2159" s="12"/>
      <c r="H2159" s="12"/>
      <c r="J2159" s="11"/>
    </row>
    <row r="2160" spans="5:10">
      <c r="E2160" s="11"/>
      <c r="G2160" s="12"/>
      <c r="H2160" s="12"/>
      <c r="J2160" s="11"/>
    </row>
    <row r="2161" spans="5:10">
      <c r="E2161" s="11"/>
      <c r="G2161" s="12"/>
      <c r="H2161" s="12"/>
      <c r="J2161" s="11"/>
    </row>
    <row r="2162" spans="5:10">
      <c r="E2162" s="11"/>
      <c r="G2162" s="12"/>
      <c r="H2162" s="12"/>
      <c r="J2162" s="11"/>
    </row>
    <row r="2163" spans="5:10">
      <c r="E2163" s="11"/>
      <c r="G2163" s="12"/>
      <c r="H2163" s="12"/>
      <c r="J2163" s="11"/>
    </row>
    <row r="2164" spans="5:10">
      <c r="E2164" s="11"/>
      <c r="G2164" s="12"/>
      <c r="H2164" s="12"/>
      <c r="J2164" s="11"/>
    </row>
    <row r="2165" spans="5:10">
      <c r="E2165" s="11"/>
      <c r="G2165" s="12"/>
      <c r="H2165" s="12"/>
      <c r="J2165" s="11"/>
    </row>
    <row r="2166" spans="5:10">
      <c r="E2166" s="11"/>
      <c r="G2166" s="12"/>
      <c r="H2166" s="12"/>
      <c r="J2166" s="11"/>
    </row>
    <row r="2167" spans="5:10">
      <c r="E2167" s="11"/>
      <c r="G2167" s="12"/>
      <c r="H2167" s="12"/>
      <c r="J2167" s="11"/>
    </row>
    <row r="2168" spans="5:10">
      <c r="E2168" s="11"/>
      <c r="G2168" s="12"/>
      <c r="H2168" s="12"/>
      <c r="J2168" s="11"/>
    </row>
    <row r="2169" spans="5:10">
      <c r="E2169" s="11"/>
      <c r="G2169" s="12"/>
      <c r="H2169" s="12"/>
      <c r="J2169" s="11"/>
    </row>
    <row r="2170" spans="5:10">
      <c r="E2170" s="11"/>
      <c r="G2170" s="12"/>
      <c r="H2170" s="12"/>
      <c r="J2170" s="11"/>
    </row>
    <row r="2171" spans="5:10">
      <c r="E2171" s="11"/>
      <c r="G2171" s="12"/>
      <c r="H2171" s="12"/>
      <c r="J2171" s="11"/>
    </row>
    <row r="2172" spans="5:10">
      <c r="E2172" s="11"/>
      <c r="G2172" s="12"/>
      <c r="H2172" s="12"/>
      <c r="J2172" s="11"/>
    </row>
    <row r="2173" spans="5:10">
      <c r="E2173" s="11"/>
      <c r="G2173" s="12"/>
      <c r="H2173" s="12"/>
      <c r="J2173" s="11"/>
    </row>
    <row r="2174" spans="5:10">
      <c r="E2174" s="11"/>
      <c r="G2174" s="12"/>
      <c r="H2174" s="12"/>
      <c r="J2174" s="11"/>
    </row>
    <row r="2175" spans="5:10">
      <c r="E2175" s="11"/>
      <c r="G2175" s="12"/>
      <c r="H2175" s="12"/>
      <c r="J2175" s="11"/>
    </row>
    <row r="2176" spans="5:10">
      <c r="E2176" s="11"/>
      <c r="G2176" s="12"/>
      <c r="H2176" s="12"/>
      <c r="J2176" s="11"/>
    </row>
    <row r="2177" spans="5:10">
      <c r="E2177" s="11"/>
      <c r="G2177" s="12"/>
      <c r="H2177" s="12"/>
      <c r="J2177" s="11"/>
    </row>
    <row r="2178" spans="5:10">
      <c r="E2178" s="11"/>
      <c r="G2178" s="12"/>
      <c r="H2178" s="12"/>
      <c r="J2178" s="11"/>
    </row>
    <row r="2179" spans="5:10">
      <c r="E2179" s="11"/>
      <c r="G2179" s="12"/>
      <c r="H2179" s="12"/>
      <c r="J2179" s="11"/>
    </row>
    <row r="2180" spans="5:10">
      <c r="E2180" s="11"/>
      <c r="G2180" s="12"/>
      <c r="H2180" s="12"/>
      <c r="J2180" s="11"/>
    </row>
    <row r="2181" spans="5:10">
      <c r="E2181" s="11"/>
      <c r="G2181" s="12"/>
      <c r="H2181" s="12"/>
      <c r="J2181" s="11"/>
    </row>
    <row r="2182" spans="5:10">
      <c r="E2182" s="11"/>
      <c r="G2182" s="12"/>
      <c r="H2182" s="12"/>
      <c r="J2182" s="11"/>
    </row>
    <row r="2183" spans="5:10">
      <c r="E2183" s="11"/>
      <c r="G2183" s="12"/>
      <c r="H2183" s="12"/>
      <c r="J2183" s="11"/>
    </row>
    <row r="2184" spans="5:10">
      <c r="E2184" s="11"/>
      <c r="G2184" s="12"/>
      <c r="H2184" s="12"/>
      <c r="J2184" s="11"/>
    </row>
    <row r="2185" spans="5:10">
      <c r="E2185" s="11"/>
      <c r="G2185" s="12"/>
      <c r="H2185" s="12"/>
      <c r="J2185" s="11"/>
    </row>
    <row r="2186" spans="5:10">
      <c r="E2186" s="11"/>
      <c r="G2186" s="12"/>
      <c r="H2186" s="12"/>
      <c r="J2186" s="11"/>
    </row>
    <row r="2187" spans="5:10">
      <c r="E2187" s="11"/>
      <c r="G2187" s="12"/>
      <c r="H2187" s="12"/>
      <c r="J2187" s="11"/>
    </row>
    <row r="2188" spans="5:10">
      <c r="E2188" s="11"/>
      <c r="G2188" s="12"/>
      <c r="H2188" s="12"/>
      <c r="J2188" s="11"/>
    </row>
    <row r="2189" spans="5:10">
      <c r="E2189" s="11"/>
      <c r="G2189" s="12"/>
      <c r="H2189" s="12"/>
      <c r="J2189" s="11"/>
    </row>
    <row r="2190" spans="5:10">
      <c r="E2190" s="11"/>
      <c r="G2190" s="12"/>
      <c r="H2190" s="12"/>
      <c r="J2190" s="11"/>
    </row>
    <row r="2191" spans="5:10">
      <c r="E2191" s="11"/>
      <c r="G2191" s="12"/>
      <c r="H2191" s="12"/>
      <c r="J2191" s="11"/>
    </row>
    <row r="2192" spans="5:10">
      <c r="E2192" s="11"/>
      <c r="G2192" s="12"/>
      <c r="H2192" s="12"/>
      <c r="J2192" s="11"/>
    </row>
    <row r="2193" spans="5:10">
      <c r="E2193" s="11"/>
      <c r="G2193" s="12"/>
      <c r="H2193" s="12"/>
      <c r="J2193" s="11"/>
    </row>
    <row r="2194" spans="5:10">
      <c r="E2194" s="11"/>
      <c r="G2194" s="12"/>
      <c r="H2194" s="12"/>
      <c r="J2194" s="11"/>
    </row>
    <row r="2195" spans="5:10">
      <c r="E2195" s="11"/>
      <c r="G2195" s="12"/>
      <c r="H2195" s="12"/>
      <c r="J2195" s="11"/>
    </row>
    <row r="2196" spans="5:10">
      <c r="E2196" s="11"/>
      <c r="G2196" s="12"/>
      <c r="H2196" s="12"/>
      <c r="J2196" s="11"/>
    </row>
    <row r="2197" spans="5:10">
      <c r="E2197" s="11"/>
      <c r="G2197" s="12"/>
      <c r="H2197" s="12"/>
      <c r="J2197" s="11"/>
    </row>
    <row r="2198" spans="5:10">
      <c r="E2198" s="11"/>
      <c r="G2198" s="12"/>
      <c r="H2198" s="12"/>
      <c r="J2198" s="11"/>
    </row>
    <row r="2199" spans="5:10">
      <c r="E2199" s="11"/>
      <c r="G2199" s="12"/>
      <c r="H2199" s="12"/>
      <c r="J2199" s="11"/>
    </row>
    <row r="2200" spans="5:10">
      <c r="E2200" s="11"/>
      <c r="G2200" s="12"/>
      <c r="H2200" s="12"/>
      <c r="J2200" s="11"/>
    </row>
    <row r="2201" spans="5:10">
      <c r="E2201" s="11"/>
      <c r="G2201" s="12"/>
      <c r="H2201" s="12"/>
      <c r="J2201" s="11"/>
    </row>
    <row r="2202" spans="5:10">
      <c r="E2202" s="11"/>
      <c r="G2202" s="12"/>
      <c r="H2202" s="12"/>
      <c r="J2202" s="11"/>
    </row>
    <row r="2203" spans="5:10">
      <c r="E2203" s="11"/>
      <c r="G2203" s="12"/>
      <c r="H2203" s="12"/>
      <c r="J2203" s="11"/>
    </row>
    <row r="2204" spans="5:10">
      <c r="E2204" s="11"/>
      <c r="G2204" s="12"/>
      <c r="H2204" s="12"/>
      <c r="J2204" s="11"/>
    </row>
    <row r="2205" spans="5:10">
      <c r="E2205" s="11"/>
      <c r="G2205" s="12"/>
      <c r="H2205" s="12"/>
      <c r="J2205" s="11"/>
    </row>
    <row r="2206" spans="5:10">
      <c r="E2206" s="11"/>
      <c r="G2206" s="12"/>
      <c r="H2206" s="12"/>
      <c r="J2206" s="11"/>
    </row>
    <row r="2207" spans="5:10">
      <c r="E2207" s="11"/>
      <c r="G2207" s="12"/>
      <c r="H2207" s="12"/>
      <c r="J2207" s="11"/>
    </row>
    <row r="2208" spans="5:10">
      <c r="E2208" s="11"/>
      <c r="G2208" s="12"/>
      <c r="H2208" s="12"/>
      <c r="J2208" s="11"/>
    </row>
    <row r="2209" spans="5:10">
      <c r="E2209" s="11"/>
      <c r="G2209" s="12"/>
      <c r="H2209" s="12"/>
      <c r="J2209" s="11"/>
    </row>
    <row r="2210" spans="5:10">
      <c r="E2210" s="11"/>
      <c r="G2210" s="12"/>
      <c r="H2210" s="12"/>
      <c r="J2210" s="11"/>
    </row>
    <row r="2211" spans="5:10">
      <c r="E2211" s="11"/>
      <c r="G2211" s="12"/>
      <c r="H2211" s="12"/>
      <c r="J2211" s="11"/>
    </row>
    <row r="2212" spans="5:10">
      <c r="E2212" s="11"/>
      <c r="G2212" s="12"/>
      <c r="H2212" s="12"/>
      <c r="J2212" s="11"/>
    </row>
    <row r="2213" spans="5:10">
      <c r="E2213" s="11"/>
      <c r="G2213" s="12"/>
      <c r="H2213" s="12"/>
      <c r="J2213" s="11"/>
    </row>
    <row r="2214" spans="5:10">
      <c r="E2214" s="11"/>
      <c r="G2214" s="12"/>
      <c r="H2214" s="12"/>
      <c r="J2214" s="11"/>
    </row>
    <row r="2215" spans="5:10">
      <c r="E2215" s="11"/>
      <c r="G2215" s="12"/>
      <c r="H2215" s="12"/>
      <c r="J2215" s="11"/>
    </row>
    <row r="2216" spans="5:10">
      <c r="E2216" s="11"/>
      <c r="G2216" s="12"/>
      <c r="H2216" s="12"/>
      <c r="J2216" s="11"/>
    </row>
    <row r="2217" spans="5:10">
      <c r="E2217" s="11"/>
      <c r="G2217" s="12"/>
      <c r="H2217" s="12"/>
      <c r="J2217" s="11"/>
    </row>
    <row r="2218" spans="5:10">
      <c r="E2218" s="11"/>
      <c r="G2218" s="12"/>
      <c r="H2218" s="12"/>
      <c r="J2218" s="11"/>
    </row>
    <row r="2219" spans="5:10">
      <c r="E2219" s="11"/>
      <c r="G2219" s="12"/>
      <c r="H2219" s="12"/>
      <c r="J2219" s="11"/>
    </row>
    <row r="2220" spans="5:10">
      <c r="E2220" s="11"/>
      <c r="G2220" s="12"/>
      <c r="H2220" s="12"/>
      <c r="J2220" s="11"/>
    </row>
    <row r="2221" spans="5:10">
      <c r="E2221" s="11"/>
      <c r="G2221" s="12"/>
      <c r="H2221" s="12"/>
      <c r="J2221" s="11"/>
    </row>
    <row r="2222" spans="5:10">
      <c r="E2222" s="11"/>
      <c r="G2222" s="12"/>
      <c r="H2222" s="12"/>
      <c r="J2222" s="11"/>
    </row>
    <row r="2223" spans="5:10">
      <c r="E2223" s="11"/>
      <c r="G2223" s="12"/>
      <c r="H2223" s="12"/>
      <c r="J2223" s="11"/>
    </row>
    <row r="2224" spans="5:10">
      <c r="E2224" s="11"/>
      <c r="G2224" s="12"/>
      <c r="H2224" s="12"/>
      <c r="J2224" s="11"/>
    </row>
    <row r="2225" spans="5:10">
      <c r="E2225" s="11"/>
      <c r="G2225" s="12"/>
      <c r="H2225" s="12"/>
      <c r="J2225" s="11"/>
    </row>
    <row r="2226" spans="5:10">
      <c r="E2226" s="11"/>
      <c r="G2226" s="12"/>
      <c r="H2226" s="12"/>
      <c r="J2226" s="11"/>
    </row>
    <row r="2227" spans="5:10">
      <c r="E2227" s="11"/>
      <c r="G2227" s="12"/>
      <c r="H2227" s="12"/>
      <c r="J2227" s="11"/>
    </row>
    <row r="2228" spans="5:10">
      <c r="E2228" s="11"/>
      <c r="G2228" s="12"/>
      <c r="H2228" s="12"/>
      <c r="J2228" s="11"/>
    </row>
    <row r="2229" spans="5:10">
      <c r="E2229" s="11"/>
      <c r="G2229" s="12"/>
      <c r="H2229" s="12"/>
      <c r="J2229" s="11"/>
    </row>
    <row r="2230" spans="5:10">
      <c r="E2230" s="11"/>
      <c r="G2230" s="12"/>
      <c r="H2230" s="12"/>
      <c r="J2230" s="11"/>
    </row>
    <row r="2231" spans="5:10">
      <c r="E2231" s="11"/>
      <c r="G2231" s="12"/>
      <c r="H2231" s="12"/>
      <c r="J2231" s="11"/>
    </row>
    <row r="2232" spans="5:10">
      <c r="E2232" s="11"/>
      <c r="G2232" s="12"/>
      <c r="H2232" s="12"/>
      <c r="J2232" s="11"/>
    </row>
    <row r="2233" spans="5:10">
      <c r="E2233" s="11"/>
      <c r="G2233" s="12"/>
      <c r="H2233" s="12"/>
      <c r="J2233" s="11"/>
    </row>
    <row r="2234" spans="5:10">
      <c r="E2234" s="11"/>
      <c r="G2234" s="12"/>
      <c r="H2234" s="12"/>
      <c r="J2234" s="11"/>
    </row>
    <row r="2235" spans="5:10">
      <c r="E2235" s="11"/>
      <c r="G2235" s="12"/>
      <c r="H2235" s="12"/>
      <c r="J2235" s="11"/>
    </row>
    <row r="2236" spans="5:10">
      <c r="E2236" s="11"/>
      <c r="G2236" s="12"/>
      <c r="H2236" s="12"/>
      <c r="J2236" s="11"/>
    </row>
    <row r="2237" spans="5:10">
      <c r="E2237" s="11"/>
      <c r="G2237" s="12"/>
      <c r="H2237" s="12"/>
      <c r="J2237" s="11"/>
    </row>
    <row r="2238" spans="5:10">
      <c r="E2238" s="11"/>
      <c r="G2238" s="12"/>
      <c r="H2238" s="12"/>
      <c r="J2238" s="11"/>
    </row>
    <row r="2239" spans="5:10">
      <c r="E2239" s="11"/>
      <c r="G2239" s="12"/>
      <c r="H2239" s="12"/>
      <c r="J2239" s="11"/>
    </row>
    <row r="2240" spans="5:10">
      <c r="E2240" s="11"/>
      <c r="G2240" s="12"/>
      <c r="H2240" s="12"/>
      <c r="J2240" s="11"/>
    </row>
    <row r="2241" spans="5:10">
      <c r="E2241" s="11"/>
      <c r="G2241" s="12"/>
      <c r="H2241" s="12"/>
      <c r="J2241" s="11"/>
    </row>
    <row r="2242" spans="5:10">
      <c r="E2242" s="11"/>
      <c r="G2242" s="12"/>
      <c r="H2242" s="12"/>
      <c r="J2242" s="11"/>
    </row>
    <row r="2243" spans="5:10">
      <c r="E2243" s="11"/>
      <c r="G2243" s="12"/>
      <c r="H2243" s="12"/>
      <c r="J2243" s="11"/>
    </row>
    <row r="2244" spans="5:10">
      <c r="E2244" s="11"/>
      <c r="G2244" s="12"/>
      <c r="H2244" s="12"/>
      <c r="J2244" s="11"/>
    </row>
    <row r="2245" spans="5:10">
      <c r="E2245" s="11"/>
      <c r="G2245" s="12"/>
      <c r="H2245" s="12"/>
      <c r="J2245" s="11"/>
    </row>
    <row r="2246" spans="5:10">
      <c r="E2246" s="11"/>
      <c r="G2246" s="12"/>
      <c r="H2246" s="12"/>
      <c r="J2246" s="11"/>
    </row>
    <row r="2247" spans="5:10">
      <c r="E2247" s="11"/>
      <c r="G2247" s="12"/>
      <c r="H2247" s="12"/>
      <c r="J2247" s="11"/>
    </row>
    <row r="2248" spans="5:10">
      <c r="E2248" s="11"/>
      <c r="G2248" s="12"/>
      <c r="H2248" s="12"/>
      <c r="J2248" s="11"/>
    </row>
    <row r="2249" spans="5:10">
      <c r="E2249" s="11"/>
      <c r="G2249" s="12"/>
      <c r="H2249" s="12"/>
      <c r="J2249" s="11"/>
    </row>
    <row r="2250" spans="5:10">
      <c r="E2250" s="11"/>
      <c r="G2250" s="12"/>
      <c r="H2250" s="12"/>
      <c r="J2250" s="11"/>
    </row>
    <row r="2251" spans="5:10">
      <c r="E2251" s="11"/>
      <c r="G2251" s="12"/>
      <c r="H2251" s="12"/>
      <c r="J2251" s="11"/>
    </row>
    <row r="2252" spans="5:10">
      <c r="E2252" s="11"/>
      <c r="G2252" s="12"/>
      <c r="H2252" s="12"/>
      <c r="J2252" s="11"/>
    </row>
    <row r="2253" spans="5:10">
      <c r="E2253" s="11"/>
      <c r="G2253" s="12"/>
      <c r="H2253" s="12"/>
      <c r="J2253" s="11"/>
    </row>
    <row r="2254" spans="5:10">
      <c r="E2254" s="11"/>
      <c r="G2254" s="12"/>
      <c r="H2254" s="12"/>
      <c r="J2254" s="11"/>
    </row>
    <row r="2255" spans="5:10">
      <c r="E2255" s="11"/>
      <c r="G2255" s="12"/>
      <c r="H2255" s="12"/>
      <c r="J2255" s="11"/>
    </row>
    <row r="2256" spans="5:10">
      <c r="E2256" s="11"/>
      <c r="G2256" s="12"/>
      <c r="H2256" s="12"/>
      <c r="J2256" s="11"/>
    </row>
    <row r="2257" spans="5:10">
      <c r="E2257" s="11"/>
      <c r="G2257" s="12"/>
      <c r="H2257" s="12"/>
      <c r="J2257" s="11"/>
    </row>
    <row r="2258" spans="5:10">
      <c r="E2258" s="11"/>
      <c r="G2258" s="12"/>
      <c r="H2258" s="12"/>
      <c r="J2258" s="11"/>
    </row>
    <row r="2259" spans="5:10">
      <c r="E2259" s="11"/>
      <c r="G2259" s="12"/>
      <c r="H2259" s="12"/>
      <c r="J2259" s="11"/>
    </row>
    <row r="2260" spans="5:10">
      <c r="E2260" s="11"/>
      <c r="G2260" s="12"/>
      <c r="H2260" s="12"/>
      <c r="J2260" s="11"/>
    </row>
    <row r="2261" spans="5:10">
      <c r="E2261" s="11"/>
      <c r="G2261" s="12"/>
      <c r="H2261" s="12"/>
      <c r="J2261" s="11"/>
    </row>
    <row r="2262" spans="5:10">
      <c r="E2262" s="11"/>
      <c r="G2262" s="12"/>
      <c r="H2262" s="12"/>
      <c r="J2262" s="11"/>
    </row>
    <row r="2263" spans="5:10">
      <c r="E2263" s="11"/>
      <c r="G2263" s="12"/>
      <c r="H2263" s="12"/>
      <c r="J2263" s="11"/>
    </row>
    <row r="2264" spans="5:10">
      <c r="E2264" s="11"/>
      <c r="G2264" s="12"/>
      <c r="H2264" s="12"/>
      <c r="J2264" s="11"/>
    </row>
    <row r="2265" spans="5:10">
      <c r="E2265" s="11"/>
      <c r="G2265" s="12"/>
      <c r="H2265" s="12"/>
      <c r="J2265" s="11"/>
    </row>
    <row r="2266" spans="5:10">
      <c r="E2266" s="11"/>
      <c r="G2266" s="12"/>
      <c r="H2266" s="12"/>
      <c r="J2266" s="11"/>
    </row>
    <row r="2267" spans="5:10">
      <c r="E2267" s="11"/>
      <c r="G2267" s="12"/>
      <c r="H2267" s="12"/>
      <c r="J2267" s="11"/>
    </row>
    <row r="2268" spans="5:10">
      <c r="E2268" s="11"/>
      <c r="G2268" s="12"/>
      <c r="H2268" s="12"/>
      <c r="J2268" s="11"/>
    </row>
    <row r="2269" spans="5:10">
      <c r="E2269" s="11"/>
      <c r="G2269" s="12"/>
      <c r="H2269" s="12"/>
      <c r="J2269" s="11"/>
    </row>
    <row r="2270" spans="5:10">
      <c r="E2270" s="11"/>
      <c r="G2270" s="12"/>
      <c r="H2270" s="12"/>
      <c r="J2270" s="11"/>
    </row>
    <row r="2271" spans="5:10">
      <c r="E2271" s="11"/>
      <c r="G2271" s="12"/>
      <c r="H2271" s="12"/>
      <c r="J2271" s="11"/>
    </row>
    <row r="2272" spans="5:10">
      <c r="E2272" s="11"/>
      <c r="G2272" s="12"/>
      <c r="H2272" s="12"/>
      <c r="J2272" s="11"/>
    </row>
    <row r="2273" spans="5:10">
      <c r="E2273" s="11"/>
      <c r="G2273" s="12"/>
      <c r="H2273" s="12"/>
      <c r="J2273" s="11"/>
    </row>
    <row r="2274" spans="5:10">
      <c r="E2274" s="11"/>
      <c r="G2274" s="12"/>
      <c r="H2274" s="12"/>
      <c r="J2274" s="11"/>
    </row>
    <row r="2275" spans="5:10">
      <c r="E2275" s="11"/>
      <c r="G2275" s="12"/>
      <c r="H2275" s="12"/>
      <c r="J2275" s="11"/>
    </row>
    <row r="2276" spans="5:10">
      <c r="E2276" s="11"/>
      <c r="G2276" s="12"/>
      <c r="H2276" s="12"/>
      <c r="J2276" s="11"/>
    </row>
    <row r="2277" spans="5:10">
      <c r="E2277" s="11"/>
      <c r="G2277" s="12"/>
      <c r="H2277" s="12"/>
      <c r="J2277" s="11"/>
    </row>
    <row r="2278" spans="5:10">
      <c r="E2278" s="11"/>
      <c r="G2278" s="12"/>
      <c r="H2278" s="12"/>
      <c r="J2278" s="11"/>
    </row>
    <row r="2279" spans="5:10">
      <c r="E2279" s="11"/>
      <c r="G2279" s="12"/>
      <c r="H2279" s="12"/>
      <c r="J2279" s="11"/>
    </row>
    <row r="2280" spans="5:10">
      <c r="E2280" s="11"/>
      <c r="G2280" s="12"/>
      <c r="H2280" s="12"/>
      <c r="J2280" s="11"/>
    </row>
    <row r="2281" spans="5:10">
      <c r="E2281" s="11"/>
      <c r="G2281" s="12"/>
      <c r="H2281" s="12"/>
      <c r="J2281" s="11"/>
    </row>
    <row r="2282" spans="5:10">
      <c r="E2282" s="11"/>
      <c r="G2282" s="12"/>
      <c r="H2282" s="12"/>
      <c r="J2282" s="11"/>
    </row>
    <row r="2283" spans="5:10">
      <c r="E2283" s="11"/>
      <c r="G2283" s="12"/>
      <c r="H2283" s="12"/>
      <c r="J2283" s="11"/>
    </row>
    <row r="2284" spans="5:10">
      <c r="E2284" s="11"/>
      <c r="G2284" s="12"/>
      <c r="H2284" s="12"/>
      <c r="J2284" s="11"/>
    </row>
    <row r="2285" spans="5:10">
      <c r="E2285" s="11"/>
      <c r="G2285" s="12"/>
      <c r="H2285" s="12"/>
      <c r="J2285" s="11"/>
    </row>
    <row r="2286" spans="5:10">
      <c r="E2286" s="11"/>
      <c r="G2286" s="12"/>
      <c r="H2286" s="12"/>
      <c r="J2286" s="11"/>
    </row>
    <row r="2287" spans="5:10">
      <c r="E2287" s="11"/>
      <c r="G2287" s="12"/>
      <c r="H2287" s="12"/>
      <c r="J2287" s="11"/>
    </row>
    <row r="2288" spans="5:10">
      <c r="E2288" s="11"/>
      <c r="G2288" s="12"/>
      <c r="H2288" s="12"/>
      <c r="J2288" s="11"/>
    </row>
    <row r="2289" spans="5:10">
      <c r="E2289" s="11"/>
      <c r="G2289" s="12"/>
      <c r="H2289" s="12"/>
      <c r="J2289" s="11"/>
    </row>
    <row r="2290" spans="5:10">
      <c r="E2290" s="11"/>
      <c r="G2290" s="12"/>
      <c r="H2290" s="12"/>
      <c r="J2290" s="11"/>
    </row>
    <row r="2291" spans="5:10">
      <c r="E2291" s="11"/>
      <c r="G2291" s="12"/>
      <c r="H2291" s="12"/>
      <c r="J2291" s="11"/>
    </row>
    <row r="2292" spans="5:10">
      <c r="E2292" s="11"/>
      <c r="G2292" s="12"/>
      <c r="H2292" s="12"/>
      <c r="J2292" s="11"/>
    </row>
    <row r="2293" spans="5:10">
      <c r="E2293" s="11"/>
      <c r="G2293" s="12"/>
      <c r="H2293" s="12"/>
      <c r="J2293" s="11"/>
    </row>
    <row r="2294" spans="5:10">
      <c r="E2294" s="11"/>
      <c r="G2294" s="12"/>
      <c r="H2294" s="12"/>
      <c r="J2294" s="11"/>
    </row>
    <row r="2295" spans="5:10">
      <c r="E2295" s="11"/>
      <c r="G2295" s="12"/>
      <c r="H2295" s="12"/>
      <c r="J2295" s="11"/>
    </row>
    <row r="2296" spans="5:10">
      <c r="E2296" s="11"/>
      <c r="G2296" s="12"/>
      <c r="H2296" s="12"/>
      <c r="J2296" s="11"/>
    </row>
    <row r="2297" spans="5:10">
      <c r="E2297" s="11"/>
      <c r="G2297" s="12"/>
      <c r="H2297" s="12"/>
      <c r="J2297" s="11"/>
    </row>
    <row r="2298" spans="5:10">
      <c r="E2298" s="11"/>
      <c r="G2298" s="12"/>
      <c r="H2298" s="12"/>
      <c r="J2298" s="11"/>
    </row>
    <row r="2299" spans="5:10">
      <c r="E2299" s="11"/>
      <c r="G2299" s="12"/>
      <c r="H2299" s="12"/>
      <c r="J2299" s="11"/>
    </row>
    <row r="2300" spans="5:10">
      <c r="E2300" s="11"/>
      <c r="G2300" s="12"/>
      <c r="H2300" s="12"/>
      <c r="J2300" s="11"/>
    </row>
    <row r="2301" spans="5:10">
      <c r="E2301" s="11"/>
      <c r="G2301" s="12"/>
      <c r="H2301" s="12"/>
      <c r="J2301" s="11"/>
    </row>
    <row r="2302" spans="5:10">
      <c r="E2302" s="11"/>
      <c r="G2302" s="12"/>
      <c r="H2302" s="12"/>
      <c r="J2302" s="11"/>
    </row>
    <row r="2303" spans="5:10">
      <c r="E2303" s="11"/>
      <c r="G2303" s="12"/>
      <c r="H2303" s="12"/>
      <c r="J2303" s="11"/>
    </row>
    <row r="2304" spans="5:10">
      <c r="E2304" s="11"/>
      <c r="G2304" s="12"/>
      <c r="H2304" s="12"/>
      <c r="J2304" s="11"/>
    </row>
    <row r="2305" spans="5:10">
      <c r="E2305" s="11"/>
      <c r="G2305" s="12"/>
      <c r="H2305" s="12"/>
      <c r="J2305" s="11"/>
    </row>
    <row r="2306" spans="5:10">
      <c r="E2306" s="11"/>
      <c r="G2306" s="12"/>
      <c r="H2306" s="12"/>
      <c r="J2306" s="11"/>
    </row>
    <row r="2307" spans="5:10">
      <c r="E2307" s="11"/>
      <c r="G2307" s="12"/>
      <c r="H2307" s="12"/>
      <c r="J2307" s="11"/>
    </row>
    <row r="2308" spans="5:10">
      <c r="E2308" s="11"/>
      <c r="G2308" s="12"/>
      <c r="H2308" s="12"/>
      <c r="J2308" s="11"/>
    </row>
    <row r="2309" spans="5:10">
      <c r="E2309" s="11"/>
      <c r="G2309" s="12"/>
      <c r="H2309" s="12"/>
      <c r="J2309" s="11"/>
    </row>
    <row r="2310" spans="5:10">
      <c r="E2310" s="11"/>
      <c r="G2310" s="12"/>
      <c r="H2310" s="12"/>
      <c r="J2310" s="11"/>
    </row>
    <row r="2311" spans="5:10">
      <c r="E2311" s="11"/>
      <c r="G2311" s="12"/>
      <c r="H2311" s="12"/>
      <c r="J2311" s="11"/>
    </row>
    <row r="2312" spans="5:10">
      <c r="E2312" s="11"/>
      <c r="G2312" s="12"/>
      <c r="H2312" s="12"/>
      <c r="J2312" s="11"/>
    </row>
    <row r="2313" spans="5:10">
      <c r="E2313" s="11"/>
      <c r="G2313" s="12"/>
      <c r="H2313" s="12"/>
      <c r="J2313" s="11"/>
    </row>
    <row r="2314" spans="5:10">
      <c r="E2314" s="11"/>
      <c r="G2314" s="12"/>
      <c r="H2314" s="12"/>
      <c r="J2314" s="11"/>
    </row>
    <row r="2315" spans="5:10">
      <c r="E2315" s="11"/>
      <c r="G2315" s="12"/>
      <c r="H2315" s="12"/>
      <c r="J2315" s="11"/>
    </row>
    <row r="2316" spans="5:10">
      <c r="E2316" s="11"/>
      <c r="G2316" s="12"/>
      <c r="H2316" s="12"/>
      <c r="J2316" s="11"/>
    </row>
    <row r="2317" spans="5:10">
      <c r="E2317" s="11"/>
      <c r="G2317" s="12"/>
      <c r="H2317" s="12"/>
      <c r="J2317" s="11"/>
    </row>
    <row r="2318" spans="5:10">
      <c r="E2318" s="11"/>
      <c r="G2318" s="12"/>
      <c r="H2318" s="12"/>
      <c r="J2318" s="11"/>
    </row>
    <row r="2319" spans="5:10">
      <c r="E2319" s="11"/>
      <c r="G2319" s="12"/>
      <c r="H2319" s="12"/>
      <c r="J2319" s="11"/>
    </row>
    <row r="2320" spans="5:10">
      <c r="E2320" s="11"/>
      <c r="G2320" s="12"/>
      <c r="H2320" s="12"/>
      <c r="J2320" s="11"/>
    </row>
    <row r="2321" spans="5:10">
      <c r="E2321" s="11"/>
      <c r="G2321" s="12"/>
      <c r="H2321" s="12"/>
      <c r="J2321" s="11"/>
    </row>
    <row r="2322" spans="5:10">
      <c r="E2322" s="11"/>
      <c r="G2322" s="12"/>
      <c r="H2322" s="12"/>
      <c r="J2322" s="11"/>
    </row>
    <row r="2323" spans="5:10">
      <c r="E2323" s="11"/>
      <c r="G2323" s="12"/>
      <c r="H2323" s="12"/>
      <c r="J2323" s="11"/>
    </row>
    <row r="2324" spans="5:10">
      <c r="E2324" s="11"/>
      <c r="G2324" s="12"/>
      <c r="H2324" s="12"/>
      <c r="J2324" s="11"/>
    </row>
    <row r="2325" spans="5:10">
      <c r="E2325" s="11"/>
      <c r="G2325" s="12"/>
      <c r="H2325" s="12"/>
      <c r="J2325" s="11"/>
    </row>
    <row r="2326" spans="5:10">
      <c r="E2326" s="11"/>
      <c r="G2326" s="12"/>
      <c r="H2326" s="12"/>
      <c r="J2326" s="11"/>
    </row>
    <row r="2327" spans="5:10">
      <c r="E2327" s="11"/>
      <c r="G2327" s="12"/>
      <c r="H2327" s="12"/>
      <c r="J2327" s="11"/>
    </row>
    <row r="2328" spans="5:10">
      <c r="E2328" s="11"/>
      <c r="G2328" s="12"/>
      <c r="H2328" s="12"/>
      <c r="J2328" s="11"/>
    </row>
    <row r="2329" spans="5:10">
      <c r="E2329" s="11"/>
      <c r="G2329" s="12"/>
      <c r="H2329" s="12"/>
      <c r="J2329" s="11"/>
    </row>
    <row r="2330" spans="5:10">
      <c r="E2330" s="11"/>
      <c r="G2330" s="12"/>
      <c r="H2330" s="12"/>
      <c r="J2330" s="11"/>
    </row>
    <row r="2331" spans="5:10">
      <c r="E2331" s="11"/>
      <c r="G2331" s="12"/>
      <c r="H2331" s="12"/>
      <c r="J2331" s="11"/>
    </row>
    <row r="2332" spans="5:10">
      <c r="E2332" s="11"/>
      <c r="G2332" s="12"/>
      <c r="H2332" s="12"/>
      <c r="J2332" s="11"/>
    </row>
    <row r="2333" spans="5:10">
      <c r="E2333" s="11"/>
      <c r="G2333" s="12"/>
      <c r="H2333" s="12"/>
      <c r="J2333" s="11"/>
    </row>
    <row r="2334" spans="5:10">
      <c r="E2334" s="11"/>
      <c r="G2334" s="12"/>
      <c r="H2334" s="12"/>
      <c r="J2334" s="11"/>
    </row>
    <row r="2335" spans="5:10">
      <c r="E2335" s="11"/>
      <c r="G2335" s="12"/>
      <c r="H2335" s="12"/>
      <c r="J2335" s="11"/>
    </row>
    <row r="2336" spans="5:10">
      <c r="E2336" s="11"/>
      <c r="G2336" s="12"/>
      <c r="H2336" s="12"/>
      <c r="J2336" s="11"/>
    </row>
    <row r="2337" spans="5:10">
      <c r="E2337" s="11"/>
      <c r="G2337" s="12"/>
      <c r="H2337" s="12"/>
      <c r="J2337" s="11"/>
    </row>
    <row r="2338" spans="5:10">
      <c r="E2338" s="11"/>
      <c r="G2338" s="12"/>
      <c r="H2338" s="12"/>
      <c r="J2338" s="11"/>
    </row>
    <row r="2339" spans="5:10">
      <c r="E2339" s="11"/>
      <c r="G2339" s="12"/>
      <c r="H2339" s="12"/>
      <c r="J2339" s="11"/>
    </row>
    <row r="2340" spans="5:10">
      <c r="E2340" s="11"/>
      <c r="G2340" s="12"/>
      <c r="H2340" s="12"/>
      <c r="J2340" s="11"/>
    </row>
    <row r="2341" spans="5:10">
      <c r="E2341" s="11"/>
      <c r="G2341" s="12"/>
      <c r="H2341" s="12"/>
      <c r="J2341" s="11"/>
    </row>
    <row r="2342" spans="5:10">
      <c r="E2342" s="11"/>
      <c r="G2342" s="12"/>
      <c r="H2342" s="12"/>
      <c r="J2342" s="11"/>
    </row>
    <row r="2343" spans="5:10">
      <c r="E2343" s="11"/>
      <c r="G2343" s="12"/>
      <c r="H2343" s="12"/>
      <c r="J2343" s="11"/>
    </row>
    <row r="2344" spans="5:10">
      <c r="E2344" s="11"/>
      <c r="G2344" s="12"/>
      <c r="H2344" s="12"/>
      <c r="J2344" s="11"/>
    </row>
    <row r="2345" spans="5:10">
      <c r="E2345" s="11"/>
      <c r="G2345" s="12"/>
      <c r="H2345" s="12"/>
      <c r="J2345" s="11"/>
    </row>
    <row r="2346" spans="5:10">
      <c r="E2346" s="11"/>
      <c r="G2346" s="12"/>
      <c r="H2346" s="12"/>
      <c r="J2346" s="11"/>
    </row>
    <row r="2347" spans="5:10">
      <c r="E2347" s="11"/>
      <c r="G2347" s="12"/>
      <c r="H2347" s="12"/>
      <c r="J2347" s="11"/>
    </row>
    <row r="2348" spans="5:10">
      <c r="E2348" s="11"/>
      <c r="G2348" s="12"/>
      <c r="H2348" s="12"/>
      <c r="J2348" s="11"/>
    </row>
    <row r="2349" spans="5:10">
      <c r="E2349" s="11"/>
      <c r="G2349" s="12"/>
      <c r="H2349" s="12"/>
      <c r="J2349" s="11"/>
    </row>
    <row r="2350" spans="5:10">
      <c r="E2350" s="11"/>
      <c r="G2350" s="12"/>
      <c r="H2350" s="12"/>
      <c r="J2350" s="11"/>
    </row>
    <row r="2351" spans="5:10">
      <c r="E2351" s="11"/>
      <c r="G2351" s="12"/>
      <c r="H2351" s="12"/>
      <c r="J2351" s="11"/>
    </row>
    <row r="2352" spans="5:10">
      <c r="E2352" s="11"/>
      <c r="G2352" s="12"/>
      <c r="H2352" s="12"/>
      <c r="J2352" s="11"/>
    </row>
    <row r="2353" spans="5:10">
      <c r="E2353" s="11"/>
      <c r="G2353" s="12"/>
      <c r="H2353" s="12"/>
      <c r="J2353" s="11"/>
    </row>
    <row r="2354" spans="5:10">
      <c r="E2354" s="11"/>
      <c r="G2354" s="12"/>
      <c r="H2354" s="12"/>
      <c r="J2354" s="11"/>
    </row>
    <row r="2355" spans="5:10">
      <c r="E2355" s="11"/>
      <c r="G2355" s="12"/>
      <c r="H2355" s="12"/>
      <c r="J2355" s="11"/>
    </row>
    <row r="2356" spans="5:10">
      <c r="E2356" s="11"/>
      <c r="G2356" s="12"/>
      <c r="H2356" s="12"/>
      <c r="J2356" s="11"/>
    </row>
    <row r="2357" spans="5:10">
      <c r="E2357" s="11"/>
      <c r="G2357" s="12"/>
      <c r="H2357" s="12"/>
      <c r="J2357" s="11"/>
    </row>
    <row r="2358" spans="5:10">
      <c r="E2358" s="11"/>
      <c r="G2358" s="12"/>
      <c r="H2358" s="12"/>
      <c r="J2358" s="11"/>
    </row>
    <row r="2359" spans="5:10">
      <c r="E2359" s="11"/>
      <c r="G2359" s="12"/>
      <c r="H2359" s="12"/>
      <c r="J2359" s="11"/>
    </row>
    <row r="2360" spans="5:10">
      <c r="E2360" s="11"/>
      <c r="G2360" s="12"/>
      <c r="H2360" s="12"/>
      <c r="J2360" s="11"/>
    </row>
    <row r="2361" spans="5:10">
      <c r="E2361" s="11"/>
      <c r="G2361" s="12"/>
      <c r="H2361" s="12"/>
      <c r="J2361" s="11"/>
    </row>
    <row r="2362" spans="5:10">
      <c r="E2362" s="11"/>
      <c r="G2362" s="12"/>
      <c r="H2362" s="12"/>
      <c r="J2362" s="11"/>
    </row>
    <row r="2363" spans="5:10">
      <c r="E2363" s="11"/>
      <c r="G2363" s="12"/>
      <c r="H2363" s="12"/>
      <c r="J2363" s="11"/>
    </row>
    <row r="2364" spans="5:10">
      <c r="E2364" s="11"/>
      <c r="G2364" s="12"/>
      <c r="H2364" s="12"/>
      <c r="J2364" s="11"/>
    </row>
    <row r="2365" spans="5:10">
      <c r="E2365" s="11"/>
      <c r="G2365" s="12"/>
      <c r="H2365" s="12"/>
      <c r="J2365" s="11"/>
    </row>
    <row r="2366" spans="5:10">
      <c r="E2366" s="11"/>
      <c r="G2366" s="12"/>
      <c r="H2366" s="12"/>
      <c r="J2366" s="11"/>
    </row>
    <row r="2367" spans="5:10">
      <c r="E2367" s="11"/>
      <c r="G2367" s="12"/>
      <c r="H2367" s="12"/>
      <c r="J2367" s="11"/>
    </row>
    <row r="2368" spans="5:10">
      <c r="E2368" s="11"/>
      <c r="G2368" s="12"/>
      <c r="H2368" s="12"/>
      <c r="J2368" s="11"/>
    </row>
    <row r="2369" spans="5:10">
      <c r="E2369" s="11"/>
      <c r="G2369" s="12"/>
      <c r="H2369" s="12"/>
      <c r="J2369" s="11"/>
    </row>
    <row r="2370" spans="5:10">
      <c r="E2370" s="11"/>
      <c r="G2370" s="12"/>
      <c r="H2370" s="12"/>
      <c r="J2370" s="11"/>
    </row>
    <row r="2371" spans="5:10">
      <c r="E2371" s="11"/>
      <c r="G2371" s="12"/>
      <c r="H2371" s="12"/>
      <c r="J2371" s="11"/>
    </row>
    <row r="2372" spans="5:10">
      <c r="E2372" s="11"/>
      <c r="G2372" s="12"/>
      <c r="H2372" s="12"/>
      <c r="J2372" s="11"/>
    </row>
    <row r="2373" spans="5:10">
      <c r="E2373" s="11"/>
      <c r="G2373" s="12"/>
      <c r="H2373" s="12"/>
      <c r="J2373" s="11"/>
    </row>
    <row r="2374" spans="5:10">
      <c r="E2374" s="11"/>
      <c r="G2374" s="12"/>
      <c r="H2374" s="12"/>
      <c r="J2374" s="11"/>
    </row>
    <row r="2375" spans="5:10">
      <c r="E2375" s="11"/>
      <c r="G2375" s="12"/>
      <c r="H2375" s="12"/>
      <c r="J2375" s="11"/>
    </row>
    <row r="2376" spans="5:10">
      <c r="E2376" s="11"/>
      <c r="G2376" s="12"/>
      <c r="H2376" s="12"/>
      <c r="J2376" s="11"/>
    </row>
    <row r="2377" spans="5:10">
      <c r="E2377" s="11"/>
      <c r="G2377" s="12"/>
      <c r="H2377" s="12"/>
      <c r="J2377" s="11"/>
    </row>
    <row r="2378" spans="5:10">
      <c r="E2378" s="11"/>
      <c r="G2378" s="12"/>
      <c r="H2378" s="12"/>
      <c r="J2378" s="11"/>
    </row>
    <row r="2379" spans="5:10">
      <c r="E2379" s="11"/>
      <c r="G2379" s="12"/>
      <c r="H2379" s="12"/>
      <c r="J2379" s="11"/>
    </row>
    <row r="2380" spans="5:10">
      <c r="E2380" s="11"/>
      <c r="G2380" s="12"/>
      <c r="H2380" s="12"/>
      <c r="J2380" s="11"/>
    </row>
    <row r="2381" spans="5:10">
      <c r="E2381" s="11"/>
      <c r="G2381" s="12"/>
      <c r="H2381" s="12"/>
      <c r="J2381" s="11"/>
    </row>
    <row r="2382" spans="5:10">
      <c r="E2382" s="11"/>
      <c r="G2382" s="12"/>
      <c r="H2382" s="12"/>
      <c r="J2382" s="11"/>
    </row>
    <row r="2383" spans="5:10">
      <c r="E2383" s="11"/>
      <c r="G2383" s="12"/>
      <c r="H2383" s="12"/>
      <c r="J2383" s="11"/>
    </row>
    <row r="2384" spans="5:10">
      <c r="E2384" s="11"/>
      <c r="G2384" s="12"/>
      <c r="H2384" s="12"/>
      <c r="J2384" s="11"/>
    </row>
    <row r="2385" spans="5:10">
      <c r="E2385" s="11"/>
      <c r="G2385" s="12"/>
      <c r="H2385" s="12"/>
      <c r="J2385" s="11"/>
    </row>
    <row r="2386" spans="5:10">
      <c r="E2386" s="11"/>
      <c r="G2386" s="12"/>
      <c r="H2386" s="12"/>
      <c r="J2386" s="11"/>
    </row>
    <row r="2387" spans="5:10">
      <c r="E2387" s="11"/>
      <c r="G2387" s="12"/>
      <c r="H2387" s="12"/>
      <c r="J2387" s="11"/>
    </row>
    <row r="2388" spans="5:10">
      <c r="E2388" s="11"/>
      <c r="G2388" s="12"/>
      <c r="H2388" s="12"/>
      <c r="J2388" s="11"/>
    </row>
    <row r="2389" spans="5:10">
      <c r="E2389" s="11"/>
      <c r="G2389" s="12"/>
      <c r="H2389" s="12"/>
      <c r="J2389" s="11"/>
    </row>
    <row r="2390" spans="5:10">
      <c r="E2390" s="11"/>
      <c r="G2390" s="12"/>
      <c r="H2390" s="12"/>
      <c r="J2390" s="11"/>
    </row>
    <row r="2391" spans="5:10">
      <c r="E2391" s="11"/>
      <c r="G2391" s="12"/>
      <c r="H2391" s="12"/>
      <c r="J2391" s="11"/>
    </row>
    <row r="2392" spans="5:10">
      <c r="E2392" s="11"/>
      <c r="G2392" s="12"/>
      <c r="H2392" s="12"/>
      <c r="J2392" s="11"/>
    </row>
    <row r="2393" spans="5:10">
      <c r="E2393" s="11"/>
      <c r="G2393" s="12"/>
      <c r="H2393" s="12"/>
      <c r="J2393" s="11"/>
    </row>
    <row r="2394" spans="5:10">
      <c r="E2394" s="11"/>
      <c r="G2394" s="12"/>
      <c r="H2394" s="12"/>
      <c r="J2394" s="11"/>
    </row>
    <row r="2395" spans="5:10">
      <c r="E2395" s="11"/>
      <c r="G2395" s="12"/>
      <c r="H2395" s="12"/>
      <c r="J2395" s="11"/>
    </row>
    <row r="2396" spans="5:10">
      <c r="E2396" s="11"/>
      <c r="G2396" s="12"/>
      <c r="H2396" s="12"/>
      <c r="J2396" s="11"/>
    </row>
    <row r="2397" spans="5:10">
      <c r="E2397" s="11"/>
      <c r="G2397" s="12"/>
      <c r="H2397" s="12"/>
      <c r="J2397" s="11"/>
    </row>
    <row r="2398" spans="5:10">
      <c r="E2398" s="11"/>
      <c r="G2398" s="12"/>
      <c r="H2398" s="12"/>
      <c r="J2398" s="11"/>
    </row>
    <row r="2399" spans="5:10">
      <c r="E2399" s="11"/>
      <c r="G2399" s="12"/>
      <c r="H2399" s="12"/>
      <c r="J2399" s="11"/>
    </row>
    <row r="2400" spans="5:10">
      <c r="E2400" s="11"/>
      <c r="G2400" s="12"/>
      <c r="H2400" s="12"/>
      <c r="J2400" s="11"/>
    </row>
    <row r="2401" spans="5:10">
      <c r="E2401" s="11"/>
      <c r="G2401" s="12"/>
      <c r="H2401" s="12"/>
      <c r="J2401" s="11"/>
    </row>
    <row r="2402" spans="5:10">
      <c r="E2402" s="11"/>
      <c r="G2402" s="12"/>
      <c r="H2402" s="12"/>
      <c r="J2402" s="11"/>
    </row>
    <row r="2403" spans="5:10">
      <c r="E2403" s="11"/>
      <c r="G2403" s="12"/>
      <c r="H2403" s="12"/>
      <c r="J2403" s="11"/>
    </row>
    <row r="2404" spans="5:10">
      <c r="E2404" s="11"/>
      <c r="G2404" s="12"/>
      <c r="H2404" s="12"/>
      <c r="J2404" s="11"/>
    </row>
    <row r="2405" spans="5:10">
      <c r="E2405" s="11"/>
      <c r="G2405" s="12"/>
      <c r="H2405" s="12"/>
      <c r="J2405" s="11"/>
    </row>
    <row r="2406" spans="5:10">
      <c r="E2406" s="11"/>
      <c r="G2406" s="12"/>
      <c r="H2406" s="12"/>
      <c r="J2406" s="11"/>
    </row>
    <row r="2407" spans="5:10">
      <c r="E2407" s="11"/>
      <c r="G2407" s="12"/>
      <c r="H2407" s="12"/>
      <c r="J2407" s="11"/>
    </row>
    <row r="2408" spans="5:10">
      <c r="E2408" s="11"/>
      <c r="G2408" s="12"/>
      <c r="H2408" s="12"/>
      <c r="J2408" s="11"/>
    </row>
    <row r="2409" spans="5:10">
      <c r="E2409" s="11"/>
      <c r="G2409" s="12"/>
      <c r="H2409" s="12"/>
      <c r="J2409" s="11"/>
    </row>
    <row r="2410" spans="5:10">
      <c r="E2410" s="11"/>
      <c r="G2410" s="12"/>
      <c r="H2410" s="12"/>
      <c r="J2410" s="11"/>
    </row>
    <row r="2411" spans="5:10">
      <c r="E2411" s="11"/>
      <c r="G2411" s="12"/>
      <c r="H2411" s="12"/>
      <c r="J2411" s="11"/>
    </row>
    <row r="2412" spans="5:10">
      <c r="E2412" s="11"/>
      <c r="G2412" s="12"/>
      <c r="H2412" s="12"/>
      <c r="J2412" s="11"/>
    </row>
    <row r="2413" spans="5:10">
      <c r="E2413" s="11"/>
      <c r="G2413" s="12"/>
      <c r="H2413" s="12"/>
      <c r="J2413" s="11"/>
    </row>
    <row r="2414" spans="5:10">
      <c r="E2414" s="11"/>
      <c r="G2414" s="12"/>
      <c r="H2414" s="12"/>
      <c r="J2414" s="11"/>
    </row>
    <row r="2415" spans="5:10">
      <c r="E2415" s="11"/>
      <c r="G2415" s="12"/>
      <c r="H2415" s="12"/>
      <c r="J2415" s="11"/>
    </row>
    <row r="2416" spans="5:10">
      <c r="E2416" s="11"/>
      <c r="G2416" s="12"/>
      <c r="H2416" s="12"/>
      <c r="J2416" s="11"/>
    </row>
    <row r="2417" spans="5:10">
      <c r="E2417" s="11"/>
      <c r="G2417" s="12"/>
      <c r="H2417" s="12"/>
      <c r="J2417" s="11"/>
    </row>
    <row r="2418" spans="5:10">
      <c r="E2418" s="11"/>
      <c r="G2418" s="12"/>
      <c r="H2418" s="12"/>
      <c r="J2418" s="11"/>
    </row>
    <row r="2419" spans="5:10">
      <c r="E2419" s="11"/>
      <c r="G2419" s="12"/>
      <c r="H2419" s="12"/>
      <c r="J2419" s="11"/>
    </row>
    <row r="2420" spans="5:10">
      <c r="E2420" s="11"/>
      <c r="G2420" s="12"/>
      <c r="H2420" s="12"/>
      <c r="J2420" s="11"/>
    </row>
    <row r="2421" spans="5:10">
      <c r="E2421" s="11"/>
      <c r="G2421" s="12"/>
      <c r="H2421" s="12"/>
      <c r="J2421" s="11"/>
    </row>
    <row r="2422" spans="5:10">
      <c r="E2422" s="11"/>
      <c r="G2422" s="12"/>
      <c r="H2422" s="12"/>
      <c r="J2422" s="11"/>
    </row>
    <row r="2423" spans="5:10">
      <c r="E2423" s="11"/>
      <c r="G2423" s="12"/>
      <c r="H2423" s="12"/>
      <c r="J2423" s="11"/>
    </row>
    <row r="2424" spans="5:10">
      <c r="E2424" s="11"/>
      <c r="G2424" s="12"/>
      <c r="H2424" s="12"/>
      <c r="J2424" s="11"/>
    </row>
    <row r="2425" spans="5:10">
      <c r="E2425" s="11"/>
      <c r="G2425" s="12"/>
      <c r="H2425" s="12"/>
      <c r="J2425" s="11"/>
    </row>
    <row r="2426" spans="5:10">
      <c r="E2426" s="11"/>
      <c r="G2426" s="12"/>
      <c r="H2426" s="12"/>
      <c r="J2426" s="11"/>
    </row>
    <row r="2427" spans="5:10">
      <c r="E2427" s="11"/>
      <c r="G2427" s="12"/>
      <c r="H2427" s="12"/>
      <c r="J2427" s="11"/>
    </row>
    <row r="2428" spans="5:10">
      <c r="E2428" s="11"/>
      <c r="G2428" s="12"/>
      <c r="H2428" s="12"/>
      <c r="J2428" s="11"/>
    </row>
    <row r="2429" spans="5:10">
      <c r="E2429" s="11"/>
      <c r="G2429" s="12"/>
      <c r="H2429" s="12"/>
      <c r="J2429" s="11"/>
    </row>
    <row r="2430" spans="5:10">
      <c r="E2430" s="11"/>
      <c r="G2430" s="12"/>
      <c r="H2430" s="12"/>
      <c r="J2430" s="11"/>
    </row>
    <row r="2431" spans="5:10">
      <c r="E2431" s="11"/>
      <c r="G2431" s="12"/>
      <c r="H2431" s="12"/>
      <c r="J2431" s="11"/>
    </row>
    <row r="2432" spans="5:10">
      <c r="E2432" s="11"/>
      <c r="G2432" s="12"/>
      <c r="H2432" s="12"/>
      <c r="J2432" s="11"/>
    </row>
    <row r="2433" spans="5:10">
      <c r="E2433" s="11"/>
      <c r="G2433" s="12"/>
      <c r="H2433" s="12"/>
      <c r="J2433" s="11"/>
    </row>
    <row r="2434" spans="5:10">
      <c r="E2434" s="11"/>
      <c r="G2434" s="12"/>
      <c r="H2434" s="12"/>
      <c r="J2434" s="11"/>
    </row>
    <row r="2435" spans="5:10">
      <c r="E2435" s="11"/>
      <c r="G2435" s="12"/>
      <c r="H2435" s="12"/>
      <c r="J2435" s="11"/>
    </row>
    <row r="2436" spans="5:10">
      <c r="E2436" s="11"/>
      <c r="G2436" s="12"/>
      <c r="H2436" s="12"/>
      <c r="J2436" s="11"/>
    </row>
    <row r="2437" spans="5:10">
      <c r="E2437" s="11"/>
      <c r="G2437" s="12"/>
      <c r="H2437" s="12"/>
      <c r="J2437" s="11"/>
    </row>
    <row r="2438" spans="5:10">
      <c r="E2438" s="11"/>
      <c r="G2438" s="12"/>
      <c r="H2438" s="12"/>
      <c r="J2438" s="11"/>
    </row>
    <row r="2439" spans="5:10">
      <c r="E2439" s="11"/>
      <c r="G2439" s="12"/>
      <c r="H2439" s="12"/>
      <c r="J2439" s="11"/>
    </row>
    <row r="2440" spans="5:10">
      <c r="E2440" s="11"/>
      <c r="G2440" s="12"/>
      <c r="H2440" s="12"/>
      <c r="J2440" s="11"/>
    </row>
    <row r="2441" spans="5:10">
      <c r="E2441" s="11"/>
      <c r="G2441" s="12"/>
      <c r="H2441" s="12"/>
      <c r="J2441" s="11"/>
    </row>
    <row r="2442" spans="5:10">
      <c r="E2442" s="11"/>
      <c r="G2442" s="12"/>
      <c r="H2442" s="12"/>
      <c r="J2442" s="11"/>
    </row>
    <row r="2443" spans="5:10">
      <c r="E2443" s="11"/>
      <c r="G2443" s="12"/>
      <c r="H2443" s="12"/>
      <c r="J2443" s="11"/>
    </row>
    <row r="2444" spans="5:10">
      <c r="E2444" s="11"/>
      <c r="G2444" s="12"/>
      <c r="H2444" s="12"/>
      <c r="J2444" s="11"/>
    </row>
    <row r="2445" spans="5:10">
      <c r="E2445" s="11"/>
      <c r="G2445" s="12"/>
      <c r="H2445" s="12"/>
      <c r="J2445" s="11"/>
    </row>
    <row r="2446" spans="5:10">
      <c r="E2446" s="11"/>
      <c r="G2446" s="12"/>
      <c r="H2446" s="12"/>
      <c r="J2446" s="11"/>
    </row>
    <row r="2447" spans="5:10">
      <c r="E2447" s="11"/>
      <c r="G2447" s="12"/>
      <c r="H2447" s="12"/>
      <c r="J2447" s="11"/>
    </row>
    <row r="2448" spans="5:10">
      <c r="E2448" s="11"/>
      <c r="G2448" s="12"/>
      <c r="H2448" s="12"/>
      <c r="J2448" s="11"/>
    </row>
    <row r="2449" spans="5:10">
      <c r="E2449" s="11"/>
      <c r="G2449" s="12"/>
      <c r="H2449" s="12"/>
      <c r="J2449" s="11"/>
    </row>
    <row r="2450" spans="5:10">
      <c r="E2450" s="11"/>
      <c r="G2450" s="12"/>
      <c r="H2450" s="12"/>
      <c r="J2450" s="11"/>
    </row>
    <row r="2451" spans="5:10">
      <c r="E2451" s="11"/>
      <c r="G2451" s="12"/>
      <c r="H2451" s="12"/>
      <c r="J2451" s="11"/>
    </row>
    <row r="2452" spans="5:10">
      <c r="E2452" s="11"/>
      <c r="G2452" s="12"/>
      <c r="H2452" s="12"/>
      <c r="J2452" s="11"/>
    </row>
    <row r="2453" spans="5:10">
      <c r="E2453" s="11"/>
      <c r="G2453" s="12"/>
      <c r="H2453" s="12"/>
      <c r="J2453" s="11"/>
    </row>
    <row r="2454" spans="5:10">
      <c r="E2454" s="11"/>
      <c r="G2454" s="12"/>
      <c r="H2454" s="12"/>
      <c r="J2454" s="11"/>
    </row>
    <row r="2455" spans="5:10">
      <c r="E2455" s="11"/>
      <c r="G2455" s="12"/>
      <c r="H2455" s="12"/>
      <c r="J2455" s="11"/>
    </row>
    <row r="2456" spans="5:10">
      <c r="E2456" s="11"/>
      <c r="G2456" s="12"/>
      <c r="H2456" s="12"/>
      <c r="J2456" s="11"/>
    </row>
    <row r="2457" spans="5:10">
      <c r="E2457" s="11"/>
      <c r="G2457" s="12"/>
      <c r="H2457" s="12"/>
      <c r="J2457" s="11"/>
    </row>
    <row r="2458" spans="5:10">
      <c r="E2458" s="11"/>
      <c r="G2458" s="12"/>
      <c r="H2458" s="12"/>
      <c r="J2458" s="11"/>
    </row>
    <row r="2459" spans="5:10">
      <c r="E2459" s="11"/>
      <c r="G2459" s="12"/>
      <c r="H2459" s="12"/>
      <c r="J2459" s="11"/>
    </row>
    <row r="2460" spans="5:10">
      <c r="E2460" s="11"/>
      <c r="G2460" s="12"/>
      <c r="H2460" s="12"/>
      <c r="J2460" s="11"/>
    </row>
    <row r="2461" spans="5:10">
      <c r="E2461" s="11"/>
      <c r="G2461" s="12"/>
      <c r="H2461" s="12"/>
      <c r="J2461" s="11"/>
    </row>
    <row r="2462" spans="5:10">
      <c r="E2462" s="11"/>
      <c r="G2462" s="12"/>
      <c r="H2462" s="12"/>
      <c r="J2462" s="11"/>
    </row>
    <row r="2463" spans="5:10">
      <c r="E2463" s="11"/>
      <c r="G2463" s="12"/>
      <c r="H2463" s="12"/>
      <c r="J2463" s="11"/>
    </row>
    <row r="2464" spans="5:10">
      <c r="E2464" s="11"/>
      <c r="G2464" s="12"/>
      <c r="H2464" s="12"/>
      <c r="J2464" s="11"/>
    </row>
    <row r="2465" spans="5:10">
      <c r="E2465" s="11"/>
      <c r="G2465" s="12"/>
      <c r="H2465" s="12"/>
      <c r="J2465" s="11"/>
    </row>
    <row r="2466" spans="5:10">
      <c r="E2466" s="11"/>
      <c r="G2466" s="12"/>
      <c r="H2466" s="12"/>
      <c r="J2466" s="11"/>
    </row>
    <row r="2467" spans="5:10">
      <c r="E2467" s="11"/>
      <c r="G2467" s="12"/>
      <c r="H2467" s="12"/>
      <c r="J2467" s="11"/>
    </row>
    <row r="2468" spans="5:10">
      <c r="E2468" s="11"/>
      <c r="G2468" s="12"/>
      <c r="H2468" s="12"/>
      <c r="J2468" s="11"/>
    </row>
    <row r="2469" spans="5:10">
      <c r="E2469" s="11"/>
      <c r="G2469" s="12"/>
      <c r="H2469" s="12"/>
      <c r="J2469" s="11"/>
    </row>
    <row r="2470" spans="5:10">
      <c r="E2470" s="11"/>
      <c r="G2470" s="12"/>
      <c r="H2470" s="12"/>
      <c r="J2470" s="11"/>
    </row>
    <row r="2471" spans="5:10">
      <c r="E2471" s="11"/>
      <c r="G2471" s="12"/>
      <c r="H2471" s="12"/>
      <c r="J2471" s="11"/>
    </row>
    <row r="2472" spans="5:10">
      <c r="E2472" s="11"/>
      <c r="G2472" s="12"/>
      <c r="H2472" s="12"/>
      <c r="J2472" s="11"/>
    </row>
    <row r="2473" spans="5:10">
      <c r="E2473" s="11"/>
      <c r="G2473" s="12"/>
      <c r="H2473" s="12"/>
      <c r="J2473" s="11"/>
    </row>
    <row r="2474" spans="5:10">
      <c r="E2474" s="11"/>
      <c r="G2474" s="12"/>
      <c r="H2474" s="12"/>
      <c r="J2474" s="11"/>
    </row>
    <row r="2475" spans="5:10">
      <c r="E2475" s="11"/>
      <c r="G2475" s="12"/>
      <c r="H2475" s="12"/>
      <c r="J2475" s="11"/>
    </row>
    <row r="2476" spans="5:10">
      <c r="E2476" s="11"/>
      <c r="G2476" s="12"/>
      <c r="H2476" s="12"/>
      <c r="J2476" s="11"/>
    </row>
    <row r="2477" spans="5:10">
      <c r="E2477" s="11"/>
      <c r="G2477" s="12"/>
      <c r="H2477" s="12"/>
      <c r="J2477" s="11"/>
    </row>
    <row r="2478" spans="5:10">
      <c r="E2478" s="11"/>
      <c r="G2478" s="12"/>
      <c r="H2478" s="12"/>
      <c r="J2478" s="11"/>
    </row>
    <row r="2479" spans="5:10">
      <c r="E2479" s="11"/>
      <c r="G2479" s="12"/>
      <c r="H2479" s="12"/>
      <c r="J2479" s="11"/>
    </row>
    <row r="2480" spans="5:10">
      <c r="E2480" s="11"/>
      <c r="G2480" s="12"/>
      <c r="H2480" s="12"/>
      <c r="J2480" s="11"/>
    </row>
    <row r="2481" spans="5:10">
      <c r="E2481" s="11"/>
      <c r="G2481" s="12"/>
      <c r="H2481" s="12"/>
      <c r="J2481" s="11"/>
    </row>
    <row r="2482" spans="5:10">
      <c r="E2482" s="11"/>
      <c r="G2482" s="12"/>
      <c r="H2482" s="12"/>
      <c r="J2482" s="11"/>
    </row>
    <row r="2483" spans="5:10">
      <c r="E2483" s="11"/>
      <c r="G2483" s="12"/>
      <c r="H2483" s="12"/>
      <c r="J2483" s="11"/>
    </row>
    <row r="2484" spans="5:10">
      <c r="E2484" s="11"/>
      <c r="G2484" s="12"/>
      <c r="H2484" s="12"/>
      <c r="J2484" s="11"/>
    </row>
    <row r="2485" spans="5:10">
      <c r="E2485" s="11"/>
      <c r="G2485" s="12"/>
      <c r="H2485" s="12"/>
      <c r="J2485" s="11"/>
    </row>
    <row r="2486" spans="5:10">
      <c r="E2486" s="11"/>
      <c r="G2486" s="12"/>
      <c r="H2486" s="12"/>
      <c r="J2486" s="11"/>
    </row>
    <row r="2487" spans="5:10">
      <c r="E2487" s="11"/>
      <c r="G2487" s="12"/>
      <c r="H2487" s="12"/>
      <c r="J2487" s="11"/>
    </row>
    <row r="2488" spans="5:10">
      <c r="E2488" s="11"/>
      <c r="G2488" s="12"/>
      <c r="H2488" s="12"/>
      <c r="J2488" s="11"/>
    </row>
    <row r="2489" spans="5:10">
      <c r="E2489" s="11"/>
      <c r="G2489" s="12"/>
      <c r="H2489" s="12"/>
      <c r="J2489" s="11"/>
    </row>
    <row r="2490" spans="5:10">
      <c r="E2490" s="11"/>
      <c r="G2490" s="12"/>
      <c r="H2490" s="12"/>
      <c r="J2490" s="11"/>
    </row>
    <row r="2491" spans="5:10">
      <c r="E2491" s="11"/>
      <c r="G2491" s="12"/>
      <c r="H2491" s="12"/>
      <c r="J2491" s="11"/>
    </row>
    <row r="2492" spans="5:10">
      <c r="E2492" s="11"/>
      <c r="G2492" s="12"/>
      <c r="H2492" s="12"/>
      <c r="J2492" s="11"/>
    </row>
    <row r="2493" spans="5:10">
      <c r="E2493" s="11"/>
      <c r="G2493" s="12"/>
      <c r="H2493" s="12"/>
      <c r="J2493" s="11"/>
    </row>
    <row r="2494" spans="5:10">
      <c r="E2494" s="11"/>
      <c r="G2494" s="12"/>
      <c r="H2494" s="12"/>
      <c r="J2494" s="11"/>
    </row>
    <row r="2495" spans="5:10">
      <c r="E2495" s="11"/>
      <c r="G2495" s="12"/>
      <c r="H2495" s="12"/>
      <c r="J2495" s="11"/>
    </row>
    <row r="2496" spans="5:10">
      <c r="E2496" s="11"/>
      <c r="G2496" s="12"/>
      <c r="H2496" s="12"/>
      <c r="J2496" s="11"/>
    </row>
    <row r="2497" spans="5:10">
      <c r="E2497" s="11"/>
      <c r="G2497" s="12"/>
      <c r="H2497" s="12"/>
      <c r="J2497" s="11"/>
    </row>
    <row r="2498" spans="5:10">
      <c r="E2498" s="11"/>
      <c r="G2498" s="12"/>
      <c r="H2498" s="12"/>
      <c r="J2498" s="11"/>
    </row>
    <row r="2499" spans="5:10">
      <c r="E2499" s="11"/>
      <c r="G2499" s="12"/>
      <c r="H2499" s="12"/>
      <c r="J2499" s="11"/>
    </row>
    <row r="2500" spans="5:10">
      <c r="E2500" s="11"/>
      <c r="G2500" s="12"/>
      <c r="H2500" s="12"/>
      <c r="J2500" s="11"/>
    </row>
    <row r="2501" spans="5:10">
      <c r="E2501" s="11"/>
      <c r="G2501" s="12"/>
      <c r="H2501" s="12"/>
      <c r="J2501" s="11"/>
    </row>
    <row r="2502" spans="5:10">
      <c r="E2502" s="11"/>
      <c r="G2502" s="12"/>
      <c r="H2502" s="12"/>
      <c r="J2502" s="11"/>
    </row>
    <row r="2503" spans="5:10">
      <c r="E2503" s="11"/>
      <c r="G2503" s="12"/>
      <c r="H2503" s="12"/>
      <c r="J2503" s="11"/>
    </row>
    <row r="2504" spans="5:10">
      <c r="E2504" s="11"/>
      <c r="G2504" s="12"/>
      <c r="H2504" s="12"/>
      <c r="J2504" s="11"/>
    </row>
    <row r="2505" spans="5:10">
      <c r="E2505" s="11"/>
      <c r="G2505" s="12"/>
      <c r="H2505" s="12"/>
      <c r="J2505" s="11"/>
    </row>
    <row r="2506" spans="5:10">
      <c r="E2506" s="11"/>
      <c r="G2506" s="12"/>
      <c r="H2506" s="12"/>
      <c r="J2506" s="11"/>
    </row>
    <row r="2507" spans="5:10">
      <c r="E2507" s="11"/>
      <c r="G2507" s="12"/>
      <c r="H2507" s="12"/>
      <c r="J2507" s="11"/>
    </row>
    <row r="2508" spans="5:10">
      <c r="E2508" s="11"/>
      <c r="G2508" s="12"/>
      <c r="H2508" s="12"/>
      <c r="J2508" s="11"/>
    </row>
    <row r="2509" spans="5:10">
      <c r="E2509" s="11"/>
      <c r="G2509" s="12"/>
      <c r="H2509" s="12"/>
      <c r="J2509" s="11"/>
    </row>
    <row r="2510" spans="5:10">
      <c r="E2510" s="11"/>
      <c r="G2510" s="12"/>
      <c r="H2510" s="12"/>
      <c r="J2510" s="11"/>
    </row>
    <row r="2511" spans="5:10">
      <c r="E2511" s="11"/>
      <c r="G2511" s="12"/>
      <c r="H2511" s="12"/>
      <c r="J2511" s="11"/>
    </row>
    <row r="2512" spans="5:10">
      <c r="E2512" s="11"/>
      <c r="G2512" s="12"/>
      <c r="H2512" s="12"/>
      <c r="J2512" s="11"/>
    </row>
    <row r="2513" spans="5:10">
      <c r="E2513" s="11"/>
      <c r="G2513" s="12"/>
      <c r="H2513" s="12"/>
      <c r="J2513" s="11"/>
    </row>
    <row r="2514" spans="5:10">
      <c r="E2514" s="11"/>
      <c r="G2514" s="12"/>
      <c r="H2514" s="12"/>
      <c r="J2514" s="11"/>
    </row>
    <row r="2515" spans="5:10">
      <c r="E2515" s="11"/>
      <c r="G2515" s="12"/>
      <c r="H2515" s="12"/>
      <c r="J2515" s="11"/>
    </row>
    <row r="2516" spans="5:10">
      <c r="E2516" s="11"/>
      <c r="G2516" s="12"/>
      <c r="H2516" s="12"/>
      <c r="J2516" s="11"/>
    </row>
    <row r="2517" spans="5:10">
      <c r="E2517" s="11"/>
      <c r="G2517" s="12"/>
      <c r="H2517" s="12"/>
      <c r="J2517" s="11"/>
    </row>
    <row r="2518" spans="5:10">
      <c r="E2518" s="11"/>
      <c r="G2518" s="12"/>
      <c r="H2518" s="12"/>
      <c r="J2518" s="11"/>
    </row>
    <row r="2519" spans="5:10">
      <c r="E2519" s="11"/>
      <c r="G2519" s="12"/>
      <c r="H2519" s="12"/>
      <c r="J2519" s="11"/>
    </row>
    <row r="2520" spans="5:10">
      <c r="E2520" s="11"/>
      <c r="G2520" s="12"/>
      <c r="H2520" s="12"/>
      <c r="J2520" s="11"/>
    </row>
    <row r="2521" spans="5:10">
      <c r="E2521" s="11"/>
      <c r="G2521" s="12"/>
      <c r="H2521" s="12"/>
      <c r="J2521" s="11"/>
    </row>
    <row r="2522" spans="5:10">
      <c r="E2522" s="11"/>
      <c r="G2522" s="12"/>
      <c r="H2522" s="12"/>
      <c r="J2522" s="11"/>
    </row>
    <row r="2523" spans="5:10">
      <c r="E2523" s="11"/>
      <c r="G2523" s="12"/>
      <c r="H2523" s="12"/>
      <c r="J2523" s="11"/>
    </row>
    <row r="2524" spans="5:10">
      <c r="E2524" s="11"/>
      <c r="G2524" s="12"/>
      <c r="H2524" s="12"/>
      <c r="J2524" s="11"/>
    </row>
    <row r="2525" spans="5:10">
      <c r="E2525" s="11"/>
      <c r="G2525" s="12"/>
      <c r="H2525" s="12"/>
      <c r="J2525" s="11"/>
    </row>
    <row r="2526" spans="5:10">
      <c r="E2526" s="11"/>
      <c r="G2526" s="12"/>
      <c r="H2526" s="12"/>
      <c r="J2526" s="11"/>
    </row>
    <row r="2527" spans="5:10">
      <c r="E2527" s="11"/>
      <c r="G2527" s="12"/>
      <c r="H2527" s="12"/>
      <c r="J2527" s="11"/>
    </row>
    <row r="2528" spans="5:10">
      <c r="E2528" s="11"/>
      <c r="G2528" s="12"/>
      <c r="H2528" s="12"/>
      <c r="J2528" s="11"/>
    </row>
    <row r="2529" spans="5:10">
      <c r="E2529" s="11"/>
      <c r="G2529" s="12"/>
      <c r="H2529" s="12"/>
      <c r="J2529" s="11"/>
    </row>
    <row r="2530" spans="5:10">
      <c r="E2530" s="11"/>
      <c r="G2530" s="12"/>
      <c r="H2530" s="12"/>
      <c r="J2530" s="11"/>
    </row>
    <row r="2531" spans="5:10">
      <c r="E2531" s="11"/>
      <c r="G2531" s="12"/>
      <c r="H2531" s="12"/>
      <c r="J2531" s="11"/>
    </row>
    <row r="2532" spans="5:10">
      <c r="E2532" s="11"/>
      <c r="G2532" s="12"/>
      <c r="H2532" s="12"/>
      <c r="J2532" s="11"/>
    </row>
    <row r="2533" spans="5:10">
      <c r="E2533" s="11"/>
      <c r="G2533" s="12"/>
      <c r="H2533" s="12"/>
      <c r="J2533" s="11"/>
    </row>
    <row r="2534" spans="5:10">
      <c r="E2534" s="11"/>
      <c r="G2534" s="12"/>
      <c r="H2534" s="12"/>
      <c r="J2534" s="11"/>
    </row>
    <row r="2535" spans="5:10">
      <c r="E2535" s="11"/>
      <c r="G2535" s="12"/>
      <c r="H2535" s="12"/>
      <c r="J2535" s="11"/>
    </row>
    <row r="2536" spans="5:10">
      <c r="E2536" s="11"/>
      <c r="G2536" s="12"/>
      <c r="H2536" s="12"/>
      <c r="J2536" s="11"/>
    </row>
    <row r="2537" spans="5:10">
      <c r="E2537" s="11"/>
      <c r="G2537" s="12"/>
      <c r="H2537" s="12"/>
      <c r="J2537" s="11"/>
    </row>
    <row r="2538" spans="5:10">
      <c r="E2538" s="11"/>
      <c r="G2538" s="12"/>
      <c r="H2538" s="12"/>
      <c r="J2538" s="11"/>
    </row>
    <row r="2539" spans="5:10">
      <c r="E2539" s="11"/>
      <c r="G2539" s="12"/>
      <c r="H2539" s="12"/>
      <c r="J2539" s="11"/>
    </row>
    <row r="2540" spans="5:10">
      <c r="E2540" s="11"/>
      <c r="G2540" s="12"/>
      <c r="H2540" s="12"/>
      <c r="J2540" s="11"/>
    </row>
    <row r="2541" spans="5:10">
      <c r="E2541" s="11"/>
      <c r="G2541" s="12"/>
      <c r="H2541" s="12"/>
      <c r="J2541" s="11"/>
    </row>
    <row r="2542" spans="5:10">
      <c r="E2542" s="11"/>
      <c r="G2542" s="12"/>
      <c r="H2542" s="12"/>
      <c r="J2542" s="11"/>
    </row>
    <row r="2543" spans="5:10">
      <c r="E2543" s="11"/>
      <c r="G2543" s="12"/>
      <c r="H2543" s="12"/>
      <c r="J2543" s="11"/>
    </row>
    <row r="2544" spans="5:10">
      <c r="E2544" s="11"/>
      <c r="G2544" s="12"/>
      <c r="H2544" s="12"/>
      <c r="J2544" s="11"/>
    </row>
    <row r="2545" spans="5:10">
      <c r="E2545" s="11"/>
      <c r="G2545" s="12"/>
      <c r="H2545" s="12"/>
      <c r="J2545" s="11"/>
    </row>
    <row r="2546" spans="5:10">
      <c r="E2546" s="11"/>
      <c r="G2546" s="12"/>
      <c r="H2546" s="12"/>
      <c r="J2546" s="11"/>
    </row>
    <row r="2547" spans="5:10">
      <c r="E2547" s="11"/>
      <c r="G2547" s="12"/>
      <c r="H2547" s="12"/>
      <c r="J2547" s="11"/>
    </row>
    <row r="2548" spans="5:10">
      <c r="E2548" s="11"/>
      <c r="G2548" s="12"/>
      <c r="H2548" s="12"/>
      <c r="J2548" s="11"/>
    </row>
    <row r="2549" spans="5:10">
      <c r="E2549" s="11"/>
      <c r="G2549" s="12"/>
      <c r="H2549" s="12"/>
      <c r="J2549" s="11"/>
    </row>
    <row r="2550" spans="5:10">
      <c r="E2550" s="11"/>
      <c r="G2550" s="12"/>
      <c r="H2550" s="12"/>
      <c r="J2550" s="11"/>
    </row>
    <row r="2551" spans="5:10">
      <c r="E2551" s="11"/>
      <c r="G2551" s="12"/>
      <c r="H2551" s="12"/>
      <c r="J2551" s="11"/>
    </row>
    <row r="2552" spans="5:10">
      <c r="E2552" s="11"/>
      <c r="G2552" s="12"/>
      <c r="H2552" s="12"/>
      <c r="J2552" s="11"/>
    </row>
    <row r="2553" spans="5:10">
      <c r="E2553" s="11"/>
      <c r="G2553" s="12"/>
      <c r="H2553" s="12"/>
      <c r="J2553" s="11"/>
    </row>
    <row r="2554" spans="5:10">
      <c r="E2554" s="11"/>
      <c r="G2554" s="12"/>
      <c r="H2554" s="12"/>
      <c r="J2554" s="11"/>
    </row>
    <row r="2555" spans="5:10">
      <c r="E2555" s="11"/>
      <c r="G2555" s="12"/>
      <c r="H2555" s="12"/>
      <c r="J2555" s="11"/>
    </row>
    <row r="2556" spans="5:10">
      <c r="E2556" s="11"/>
      <c r="G2556" s="12"/>
      <c r="H2556" s="12"/>
      <c r="J2556" s="11"/>
    </row>
    <row r="2557" spans="5:10">
      <c r="E2557" s="11"/>
      <c r="G2557" s="12"/>
      <c r="H2557" s="12"/>
      <c r="J2557" s="11"/>
    </row>
    <row r="2558" spans="5:10">
      <c r="E2558" s="11"/>
      <c r="G2558" s="12"/>
      <c r="H2558" s="12"/>
      <c r="J2558" s="11"/>
    </row>
    <row r="2559" spans="5:10">
      <c r="E2559" s="11"/>
      <c r="G2559" s="12"/>
      <c r="H2559" s="12"/>
      <c r="J2559" s="11"/>
    </row>
    <row r="2560" spans="5:10">
      <c r="E2560" s="11"/>
      <c r="G2560" s="12"/>
      <c r="H2560" s="12"/>
      <c r="J2560" s="11"/>
    </row>
    <row r="2561" spans="5:10">
      <c r="E2561" s="11"/>
      <c r="G2561" s="12"/>
      <c r="H2561" s="12"/>
      <c r="J2561" s="11"/>
    </row>
    <row r="2562" spans="5:10">
      <c r="E2562" s="11"/>
      <c r="G2562" s="12"/>
      <c r="H2562" s="12"/>
      <c r="J2562" s="11"/>
    </row>
    <row r="2563" spans="5:10">
      <c r="E2563" s="11"/>
      <c r="G2563" s="12"/>
      <c r="H2563" s="12"/>
      <c r="J2563" s="11"/>
    </row>
    <row r="2564" spans="5:10">
      <c r="E2564" s="11"/>
      <c r="G2564" s="12"/>
      <c r="H2564" s="12"/>
      <c r="J2564" s="11"/>
    </row>
    <row r="2565" spans="5:10">
      <c r="E2565" s="11"/>
      <c r="G2565" s="12"/>
      <c r="H2565" s="12"/>
      <c r="J2565" s="11"/>
    </row>
    <row r="2566" spans="5:10">
      <c r="E2566" s="11"/>
      <c r="G2566" s="12"/>
      <c r="H2566" s="12"/>
      <c r="J2566" s="11"/>
    </row>
    <row r="2567" spans="5:10">
      <c r="E2567" s="11"/>
      <c r="G2567" s="12"/>
      <c r="H2567" s="12"/>
      <c r="J2567" s="11"/>
    </row>
    <row r="2568" spans="5:10">
      <c r="E2568" s="11"/>
      <c r="G2568" s="12"/>
      <c r="H2568" s="12"/>
      <c r="J2568" s="11"/>
    </row>
    <row r="2569" spans="5:10">
      <c r="E2569" s="11"/>
      <c r="G2569" s="12"/>
      <c r="H2569" s="12"/>
      <c r="J2569" s="11"/>
    </row>
    <row r="2570" spans="5:10">
      <c r="E2570" s="11"/>
      <c r="G2570" s="12"/>
      <c r="H2570" s="12"/>
      <c r="J2570" s="11"/>
    </row>
    <row r="2571" spans="5:10">
      <c r="E2571" s="11"/>
      <c r="G2571" s="12"/>
      <c r="H2571" s="12"/>
      <c r="J2571" s="11"/>
    </row>
    <row r="2572" spans="5:10">
      <c r="E2572" s="11"/>
      <c r="G2572" s="12"/>
      <c r="H2572" s="12"/>
      <c r="J2572" s="11"/>
    </row>
    <row r="2573" spans="5:10">
      <c r="E2573" s="11"/>
      <c r="G2573" s="12"/>
      <c r="H2573" s="12"/>
      <c r="J2573" s="11"/>
    </row>
    <row r="2574" spans="5:10">
      <c r="E2574" s="11"/>
      <c r="G2574" s="12"/>
      <c r="H2574" s="12"/>
      <c r="J2574" s="11"/>
    </row>
    <row r="2575" spans="5:10">
      <c r="E2575" s="11"/>
      <c r="G2575" s="12"/>
      <c r="H2575" s="12"/>
      <c r="J2575" s="11"/>
    </row>
    <row r="2576" spans="5:10">
      <c r="E2576" s="11"/>
      <c r="G2576" s="12"/>
      <c r="H2576" s="12"/>
      <c r="J2576" s="11"/>
    </row>
    <row r="2577" spans="5:10">
      <c r="E2577" s="11"/>
      <c r="G2577" s="12"/>
      <c r="H2577" s="12"/>
      <c r="J2577" s="11"/>
    </row>
    <row r="2578" spans="5:10">
      <c r="E2578" s="11"/>
      <c r="G2578" s="12"/>
      <c r="H2578" s="12"/>
      <c r="J2578" s="11"/>
    </row>
    <row r="2579" spans="5:10">
      <c r="E2579" s="11"/>
      <c r="G2579" s="12"/>
      <c r="H2579" s="12"/>
      <c r="J2579" s="11"/>
    </row>
    <row r="2580" spans="5:10">
      <c r="E2580" s="11"/>
      <c r="G2580" s="12"/>
      <c r="H2580" s="12"/>
      <c r="J2580" s="11"/>
    </row>
    <row r="2581" spans="5:10">
      <c r="E2581" s="11"/>
      <c r="G2581" s="12"/>
      <c r="H2581" s="12"/>
      <c r="J2581" s="11"/>
    </row>
    <row r="2582" spans="5:10">
      <c r="E2582" s="11"/>
      <c r="G2582" s="12"/>
      <c r="H2582" s="12"/>
      <c r="J2582" s="11"/>
    </row>
    <row r="2583" spans="5:10">
      <c r="E2583" s="11"/>
      <c r="G2583" s="12"/>
      <c r="H2583" s="12"/>
      <c r="J2583" s="11"/>
    </row>
    <row r="2584" spans="5:10">
      <c r="E2584" s="11"/>
      <c r="G2584" s="12"/>
      <c r="H2584" s="12"/>
      <c r="J2584" s="11"/>
    </row>
    <row r="2585" spans="5:10">
      <c r="E2585" s="11"/>
      <c r="G2585" s="12"/>
      <c r="H2585" s="12"/>
      <c r="J2585" s="11"/>
    </row>
    <row r="2586" spans="5:10">
      <c r="E2586" s="11"/>
      <c r="G2586" s="12"/>
      <c r="H2586" s="12"/>
      <c r="J2586" s="11"/>
    </row>
    <row r="2587" spans="5:10">
      <c r="E2587" s="11"/>
      <c r="G2587" s="12"/>
      <c r="H2587" s="12"/>
      <c r="J2587" s="11"/>
    </row>
    <row r="2588" spans="5:10">
      <c r="E2588" s="11"/>
      <c r="G2588" s="12"/>
      <c r="H2588" s="12"/>
      <c r="J2588" s="11"/>
    </row>
    <row r="2589" spans="5:10">
      <c r="E2589" s="11"/>
      <c r="G2589" s="12"/>
      <c r="H2589" s="12"/>
      <c r="J2589" s="11"/>
    </row>
    <row r="2590" spans="5:10">
      <c r="E2590" s="11"/>
      <c r="G2590" s="12"/>
      <c r="H2590" s="12"/>
      <c r="J2590" s="11"/>
    </row>
    <row r="2591" spans="5:10">
      <c r="E2591" s="11"/>
      <c r="G2591" s="12"/>
      <c r="H2591" s="12"/>
      <c r="J2591" s="11"/>
    </row>
    <row r="2592" spans="5:10">
      <c r="E2592" s="11"/>
      <c r="G2592" s="12"/>
      <c r="H2592" s="12"/>
      <c r="J2592" s="11"/>
    </row>
    <row r="2593" spans="5:10">
      <c r="E2593" s="11"/>
      <c r="G2593" s="12"/>
      <c r="H2593" s="12"/>
      <c r="J2593" s="11"/>
    </row>
    <row r="2594" spans="5:10">
      <c r="E2594" s="11"/>
      <c r="G2594" s="12"/>
      <c r="H2594" s="12"/>
      <c r="J2594" s="11"/>
    </row>
    <row r="2595" spans="5:10">
      <c r="E2595" s="11"/>
      <c r="G2595" s="12"/>
      <c r="H2595" s="12"/>
      <c r="J2595" s="11"/>
    </row>
    <row r="2596" spans="5:10">
      <c r="E2596" s="11"/>
      <c r="G2596" s="12"/>
      <c r="H2596" s="12"/>
      <c r="J2596" s="11"/>
    </row>
    <row r="2597" spans="5:10">
      <c r="E2597" s="11"/>
      <c r="G2597" s="12"/>
      <c r="H2597" s="12"/>
      <c r="J2597" s="11"/>
    </row>
    <row r="2598" spans="5:10">
      <c r="E2598" s="11"/>
      <c r="G2598" s="12"/>
      <c r="H2598" s="12"/>
      <c r="J2598" s="11"/>
    </row>
    <row r="2599" spans="5:10">
      <c r="E2599" s="11"/>
      <c r="G2599" s="12"/>
      <c r="H2599" s="12"/>
      <c r="J2599" s="11"/>
    </row>
    <row r="2600" spans="5:10">
      <c r="E2600" s="11"/>
      <c r="G2600" s="12"/>
      <c r="H2600" s="12"/>
      <c r="J2600" s="11"/>
    </row>
    <row r="2601" spans="5:10">
      <c r="E2601" s="11"/>
      <c r="G2601" s="12"/>
      <c r="H2601" s="12"/>
      <c r="J2601" s="11"/>
    </row>
    <row r="2602" spans="5:10">
      <c r="E2602" s="11"/>
      <c r="G2602" s="12"/>
      <c r="H2602" s="12"/>
      <c r="J2602" s="11"/>
    </row>
    <row r="2603" spans="5:10">
      <c r="E2603" s="11"/>
      <c r="G2603" s="12"/>
      <c r="H2603" s="12"/>
      <c r="J2603" s="11"/>
    </row>
    <row r="2604" spans="5:10">
      <c r="E2604" s="11"/>
      <c r="G2604" s="12"/>
      <c r="H2604" s="12"/>
      <c r="J2604" s="11"/>
    </row>
    <row r="2605" spans="5:10">
      <c r="E2605" s="11"/>
      <c r="G2605" s="12"/>
      <c r="H2605" s="12"/>
      <c r="J2605" s="11"/>
    </row>
    <row r="2606" spans="5:10">
      <c r="E2606" s="11"/>
      <c r="G2606" s="12"/>
      <c r="H2606" s="12"/>
      <c r="J2606" s="11"/>
    </row>
    <row r="2607" spans="5:10">
      <c r="E2607" s="11"/>
      <c r="G2607" s="12"/>
      <c r="H2607" s="12"/>
      <c r="J2607" s="11"/>
    </row>
    <row r="2608" spans="5:10">
      <c r="E2608" s="11"/>
      <c r="G2608" s="12"/>
      <c r="H2608" s="12"/>
      <c r="J2608" s="11"/>
    </row>
    <row r="2609" spans="5:10">
      <c r="E2609" s="11"/>
      <c r="G2609" s="12"/>
      <c r="H2609" s="12"/>
      <c r="J2609" s="11"/>
    </row>
    <row r="2610" spans="5:10">
      <c r="E2610" s="11"/>
      <c r="G2610" s="12"/>
      <c r="H2610" s="12"/>
      <c r="J2610" s="11"/>
    </row>
    <row r="2611" spans="5:10">
      <c r="E2611" s="11"/>
      <c r="G2611" s="12"/>
      <c r="H2611" s="12"/>
      <c r="J2611" s="11"/>
    </row>
    <row r="2612" spans="5:10">
      <c r="E2612" s="11"/>
      <c r="G2612" s="12"/>
      <c r="H2612" s="12"/>
      <c r="J2612" s="11"/>
    </row>
    <row r="2613" spans="5:10">
      <c r="E2613" s="11"/>
      <c r="G2613" s="12"/>
      <c r="H2613" s="12"/>
      <c r="J2613" s="11"/>
    </row>
    <row r="2614" spans="5:10">
      <c r="E2614" s="11"/>
      <c r="G2614" s="12"/>
      <c r="H2614" s="12"/>
      <c r="J2614" s="11"/>
    </row>
    <row r="2615" spans="5:10">
      <c r="E2615" s="11"/>
      <c r="G2615" s="12"/>
      <c r="H2615" s="12"/>
      <c r="J2615" s="11"/>
    </row>
    <row r="2616" spans="5:10">
      <c r="E2616" s="11"/>
      <c r="G2616" s="12"/>
      <c r="H2616" s="12"/>
      <c r="J2616" s="11"/>
    </row>
    <row r="2617" spans="5:10">
      <c r="E2617" s="11"/>
      <c r="G2617" s="12"/>
      <c r="H2617" s="12"/>
      <c r="J2617" s="11"/>
    </row>
    <row r="2618" spans="5:10">
      <c r="E2618" s="11"/>
      <c r="G2618" s="12"/>
      <c r="H2618" s="12"/>
      <c r="J2618" s="11"/>
    </row>
    <row r="2619" spans="5:10">
      <c r="E2619" s="11"/>
      <c r="G2619" s="12"/>
      <c r="H2619" s="12"/>
      <c r="J2619" s="11"/>
    </row>
    <row r="2620" spans="5:10">
      <c r="E2620" s="11"/>
      <c r="G2620" s="12"/>
      <c r="H2620" s="12"/>
      <c r="J2620" s="11"/>
    </row>
    <row r="2621" spans="5:10">
      <c r="E2621" s="11"/>
      <c r="G2621" s="12"/>
      <c r="H2621" s="12"/>
      <c r="J2621" s="11"/>
    </row>
    <row r="2622" spans="5:10">
      <c r="E2622" s="11"/>
      <c r="G2622" s="12"/>
      <c r="H2622" s="12"/>
      <c r="J2622" s="11"/>
    </row>
    <row r="2623" spans="5:10">
      <c r="E2623" s="11"/>
      <c r="G2623" s="12"/>
      <c r="H2623" s="12"/>
      <c r="J2623" s="11"/>
    </row>
    <row r="2624" spans="5:10">
      <c r="E2624" s="11"/>
      <c r="G2624" s="12"/>
      <c r="H2624" s="12"/>
      <c r="J2624" s="11"/>
    </row>
    <row r="2625" spans="5:10">
      <c r="E2625" s="11"/>
      <c r="G2625" s="12"/>
      <c r="H2625" s="12"/>
      <c r="J2625" s="11"/>
    </row>
    <row r="2626" spans="5:10">
      <c r="E2626" s="11"/>
      <c r="G2626" s="12"/>
      <c r="H2626" s="12"/>
      <c r="J2626" s="11"/>
    </row>
    <row r="2627" spans="5:10">
      <c r="E2627" s="11"/>
      <c r="G2627" s="12"/>
      <c r="H2627" s="12"/>
      <c r="J2627" s="11"/>
    </row>
    <row r="2628" spans="5:10">
      <c r="E2628" s="11"/>
      <c r="G2628" s="12"/>
      <c r="H2628" s="12"/>
      <c r="J2628" s="11"/>
    </row>
    <row r="2629" spans="5:10">
      <c r="E2629" s="11"/>
      <c r="G2629" s="12"/>
      <c r="H2629" s="12"/>
      <c r="J2629" s="11"/>
    </row>
    <row r="2630" spans="5:10">
      <c r="E2630" s="11"/>
      <c r="G2630" s="12"/>
      <c r="H2630" s="12"/>
      <c r="J2630" s="11"/>
    </row>
    <row r="2631" spans="5:10">
      <c r="E2631" s="11"/>
      <c r="G2631" s="12"/>
      <c r="H2631" s="12"/>
      <c r="J2631" s="11"/>
    </row>
    <row r="2632" spans="5:10">
      <c r="E2632" s="11"/>
      <c r="G2632" s="12"/>
      <c r="H2632" s="12"/>
      <c r="J2632" s="11"/>
    </row>
    <row r="2633" spans="5:10">
      <c r="E2633" s="11"/>
      <c r="G2633" s="12"/>
      <c r="H2633" s="12"/>
      <c r="J2633" s="11"/>
    </row>
    <row r="2634" spans="5:10">
      <c r="E2634" s="11"/>
      <c r="G2634" s="12"/>
      <c r="H2634" s="12"/>
      <c r="J2634" s="11"/>
    </row>
    <row r="2635" spans="5:10">
      <c r="E2635" s="11"/>
      <c r="G2635" s="12"/>
      <c r="H2635" s="12"/>
      <c r="J2635" s="11"/>
    </row>
    <row r="2636" spans="5:10">
      <c r="E2636" s="11"/>
      <c r="G2636" s="12"/>
      <c r="H2636" s="12"/>
      <c r="J2636" s="11"/>
    </row>
    <row r="2637" spans="5:10">
      <c r="E2637" s="11"/>
      <c r="G2637" s="12"/>
      <c r="H2637" s="12"/>
      <c r="J2637" s="11"/>
    </row>
    <row r="2638" spans="5:10">
      <c r="E2638" s="11"/>
      <c r="G2638" s="12"/>
      <c r="H2638" s="12"/>
      <c r="J2638" s="11"/>
    </row>
    <row r="2639" spans="5:10">
      <c r="E2639" s="11"/>
      <c r="G2639" s="12"/>
      <c r="H2639" s="12"/>
      <c r="J2639" s="11"/>
    </row>
    <row r="2640" spans="5:10">
      <c r="E2640" s="11"/>
      <c r="G2640" s="12"/>
      <c r="H2640" s="12"/>
      <c r="J2640" s="11"/>
    </row>
    <row r="2641" spans="5:10">
      <c r="E2641" s="11"/>
      <c r="G2641" s="12"/>
      <c r="H2641" s="12"/>
      <c r="J2641" s="11"/>
    </row>
    <row r="2642" spans="5:10">
      <c r="E2642" s="11"/>
      <c r="G2642" s="12"/>
      <c r="H2642" s="12"/>
      <c r="J2642" s="11"/>
    </row>
    <row r="2643" spans="5:10">
      <c r="E2643" s="11"/>
      <c r="G2643" s="12"/>
      <c r="H2643" s="12"/>
      <c r="J2643" s="11"/>
    </row>
    <row r="2644" spans="5:10">
      <c r="E2644" s="11"/>
      <c r="G2644" s="12"/>
      <c r="H2644" s="12"/>
      <c r="J2644" s="11"/>
    </row>
    <row r="2645" spans="5:10">
      <c r="E2645" s="11"/>
      <c r="G2645" s="12"/>
      <c r="H2645" s="12"/>
      <c r="J2645" s="11"/>
    </row>
    <row r="2646" spans="5:10">
      <c r="E2646" s="11"/>
      <c r="G2646" s="12"/>
      <c r="H2646" s="12"/>
      <c r="J2646" s="11"/>
    </row>
    <row r="2647" spans="5:10">
      <c r="E2647" s="11"/>
      <c r="G2647" s="12"/>
      <c r="H2647" s="12"/>
      <c r="J2647" s="11"/>
    </row>
    <row r="2648" spans="5:10">
      <c r="E2648" s="11"/>
      <c r="G2648" s="12"/>
      <c r="H2648" s="12"/>
      <c r="J2648" s="11"/>
    </row>
    <row r="2649" spans="5:10">
      <c r="E2649" s="11"/>
      <c r="G2649" s="12"/>
      <c r="H2649" s="12"/>
      <c r="J2649" s="11"/>
    </row>
    <row r="2650" spans="5:10">
      <c r="E2650" s="11"/>
      <c r="G2650" s="12"/>
      <c r="H2650" s="12"/>
      <c r="J2650" s="11"/>
    </row>
    <row r="2651" spans="5:10">
      <c r="E2651" s="11"/>
      <c r="G2651" s="12"/>
      <c r="H2651" s="12"/>
      <c r="J2651" s="11"/>
    </row>
    <row r="2652" spans="5:10">
      <c r="E2652" s="11"/>
      <c r="G2652" s="12"/>
      <c r="H2652" s="12"/>
      <c r="J2652" s="11"/>
    </row>
    <row r="2653" spans="5:10">
      <c r="E2653" s="11"/>
      <c r="G2653" s="12"/>
      <c r="H2653" s="12"/>
      <c r="J2653" s="11"/>
    </row>
    <row r="2654" spans="5:10">
      <c r="E2654" s="11"/>
      <c r="G2654" s="12"/>
      <c r="H2654" s="12"/>
      <c r="J2654" s="11"/>
    </row>
    <row r="2655" spans="5:10">
      <c r="E2655" s="11"/>
      <c r="G2655" s="12"/>
      <c r="H2655" s="12"/>
      <c r="J2655" s="11"/>
    </row>
    <row r="2656" spans="5:10">
      <c r="E2656" s="11"/>
      <c r="G2656" s="12"/>
      <c r="H2656" s="12"/>
      <c r="J2656" s="11"/>
    </row>
    <row r="2657" spans="5:10">
      <c r="E2657" s="11"/>
      <c r="G2657" s="12"/>
      <c r="H2657" s="12"/>
      <c r="J2657" s="11"/>
    </row>
    <row r="2658" spans="5:10">
      <c r="E2658" s="11"/>
      <c r="G2658" s="12"/>
      <c r="H2658" s="12"/>
      <c r="J2658" s="11"/>
    </row>
    <row r="2659" spans="5:10">
      <c r="E2659" s="11"/>
      <c r="G2659" s="12"/>
      <c r="H2659" s="12"/>
      <c r="J2659" s="11"/>
    </row>
    <row r="2660" spans="5:10">
      <c r="E2660" s="11"/>
      <c r="G2660" s="12"/>
      <c r="H2660" s="12"/>
      <c r="J2660" s="11"/>
    </row>
    <row r="2661" spans="5:10">
      <c r="E2661" s="11"/>
      <c r="G2661" s="12"/>
      <c r="H2661" s="12"/>
      <c r="J2661" s="11"/>
    </row>
    <row r="2662" spans="5:10">
      <c r="E2662" s="11"/>
      <c r="G2662" s="12"/>
      <c r="H2662" s="12"/>
      <c r="J2662" s="11"/>
    </row>
    <row r="2663" spans="5:10">
      <c r="E2663" s="11"/>
      <c r="G2663" s="12"/>
      <c r="H2663" s="12"/>
      <c r="J2663" s="11"/>
    </row>
    <row r="2664" spans="5:10">
      <c r="E2664" s="11"/>
      <c r="G2664" s="12"/>
      <c r="H2664" s="12"/>
      <c r="J2664" s="11"/>
    </row>
    <row r="2665" spans="5:10">
      <c r="E2665" s="11"/>
      <c r="G2665" s="12"/>
      <c r="H2665" s="12"/>
      <c r="J2665" s="11"/>
    </row>
    <row r="2666" spans="5:10">
      <c r="E2666" s="11"/>
      <c r="G2666" s="12"/>
      <c r="H2666" s="12"/>
      <c r="J2666" s="11"/>
    </row>
    <row r="2667" spans="5:10">
      <c r="E2667" s="11"/>
      <c r="G2667" s="12"/>
      <c r="H2667" s="12"/>
      <c r="J2667" s="11"/>
    </row>
    <row r="2668" spans="5:10">
      <c r="E2668" s="11"/>
      <c r="G2668" s="12"/>
      <c r="H2668" s="12"/>
      <c r="J2668" s="11"/>
    </row>
    <row r="2669" spans="5:10">
      <c r="E2669" s="11"/>
      <c r="G2669" s="12"/>
      <c r="H2669" s="12"/>
      <c r="J2669" s="11"/>
    </row>
    <row r="2670" spans="5:10">
      <c r="E2670" s="11"/>
      <c r="G2670" s="12"/>
      <c r="H2670" s="12"/>
      <c r="J2670" s="11"/>
    </row>
    <row r="2671" spans="5:10">
      <c r="E2671" s="11"/>
      <c r="G2671" s="12"/>
      <c r="H2671" s="12"/>
      <c r="J2671" s="11"/>
    </row>
    <row r="2672" spans="5:10">
      <c r="E2672" s="11"/>
      <c r="G2672" s="12"/>
      <c r="H2672" s="12"/>
      <c r="J2672" s="11"/>
    </row>
    <row r="2673" spans="5:10">
      <c r="E2673" s="11"/>
      <c r="G2673" s="12"/>
      <c r="H2673" s="12"/>
      <c r="J2673" s="11"/>
    </row>
    <row r="2674" spans="5:10">
      <c r="E2674" s="11"/>
      <c r="G2674" s="12"/>
      <c r="H2674" s="12"/>
      <c r="J2674" s="11"/>
    </row>
    <row r="2675" spans="5:10">
      <c r="E2675" s="11"/>
      <c r="G2675" s="12"/>
      <c r="H2675" s="12"/>
      <c r="J2675" s="11"/>
    </row>
    <row r="2676" spans="5:10">
      <c r="E2676" s="11"/>
      <c r="G2676" s="12"/>
      <c r="H2676" s="12"/>
      <c r="J2676" s="11"/>
    </row>
    <row r="2677" spans="5:10">
      <c r="E2677" s="11"/>
      <c r="G2677" s="12"/>
      <c r="H2677" s="12"/>
      <c r="J2677" s="11"/>
    </row>
    <row r="2678" spans="5:10">
      <c r="E2678" s="11"/>
      <c r="G2678" s="12"/>
      <c r="H2678" s="12"/>
      <c r="J2678" s="11"/>
    </row>
    <row r="2679" spans="5:10">
      <c r="E2679" s="11"/>
      <c r="G2679" s="12"/>
      <c r="H2679" s="12"/>
      <c r="J2679" s="11"/>
    </row>
    <row r="2680" spans="5:10">
      <c r="E2680" s="11"/>
      <c r="G2680" s="12"/>
      <c r="H2680" s="12"/>
      <c r="J2680" s="11"/>
    </row>
    <row r="2681" spans="5:10">
      <c r="E2681" s="11"/>
      <c r="G2681" s="12"/>
      <c r="H2681" s="12"/>
      <c r="J2681" s="11"/>
    </row>
    <row r="2682" spans="5:10">
      <c r="E2682" s="11"/>
      <c r="G2682" s="12"/>
      <c r="H2682" s="12"/>
      <c r="J2682" s="11"/>
    </row>
    <row r="2683" spans="5:10">
      <c r="E2683" s="11"/>
      <c r="G2683" s="12"/>
      <c r="H2683" s="12"/>
      <c r="J2683" s="11"/>
    </row>
    <row r="2684" spans="5:10">
      <c r="E2684" s="11"/>
      <c r="G2684" s="12"/>
      <c r="H2684" s="12"/>
      <c r="J2684" s="11"/>
    </row>
    <row r="2685" spans="5:10">
      <c r="E2685" s="11"/>
      <c r="G2685" s="12"/>
      <c r="H2685" s="12"/>
      <c r="J2685" s="11"/>
    </row>
    <row r="2686" spans="5:10">
      <c r="E2686" s="11"/>
      <c r="G2686" s="12"/>
      <c r="H2686" s="12"/>
      <c r="J2686" s="11"/>
    </row>
    <row r="2687" spans="5:10">
      <c r="E2687" s="11"/>
      <c r="G2687" s="12"/>
      <c r="H2687" s="12"/>
      <c r="J2687" s="11"/>
    </row>
    <row r="2688" spans="5:10">
      <c r="E2688" s="11"/>
      <c r="G2688" s="12"/>
      <c r="H2688" s="12"/>
      <c r="J2688" s="11"/>
    </row>
    <row r="2689" spans="5:10">
      <c r="E2689" s="11"/>
      <c r="G2689" s="12"/>
      <c r="H2689" s="12"/>
      <c r="J2689" s="11"/>
    </row>
    <row r="2690" spans="5:10">
      <c r="E2690" s="11"/>
      <c r="G2690" s="12"/>
      <c r="H2690" s="12"/>
      <c r="J2690" s="11"/>
    </row>
    <row r="2691" spans="5:10">
      <c r="E2691" s="11"/>
      <c r="G2691" s="12"/>
      <c r="H2691" s="12"/>
      <c r="J2691" s="11"/>
    </row>
    <row r="2692" spans="5:10">
      <c r="E2692" s="11"/>
      <c r="G2692" s="12"/>
      <c r="H2692" s="12"/>
      <c r="J2692" s="11"/>
    </row>
    <row r="2693" spans="5:10">
      <c r="E2693" s="11"/>
      <c r="G2693" s="12"/>
      <c r="H2693" s="12"/>
      <c r="J2693" s="11"/>
    </row>
    <row r="2694" spans="5:10">
      <c r="E2694" s="11"/>
      <c r="G2694" s="12"/>
      <c r="H2694" s="12"/>
      <c r="J2694" s="11"/>
    </row>
    <row r="2695" spans="5:10">
      <c r="E2695" s="11"/>
      <c r="G2695" s="12"/>
      <c r="H2695" s="12"/>
      <c r="J2695" s="11"/>
    </row>
    <row r="2696" spans="5:10">
      <c r="E2696" s="11"/>
      <c r="G2696" s="12"/>
      <c r="H2696" s="12"/>
      <c r="J2696" s="11"/>
    </row>
    <row r="2697" spans="5:10">
      <c r="E2697" s="11"/>
      <c r="G2697" s="12"/>
      <c r="H2697" s="12"/>
      <c r="J2697" s="11"/>
    </row>
    <row r="2698" spans="5:10">
      <c r="E2698" s="11"/>
      <c r="G2698" s="12"/>
      <c r="H2698" s="12"/>
      <c r="J2698" s="11"/>
    </row>
    <row r="2699" spans="5:10">
      <c r="E2699" s="11"/>
      <c r="G2699" s="12"/>
      <c r="H2699" s="12"/>
      <c r="J2699" s="11"/>
    </row>
    <row r="2700" spans="5:10">
      <c r="E2700" s="11"/>
      <c r="G2700" s="12"/>
      <c r="H2700" s="12"/>
      <c r="J2700" s="11"/>
    </row>
    <row r="2701" spans="5:10">
      <c r="E2701" s="11"/>
      <c r="G2701" s="12"/>
      <c r="H2701" s="12"/>
      <c r="J2701" s="11"/>
    </row>
    <row r="2702" spans="5:10">
      <c r="E2702" s="11"/>
      <c r="G2702" s="12"/>
      <c r="H2702" s="12"/>
      <c r="J2702" s="11"/>
    </row>
    <row r="2703" spans="5:10">
      <c r="E2703" s="11"/>
      <c r="G2703" s="12"/>
      <c r="H2703" s="12"/>
      <c r="J2703" s="11"/>
    </row>
    <row r="2704" spans="5:10">
      <c r="E2704" s="11"/>
      <c r="G2704" s="12"/>
      <c r="H2704" s="12"/>
      <c r="J2704" s="11"/>
    </row>
    <row r="2705" spans="5:10">
      <c r="E2705" s="11"/>
      <c r="G2705" s="12"/>
      <c r="H2705" s="12"/>
      <c r="J2705" s="11"/>
    </row>
    <row r="2706" spans="5:10">
      <c r="E2706" s="11"/>
      <c r="G2706" s="12"/>
      <c r="H2706" s="12"/>
      <c r="J2706" s="11"/>
    </row>
    <row r="2707" spans="5:10">
      <c r="E2707" s="11"/>
      <c r="G2707" s="12"/>
      <c r="H2707" s="12"/>
      <c r="J2707" s="11"/>
    </row>
    <row r="2708" spans="5:10">
      <c r="E2708" s="11"/>
      <c r="G2708" s="12"/>
      <c r="H2708" s="12"/>
      <c r="J2708" s="11"/>
    </row>
    <row r="2709" spans="5:10">
      <c r="E2709" s="11"/>
      <c r="G2709" s="12"/>
      <c r="H2709" s="12"/>
      <c r="J2709" s="11"/>
    </row>
    <row r="2710" spans="5:10">
      <c r="E2710" s="11"/>
      <c r="G2710" s="12"/>
      <c r="H2710" s="12"/>
      <c r="J2710" s="11"/>
    </row>
    <row r="2711" spans="5:10">
      <c r="E2711" s="11"/>
      <c r="G2711" s="12"/>
      <c r="H2711" s="12"/>
      <c r="J2711" s="11"/>
    </row>
    <row r="2712" spans="5:10">
      <c r="E2712" s="11"/>
      <c r="G2712" s="12"/>
      <c r="H2712" s="12"/>
      <c r="J2712" s="11"/>
    </row>
    <row r="2713" spans="5:10">
      <c r="E2713" s="11"/>
      <c r="G2713" s="12"/>
      <c r="H2713" s="12"/>
      <c r="J2713" s="11"/>
    </row>
    <row r="2714" spans="5:10">
      <c r="E2714" s="11"/>
      <c r="G2714" s="12"/>
      <c r="H2714" s="12"/>
      <c r="J2714" s="11"/>
    </row>
    <row r="2715" spans="5:10">
      <c r="E2715" s="11"/>
      <c r="G2715" s="12"/>
      <c r="H2715" s="12"/>
      <c r="J2715" s="11"/>
    </row>
    <row r="2716" spans="5:10">
      <c r="E2716" s="11"/>
      <c r="G2716" s="12"/>
      <c r="H2716" s="12"/>
      <c r="J2716" s="11"/>
    </row>
    <row r="2717" spans="5:10">
      <c r="E2717" s="11"/>
      <c r="G2717" s="12"/>
      <c r="H2717" s="12"/>
      <c r="J2717" s="11"/>
    </row>
    <row r="2718" spans="5:10">
      <c r="E2718" s="11"/>
      <c r="G2718" s="12"/>
      <c r="H2718" s="12"/>
      <c r="J2718" s="11"/>
    </row>
    <row r="2719" spans="5:10">
      <c r="E2719" s="11"/>
      <c r="G2719" s="12"/>
      <c r="H2719" s="12"/>
      <c r="J2719" s="11"/>
    </row>
    <row r="2720" spans="5:10">
      <c r="E2720" s="11"/>
      <c r="G2720" s="12"/>
      <c r="H2720" s="12"/>
      <c r="J2720" s="11"/>
    </row>
    <row r="2721" spans="5:10">
      <c r="E2721" s="11"/>
      <c r="G2721" s="12"/>
      <c r="H2721" s="12"/>
      <c r="J2721" s="11"/>
    </row>
    <row r="2722" spans="5:10">
      <c r="E2722" s="11"/>
      <c r="G2722" s="12"/>
      <c r="H2722" s="12"/>
      <c r="J2722" s="11"/>
    </row>
    <row r="2723" spans="5:10">
      <c r="E2723" s="11"/>
      <c r="G2723" s="12"/>
      <c r="H2723" s="12"/>
      <c r="J2723" s="11"/>
    </row>
    <row r="2724" spans="5:10">
      <c r="E2724" s="11"/>
      <c r="G2724" s="12"/>
      <c r="H2724" s="12"/>
      <c r="J2724" s="11"/>
    </row>
    <row r="2725" spans="5:10">
      <c r="E2725" s="11"/>
      <c r="G2725" s="12"/>
      <c r="H2725" s="12"/>
      <c r="J2725" s="11"/>
    </row>
    <row r="2726" spans="5:10">
      <c r="E2726" s="11"/>
      <c r="G2726" s="12"/>
      <c r="H2726" s="12"/>
      <c r="J2726" s="11"/>
    </row>
    <row r="2727" spans="5:10">
      <c r="E2727" s="11"/>
      <c r="G2727" s="12"/>
      <c r="H2727" s="12"/>
      <c r="J2727" s="11"/>
    </row>
    <row r="2728" spans="5:10">
      <c r="E2728" s="11"/>
      <c r="G2728" s="12"/>
      <c r="H2728" s="12"/>
      <c r="J2728" s="11"/>
    </row>
    <row r="2729" spans="5:10">
      <c r="E2729" s="11"/>
      <c r="G2729" s="12"/>
      <c r="H2729" s="12"/>
      <c r="J2729" s="11"/>
    </row>
    <row r="2730" spans="5:10">
      <c r="E2730" s="11"/>
      <c r="G2730" s="12"/>
      <c r="H2730" s="12"/>
      <c r="J2730" s="11"/>
    </row>
    <row r="2731" spans="5:10">
      <c r="E2731" s="11"/>
      <c r="G2731" s="12"/>
      <c r="H2731" s="12"/>
      <c r="J2731" s="11"/>
    </row>
    <row r="2732" spans="5:10">
      <c r="E2732" s="11"/>
      <c r="G2732" s="12"/>
      <c r="H2732" s="12"/>
      <c r="J2732" s="11"/>
    </row>
    <row r="2733" spans="5:10">
      <c r="E2733" s="11"/>
      <c r="G2733" s="12"/>
      <c r="H2733" s="12"/>
      <c r="J2733" s="11"/>
    </row>
    <row r="2734" spans="5:10">
      <c r="E2734" s="11"/>
      <c r="G2734" s="12"/>
      <c r="H2734" s="12"/>
      <c r="J2734" s="11"/>
    </row>
    <row r="2735" spans="5:10">
      <c r="E2735" s="11"/>
      <c r="G2735" s="12"/>
      <c r="H2735" s="12"/>
      <c r="J2735" s="11"/>
    </row>
    <row r="2736" spans="5:10">
      <c r="E2736" s="11"/>
      <c r="G2736" s="12"/>
      <c r="H2736" s="12"/>
      <c r="J2736" s="11"/>
    </row>
    <row r="2737" spans="5:10">
      <c r="E2737" s="11"/>
      <c r="G2737" s="12"/>
      <c r="H2737" s="12"/>
      <c r="J2737" s="11"/>
    </row>
    <row r="2738" spans="5:10">
      <c r="E2738" s="11"/>
      <c r="G2738" s="12"/>
      <c r="H2738" s="12"/>
      <c r="J2738" s="11"/>
    </row>
    <row r="2739" spans="5:10">
      <c r="E2739" s="11"/>
      <c r="G2739" s="12"/>
      <c r="H2739" s="12"/>
      <c r="J2739" s="11"/>
    </row>
    <row r="2740" spans="5:10">
      <c r="E2740" s="11"/>
      <c r="G2740" s="12"/>
      <c r="H2740" s="12"/>
      <c r="J2740" s="11"/>
    </row>
    <row r="2741" spans="5:10">
      <c r="E2741" s="11"/>
      <c r="G2741" s="12"/>
      <c r="H2741" s="12"/>
      <c r="J2741" s="11"/>
    </row>
    <row r="2742" spans="5:10">
      <c r="E2742" s="11"/>
      <c r="G2742" s="12"/>
      <c r="H2742" s="12"/>
      <c r="J2742" s="11"/>
    </row>
    <row r="2743" spans="5:10">
      <c r="E2743" s="11"/>
      <c r="G2743" s="12"/>
      <c r="H2743" s="12"/>
      <c r="J2743" s="11"/>
    </row>
    <row r="2744" spans="5:10">
      <c r="E2744" s="11"/>
      <c r="G2744" s="12"/>
      <c r="H2744" s="12"/>
      <c r="J2744" s="11"/>
    </row>
    <row r="2745" spans="5:10">
      <c r="E2745" s="11"/>
      <c r="G2745" s="12"/>
      <c r="H2745" s="12"/>
      <c r="J2745" s="11"/>
    </row>
    <row r="2746" spans="5:10">
      <c r="E2746" s="11"/>
      <c r="G2746" s="12"/>
      <c r="H2746" s="12"/>
      <c r="J2746" s="11"/>
    </row>
    <row r="2747" spans="5:10">
      <c r="E2747" s="11"/>
      <c r="G2747" s="12"/>
      <c r="H2747" s="12"/>
      <c r="J2747" s="11"/>
    </row>
    <row r="2748" spans="5:10">
      <c r="E2748" s="11"/>
      <c r="G2748" s="12"/>
      <c r="H2748" s="12"/>
      <c r="J2748" s="11"/>
    </row>
    <row r="2749" spans="5:10">
      <c r="E2749" s="11"/>
      <c r="G2749" s="12"/>
      <c r="H2749" s="12"/>
      <c r="J2749" s="11"/>
    </row>
    <row r="2750" spans="5:10">
      <c r="E2750" s="11"/>
      <c r="G2750" s="12"/>
      <c r="H2750" s="12"/>
      <c r="J2750" s="11"/>
    </row>
    <row r="2751" spans="5:10">
      <c r="E2751" s="11"/>
      <c r="G2751" s="12"/>
      <c r="H2751" s="12"/>
      <c r="J2751" s="11"/>
    </row>
    <row r="2752" spans="5:10">
      <c r="E2752" s="11"/>
      <c r="G2752" s="12"/>
      <c r="H2752" s="12"/>
      <c r="J2752" s="11"/>
    </row>
    <row r="2753" spans="5:10">
      <c r="E2753" s="11"/>
      <c r="G2753" s="12"/>
      <c r="H2753" s="12"/>
      <c r="J2753" s="11"/>
    </row>
    <row r="2754" spans="5:10">
      <c r="E2754" s="11"/>
      <c r="G2754" s="12"/>
      <c r="H2754" s="12"/>
      <c r="J2754" s="11"/>
    </row>
    <row r="2755" spans="5:10">
      <c r="E2755" s="11"/>
      <c r="G2755" s="12"/>
      <c r="H2755" s="12"/>
      <c r="J2755" s="11"/>
    </row>
    <row r="2756" spans="5:10">
      <c r="E2756" s="11"/>
      <c r="G2756" s="12"/>
      <c r="H2756" s="12"/>
      <c r="J2756" s="11"/>
    </row>
    <row r="2757" spans="5:10">
      <c r="E2757" s="11"/>
      <c r="G2757" s="12"/>
      <c r="H2757" s="12"/>
      <c r="J2757" s="11"/>
    </row>
    <row r="2758" spans="5:10">
      <c r="E2758" s="11"/>
      <c r="G2758" s="12"/>
      <c r="H2758" s="12"/>
      <c r="J2758" s="11"/>
    </row>
    <row r="2759" spans="5:10">
      <c r="E2759" s="11"/>
      <c r="G2759" s="12"/>
      <c r="H2759" s="12"/>
      <c r="J2759" s="11"/>
    </row>
    <row r="2760" spans="5:10">
      <c r="E2760" s="11"/>
      <c r="G2760" s="12"/>
      <c r="H2760" s="12"/>
      <c r="J2760" s="11"/>
    </row>
    <row r="2761" spans="5:10">
      <c r="E2761" s="11"/>
      <c r="G2761" s="12"/>
      <c r="H2761" s="12"/>
      <c r="J2761" s="11"/>
    </row>
    <row r="2762" spans="5:10">
      <c r="E2762" s="11"/>
      <c r="G2762" s="12"/>
      <c r="H2762" s="12"/>
      <c r="J2762" s="11"/>
    </row>
    <row r="2763" spans="5:10">
      <c r="E2763" s="11"/>
      <c r="G2763" s="12"/>
      <c r="H2763" s="12"/>
      <c r="J2763" s="11"/>
    </row>
    <row r="2764" spans="5:10">
      <c r="E2764" s="11"/>
      <c r="G2764" s="12"/>
      <c r="H2764" s="12"/>
      <c r="J2764" s="11"/>
    </row>
    <row r="2765" spans="5:10">
      <c r="E2765" s="11"/>
      <c r="G2765" s="12"/>
      <c r="H2765" s="12"/>
      <c r="J2765" s="11"/>
    </row>
    <row r="2766" spans="5:10">
      <c r="E2766" s="11"/>
      <c r="G2766" s="12"/>
      <c r="H2766" s="12"/>
      <c r="J2766" s="11"/>
    </row>
    <row r="2767" spans="5:10">
      <c r="E2767" s="11"/>
      <c r="G2767" s="12"/>
      <c r="H2767" s="12"/>
      <c r="J2767" s="11"/>
    </row>
    <row r="2768" spans="5:10">
      <c r="E2768" s="11"/>
      <c r="G2768" s="12"/>
      <c r="H2768" s="12"/>
      <c r="J2768" s="11"/>
    </row>
    <row r="2769" spans="5:10">
      <c r="E2769" s="11"/>
      <c r="G2769" s="12"/>
      <c r="H2769" s="12"/>
      <c r="J2769" s="11"/>
    </row>
    <row r="2770" spans="5:10">
      <c r="E2770" s="11"/>
      <c r="G2770" s="12"/>
      <c r="H2770" s="12"/>
      <c r="J2770" s="11"/>
    </row>
    <row r="2771" spans="5:10">
      <c r="E2771" s="11"/>
      <c r="G2771" s="12"/>
      <c r="H2771" s="12"/>
      <c r="J2771" s="11"/>
    </row>
    <row r="2772" spans="5:10">
      <c r="E2772" s="11"/>
      <c r="G2772" s="12"/>
      <c r="H2772" s="12"/>
      <c r="J2772" s="11"/>
    </row>
    <row r="2773" spans="5:10">
      <c r="E2773" s="11"/>
      <c r="G2773" s="12"/>
      <c r="H2773" s="12"/>
      <c r="J2773" s="11"/>
    </row>
    <row r="2774" spans="5:10">
      <c r="E2774" s="11"/>
      <c r="G2774" s="12"/>
      <c r="H2774" s="12"/>
      <c r="J2774" s="11"/>
    </row>
    <row r="2775" spans="5:10">
      <c r="E2775" s="11"/>
      <c r="G2775" s="12"/>
      <c r="H2775" s="12"/>
      <c r="J2775" s="11"/>
    </row>
    <row r="2776" spans="5:10">
      <c r="E2776" s="11"/>
      <c r="G2776" s="12"/>
      <c r="H2776" s="12"/>
      <c r="J2776" s="11"/>
    </row>
    <row r="2777" spans="5:10">
      <c r="E2777" s="11"/>
      <c r="G2777" s="12"/>
      <c r="H2777" s="12"/>
      <c r="J2777" s="11"/>
    </row>
    <row r="2778" spans="5:10">
      <c r="E2778" s="11"/>
      <c r="G2778" s="12"/>
      <c r="H2778" s="12"/>
      <c r="J2778" s="11"/>
    </row>
    <row r="2779" spans="5:10">
      <c r="E2779" s="11"/>
      <c r="G2779" s="12"/>
      <c r="H2779" s="12"/>
      <c r="J2779" s="11"/>
    </row>
    <row r="2780" spans="5:10">
      <c r="E2780" s="11"/>
      <c r="G2780" s="12"/>
      <c r="H2780" s="12"/>
      <c r="J2780" s="11"/>
    </row>
    <row r="2781" spans="5:10">
      <c r="E2781" s="11"/>
      <c r="G2781" s="12"/>
      <c r="H2781" s="12"/>
      <c r="J2781" s="11"/>
    </row>
    <row r="2782" spans="5:10">
      <c r="E2782" s="11"/>
      <c r="G2782" s="12"/>
      <c r="H2782" s="12"/>
      <c r="J2782" s="11"/>
    </row>
    <row r="2783" spans="5:10">
      <c r="E2783" s="11"/>
      <c r="G2783" s="12"/>
      <c r="H2783" s="12"/>
      <c r="J2783" s="11"/>
    </row>
    <row r="2784" spans="5:10">
      <c r="E2784" s="11"/>
      <c r="G2784" s="12"/>
      <c r="H2784" s="12"/>
      <c r="J2784" s="11"/>
    </row>
    <row r="2785" spans="5:10">
      <c r="E2785" s="11"/>
      <c r="G2785" s="12"/>
      <c r="H2785" s="12"/>
      <c r="J2785" s="11"/>
    </row>
    <row r="2786" spans="5:10">
      <c r="E2786" s="11"/>
      <c r="G2786" s="12"/>
      <c r="H2786" s="12"/>
      <c r="J2786" s="11"/>
    </row>
    <row r="2787" spans="5:10">
      <c r="E2787" s="11"/>
      <c r="G2787" s="12"/>
      <c r="H2787" s="12"/>
      <c r="J2787" s="11"/>
    </row>
    <row r="2788" spans="5:10">
      <c r="E2788" s="11"/>
      <c r="G2788" s="12"/>
      <c r="H2788" s="12"/>
      <c r="J2788" s="11"/>
    </row>
    <row r="2789" spans="5:10">
      <c r="E2789" s="11"/>
      <c r="G2789" s="12"/>
      <c r="H2789" s="12"/>
      <c r="J2789" s="11"/>
    </row>
    <row r="2790" spans="5:10">
      <c r="E2790" s="11"/>
      <c r="G2790" s="12"/>
      <c r="H2790" s="12"/>
      <c r="J2790" s="11"/>
    </row>
    <row r="2791" spans="5:10">
      <c r="E2791" s="11"/>
      <c r="G2791" s="12"/>
      <c r="H2791" s="12"/>
      <c r="J2791" s="11"/>
    </row>
    <row r="2792" spans="5:10">
      <c r="E2792" s="11"/>
      <c r="G2792" s="12"/>
      <c r="H2792" s="12"/>
      <c r="J2792" s="11"/>
    </row>
    <row r="2793" spans="5:10">
      <c r="E2793" s="11"/>
      <c r="G2793" s="12"/>
      <c r="H2793" s="12"/>
      <c r="J2793" s="11"/>
    </row>
    <row r="2794" spans="5:10">
      <c r="E2794" s="11"/>
      <c r="G2794" s="12"/>
      <c r="H2794" s="12"/>
      <c r="J2794" s="11"/>
    </row>
    <row r="2795" spans="5:10">
      <c r="E2795" s="11"/>
      <c r="G2795" s="12"/>
      <c r="H2795" s="12"/>
      <c r="J2795" s="11"/>
    </row>
    <row r="2796" spans="5:10">
      <c r="E2796" s="11"/>
      <c r="G2796" s="12"/>
      <c r="H2796" s="12"/>
      <c r="J2796" s="11"/>
    </row>
    <row r="2797" spans="5:10">
      <c r="E2797" s="11"/>
      <c r="G2797" s="12"/>
      <c r="H2797" s="12"/>
      <c r="J2797" s="11"/>
    </row>
    <row r="2798" spans="5:10">
      <c r="E2798" s="11"/>
      <c r="G2798" s="12"/>
      <c r="H2798" s="12"/>
      <c r="J2798" s="11"/>
    </row>
    <row r="2799" spans="5:10">
      <c r="E2799" s="11"/>
      <c r="G2799" s="12"/>
      <c r="H2799" s="12"/>
      <c r="J2799" s="11"/>
    </row>
    <row r="2800" spans="5:10">
      <c r="E2800" s="11"/>
      <c r="G2800" s="12"/>
      <c r="H2800" s="12"/>
      <c r="J2800" s="11"/>
    </row>
    <row r="2801" spans="5:10">
      <c r="E2801" s="11"/>
      <c r="G2801" s="12"/>
      <c r="H2801" s="12"/>
      <c r="J2801" s="11"/>
    </row>
    <row r="2802" spans="5:10">
      <c r="E2802" s="11"/>
      <c r="G2802" s="12"/>
      <c r="H2802" s="12"/>
      <c r="J2802" s="11"/>
    </row>
    <row r="2803" spans="5:10">
      <c r="E2803" s="11"/>
      <c r="G2803" s="12"/>
      <c r="H2803" s="12"/>
      <c r="J2803" s="11"/>
    </row>
    <row r="2804" spans="5:10">
      <c r="E2804" s="11"/>
      <c r="G2804" s="12"/>
      <c r="H2804" s="12"/>
      <c r="J2804" s="11"/>
    </row>
    <row r="2805" spans="5:10">
      <c r="E2805" s="11"/>
      <c r="G2805" s="12"/>
      <c r="H2805" s="12"/>
      <c r="J2805" s="11"/>
    </row>
    <row r="2806" spans="5:10">
      <c r="E2806" s="11"/>
      <c r="G2806" s="12"/>
      <c r="H2806" s="12"/>
      <c r="J2806" s="11"/>
    </row>
    <row r="2807" spans="5:10">
      <c r="E2807" s="11"/>
      <c r="G2807" s="12"/>
      <c r="H2807" s="12"/>
      <c r="J2807" s="11"/>
    </row>
    <row r="2808" spans="5:10">
      <c r="E2808" s="11"/>
      <c r="G2808" s="12"/>
      <c r="H2808" s="12"/>
      <c r="J2808" s="11"/>
    </row>
    <row r="2809" spans="5:10">
      <c r="E2809" s="11"/>
      <c r="G2809" s="12"/>
      <c r="H2809" s="12"/>
      <c r="J2809" s="11"/>
    </row>
    <row r="2810" spans="5:10">
      <c r="E2810" s="11"/>
      <c r="G2810" s="12"/>
      <c r="H2810" s="12"/>
      <c r="J2810" s="11"/>
    </row>
    <row r="2811" spans="5:10">
      <c r="E2811" s="11"/>
      <c r="G2811" s="12"/>
      <c r="H2811" s="12"/>
      <c r="J2811" s="11"/>
    </row>
    <row r="2812" spans="5:10">
      <c r="E2812" s="11"/>
      <c r="G2812" s="12"/>
      <c r="H2812" s="12"/>
      <c r="J2812" s="11"/>
    </row>
    <row r="2813" spans="5:10">
      <c r="E2813" s="11"/>
      <c r="G2813" s="12"/>
      <c r="H2813" s="12"/>
      <c r="J2813" s="11"/>
    </row>
    <row r="2814" spans="5:10">
      <c r="E2814" s="11"/>
      <c r="G2814" s="12"/>
      <c r="H2814" s="12"/>
      <c r="J2814" s="11"/>
    </row>
    <row r="2815" spans="5:10">
      <c r="E2815" s="11"/>
      <c r="G2815" s="12"/>
      <c r="H2815" s="12"/>
      <c r="J2815" s="11"/>
    </row>
    <row r="2816" spans="5:10">
      <c r="E2816" s="11"/>
      <c r="G2816" s="12"/>
      <c r="H2816" s="12"/>
      <c r="J2816" s="11"/>
    </row>
    <row r="2817" spans="5:10">
      <c r="E2817" s="11"/>
      <c r="G2817" s="12"/>
      <c r="H2817" s="12"/>
      <c r="J2817" s="11"/>
    </row>
    <row r="2818" spans="5:10">
      <c r="E2818" s="11"/>
      <c r="G2818" s="12"/>
      <c r="H2818" s="12"/>
      <c r="J2818" s="11"/>
    </row>
    <row r="2819" spans="5:10">
      <c r="E2819" s="11"/>
      <c r="G2819" s="12"/>
      <c r="H2819" s="12"/>
      <c r="J2819" s="11"/>
    </row>
    <row r="2820" spans="5:10">
      <c r="E2820" s="11"/>
      <c r="G2820" s="12"/>
      <c r="H2820" s="12"/>
      <c r="J2820" s="11"/>
    </row>
    <row r="2821" spans="5:10">
      <c r="E2821" s="11"/>
      <c r="G2821" s="12"/>
      <c r="H2821" s="12"/>
      <c r="J2821" s="11"/>
    </row>
    <row r="2822" spans="5:10">
      <c r="E2822" s="11"/>
      <c r="G2822" s="12"/>
      <c r="H2822" s="12"/>
      <c r="J2822" s="11"/>
    </row>
    <row r="2823" spans="5:10">
      <c r="E2823" s="11"/>
      <c r="G2823" s="12"/>
      <c r="H2823" s="12"/>
      <c r="J2823" s="11"/>
    </row>
    <row r="2824" spans="5:10">
      <c r="E2824" s="11"/>
      <c r="G2824" s="12"/>
      <c r="H2824" s="12"/>
      <c r="J2824" s="11"/>
    </row>
    <row r="2825" spans="5:10">
      <c r="E2825" s="11"/>
      <c r="G2825" s="12"/>
      <c r="H2825" s="12"/>
      <c r="J2825" s="11"/>
    </row>
    <row r="2826" spans="5:10">
      <c r="E2826" s="11"/>
      <c r="G2826" s="12"/>
      <c r="H2826" s="12"/>
      <c r="J2826" s="11"/>
    </row>
    <row r="2827" spans="5:10">
      <c r="E2827" s="11"/>
      <c r="G2827" s="12"/>
      <c r="H2827" s="12"/>
      <c r="J2827" s="11"/>
    </row>
    <row r="2828" spans="5:10">
      <c r="E2828" s="11"/>
      <c r="G2828" s="12"/>
      <c r="H2828" s="12"/>
      <c r="J2828" s="11"/>
    </row>
    <row r="2829" spans="5:10">
      <c r="E2829" s="11"/>
      <c r="G2829" s="12"/>
      <c r="H2829" s="12"/>
      <c r="J2829" s="11"/>
    </row>
    <row r="2830" spans="5:10">
      <c r="E2830" s="11"/>
      <c r="G2830" s="12"/>
      <c r="H2830" s="12"/>
      <c r="J2830" s="11"/>
    </row>
    <row r="2831" spans="5:10">
      <c r="E2831" s="11"/>
      <c r="G2831" s="12"/>
      <c r="H2831" s="12"/>
      <c r="J2831" s="11"/>
    </row>
    <row r="2832" spans="5:10">
      <c r="E2832" s="11"/>
      <c r="G2832" s="12"/>
      <c r="H2832" s="12"/>
      <c r="J2832" s="11"/>
    </row>
    <row r="2833" spans="5:10">
      <c r="E2833" s="11"/>
      <c r="G2833" s="12"/>
      <c r="H2833" s="12"/>
      <c r="J2833" s="11"/>
    </row>
    <row r="2834" spans="5:10">
      <c r="E2834" s="11"/>
      <c r="G2834" s="12"/>
      <c r="H2834" s="12"/>
      <c r="J2834" s="11"/>
    </row>
    <row r="2835" spans="5:10">
      <c r="E2835" s="11"/>
      <c r="G2835" s="12"/>
      <c r="H2835" s="12"/>
      <c r="J2835" s="11"/>
    </row>
    <row r="2836" spans="5:10">
      <c r="E2836" s="11"/>
      <c r="G2836" s="12"/>
      <c r="H2836" s="12"/>
      <c r="J2836" s="11"/>
    </row>
    <row r="2837" spans="5:10">
      <c r="E2837" s="11"/>
      <c r="G2837" s="12"/>
      <c r="H2837" s="12"/>
      <c r="J2837" s="11"/>
    </row>
    <row r="2838" spans="5:10">
      <c r="E2838" s="11"/>
      <c r="G2838" s="12"/>
      <c r="H2838" s="12"/>
      <c r="J2838" s="11"/>
    </row>
    <row r="2839" spans="5:10">
      <c r="E2839" s="11"/>
      <c r="G2839" s="12"/>
      <c r="H2839" s="12"/>
      <c r="J2839" s="11"/>
    </row>
    <row r="2840" spans="5:10">
      <c r="E2840" s="11"/>
      <c r="G2840" s="12"/>
      <c r="H2840" s="12"/>
      <c r="J2840" s="11"/>
    </row>
    <row r="2841" spans="5:10">
      <c r="E2841" s="11"/>
      <c r="G2841" s="12"/>
      <c r="H2841" s="12"/>
      <c r="J2841" s="11"/>
    </row>
    <row r="2842" spans="5:10">
      <c r="E2842" s="11"/>
      <c r="G2842" s="12"/>
      <c r="H2842" s="12"/>
      <c r="J2842" s="11"/>
    </row>
    <row r="2843" spans="5:10">
      <c r="E2843" s="11"/>
      <c r="G2843" s="12"/>
      <c r="H2843" s="12"/>
      <c r="J2843" s="11"/>
    </row>
    <row r="2844" spans="5:10">
      <c r="E2844" s="11"/>
      <c r="G2844" s="12"/>
      <c r="H2844" s="12"/>
      <c r="J2844" s="11"/>
    </row>
    <row r="2845" spans="5:10">
      <c r="E2845" s="11"/>
      <c r="G2845" s="12"/>
      <c r="H2845" s="12"/>
      <c r="J2845" s="11"/>
    </row>
    <row r="2846" spans="5:10">
      <c r="E2846" s="11"/>
      <c r="G2846" s="12"/>
      <c r="H2846" s="12"/>
      <c r="J2846" s="11"/>
    </row>
    <row r="2847" spans="5:10">
      <c r="E2847" s="11"/>
      <c r="G2847" s="12"/>
      <c r="H2847" s="12"/>
      <c r="J2847" s="11"/>
    </row>
    <row r="2848" spans="5:10">
      <c r="E2848" s="11"/>
      <c r="G2848" s="12"/>
      <c r="H2848" s="12"/>
      <c r="J2848" s="11"/>
    </row>
    <row r="2849" spans="5:10">
      <c r="E2849" s="11"/>
      <c r="G2849" s="12"/>
      <c r="H2849" s="12"/>
      <c r="J2849" s="11"/>
    </row>
    <row r="2850" spans="5:10">
      <c r="E2850" s="11"/>
      <c r="G2850" s="12"/>
      <c r="H2850" s="12"/>
      <c r="J2850" s="11"/>
    </row>
    <row r="2851" spans="5:10">
      <c r="E2851" s="11"/>
      <c r="G2851" s="12"/>
      <c r="H2851" s="12"/>
      <c r="J2851" s="11"/>
    </row>
    <row r="2852" spans="5:10">
      <c r="E2852" s="11"/>
      <c r="G2852" s="12"/>
      <c r="H2852" s="12"/>
      <c r="J2852" s="11"/>
    </row>
    <row r="2853" spans="5:10">
      <c r="E2853" s="11"/>
      <c r="G2853" s="12"/>
      <c r="H2853" s="12"/>
      <c r="J2853" s="11"/>
    </row>
    <row r="2854" spans="5:10">
      <c r="E2854" s="11"/>
      <c r="G2854" s="12"/>
      <c r="H2854" s="12"/>
      <c r="J2854" s="11"/>
    </row>
    <row r="2855" spans="5:10">
      <c r="E2855" s="11"/>
      <c r="G2855" s="12"/>
      <c r="H2855" s="12"/>
      <c r="J2855" s="11"/>
    </row>
    <row r="2856" spans="5:10">
      <c r="E2856" s="11"/>
      <c r="G2856" s="12"/>
      <c r="H2856" s="12"/>
      <c r="J2856" s="11"/>
    </row>
    <row r="2857" spans="5:10">
      <c r="E2857" s="11"/>
      <c r="G2857" s="12"/>
      <c r="H2857" s="12"/>
      <c r="J2857" s="11"/>
    </row>
    <row r="2858" spans="5:10">
      <c r="E2858" s="11"/>
      <c r="G2858" s="12"/>
      <c r="H2858" s="12"/>
      <c r="J2858" s="11"/>
    </row>
    <row r="2859" spans="5:10">
      <c r="E2859" s="11"/>
      <c r="G2859" s="12"/>
      <c r="H2859" s="12"/>
      <c r="J2859" s="11"/>
    </row>
    <row r="2860" spans="5:10">
      <c r="E2860" s="11"/>
      <c r="G2860" s="12"/>
      <c r="H2860" s="12"/>
      <c r="J2860" s="11"/>
    </row>
    <row r="2861" spans="5:10">
      <c r="E2861" s="11"/>
      <c r="G2861" s="12"/>
      <c r="H2861" s="12"/>
      <c r="J2861" s="11"/>
    </row>
    <row r="2862" spans="5:10">
      <c r="E2862" s="11"/>
      <c r="G2862" s="12"/>
      <c r="H2862" s="12"/>
      <c r="J2862" s="11"/>
    </row>
    <row r="2863" spans="5:10">
      <c r="E2863" s="11"/>
      <c r="G2863" s="12"/>
      <c r="H2863" s="12"/>
      <c r="J2863" s="11"/>
    </row>
    <row r="2864" spans="5:10">
      <c r="E2864" s="11"/>
      <c r="G2864" s="12"/>
      <c r="H2864" s="12"/>
      <c r="J2864" s="11"/>
    </row>
    <row r="2865" spans="5:10">
      <c r="E2865" s="11"/>
      <c r="G2865" s="12"/>
      <c r="H2865" s="12"/>
      <c r="J2865" s="11"/>
    </row>
    <row r="2866" spans="5:10">
      <c r="E2866" s="11"/>
      <c r="G2866" s="12"/>
      <c r="H2866" s="12"/>
      <c r="J2866" s="11"/>
    </row>
    <row r="2867" spans="5:10">
      <c r="E2867" s="11"/>
      <c r="G2867" s="12"/>
      <c r="H2867" s="12"/>
      <c r="J2867" s="11"/>
    </row>
    <row r="2868" spans="5:10">
      <c r="E2868" s="11"/>
      <c r="G2868" s="12"/>
      <c r="H2868" s="12"/>
      <c r="J2868" s="11"/>
    </row>
    <row r="2869" spans="5:10">
      <c r="E2869" s="11"/>
      <c r="G2869" s="12"/>
      <c r="H2869" s="12"/>
      <c r="J2869" s="11"/>
    </row>
    <row r="2870" spans="5:10">
      <c r="E2870" s="11"/>
      <c r="G2870" s="12"/>
      <c r="H2870" s="12"/>
      <c r="J2870" s="11"/>
    </row>
    <row r="2871" spans="5:10">
      <c r="E2871" s="11"/>
      <c r="G2871" s="12"/>
      <c r="H2871" s="12"/>
      <c r="J2871" s="11"/>
    </row>
    <row r="2872" spans="5:10">
      <c r="E2872" s="11"/>
      <c r="G2872" s="12"/>
      <c r="H2872" s="12"/>
      <c r="J2872" s="11"/>
    </row>
    <row r="2873" spans="5:10">
      <c r="E2873" s="11"/>
      <c r="G2873" s="12"/>
      <c r="H2873" s="12"/>
      <c r="J2873" s="11"/>
    </row>
    <row r="2874" spans="5:10">
      <c r="E2874" s="11"/>
      <c r="G2874" s="12"/>
      <c r="H2874" s="12"/>
      <c r="J2874" s="11"/>
    </row>
    <row r="2875" spans="5:10">
      <c r="E2875" s="11"/>
      <c r="G2875" s="12"/>
      <c r="H2875" s="12"/>
      <c r="J2875" s="11"/>
    </row>
    <row r="2876" spans="5:10">
      <c r="E2876" s="11"/>
      <c r="G2876" s="12"/>
      <c r="H2876" s="12"/>
      <c r="J2876" s="11"/>
    </row>
    <row r="2877" spans="5:10">
      <c r="E2877" s="11"/>
      <c r="G2877" s="12"/>
      <c r="H2877" s="12"/>
      <c r="J2877" s="11"/>
    </row>
    <row r="2878" spans="5:10">
      <c r="E2878" s="11"/>
      <c r="G2878" s="12"/>
      <c r="H2878" s="12"/>
      <c r="J2878" s="11"/>
    </row>
    <row r="2879" spans="5:10">
      <c r="E2879" s="11"/>
      <c r="G2879" s="12"/>
      <c r="H2879" s="12"/>
      <c r="J2879" s="11"/>
    </row>
    <row r="2880" spans="5:10">
      <c r="E2880" s="11"/>
      <c r="G2880" s="12"/>
      <c r="H2880" s="12"/>
      <c r="J2880" s="11"/>
    </row>
    <row r="2881" spans="5:10">
      <c r="E2881" s="11"/>
      <c r="G2881" s="12"/>
      <c r="H2881" s="12"/>
      <c r="J2881" s="11"/>
    </row>
    <row r="2882" spans="5:10">
      <c r="E2882" s="11"/>
      <c r="G2882" s="12"/>
      <c r="H2882" s="12"/>
      <c r="J2882" s="11"/>
    </row>
    <row r="2883" spans="5:10">
      <c r="E2883" s="11"/>
      <c r="G2883" s="12"/>
      <c r="H2883" s="12"/>
      <c r="J2883" s="11"/>
    </row>
    <row r="2884" spans="5:10">
      <c r="E2884" s="11"/>
      <c r="G2884" s="12"/>
      <c r="H2884" s="12"/>
      <c r="J2884" s="11"/>
    </row>
    <row r="2885" spans="5:10">
      <c r="E2885" s="11"/>
      <c r="G2885" s="12"/>
      <c r="H2885" s="12"/>
      <c r="J2885" s="11"/>
    </row>
    <row r="2886" spans="5:10">
      <c r="E2886" s="11"/>
      <c r="G2886" s="12"/>
      <c r="H2886" s="12"/>
      <c r="J2886" s="11"/>
    </row>
    <row r="2887" spans="5:10">
      <c r="E2887" s="11"/>
      <c r="G2887" s="12"/>
      <c r="H2887" s="12"/>
      <c r="J2887" s="11"/>
    </row>
    <row r="2888" spans="5:10">
      <c r="E2888" s="11"/>
      <c r="G2888" s="12"/>
      <c r="H2888" s="12"/>
      <c r="J2888" s="11"/>
    </row>
    <row r="2889" spans="5:10">
      <c r="E2889" s="11"/>
      <c r="G2889" s="12"/>
      <c r="H2889" s="12"/>
      <c r="J2889" s="11"/>
    </row>
    <row r="2890" spans="5:10">
      <c r="E2890" s="11"/>
      <c r="G2890" s="12"/>
      <c r="H2890" s="12"/>
      <c r="J2890" s="11"/>
    </row>
    <row r="2891" spans="5:10">
      <c r="E2891" s="11"/>
      <c r="G2891" s="12"/>
      <c r="H2891" s="12"/>
      <c r="J2891" s="11"/>
    </row>
    <row r="2892" spans="5:10">
      <c r="E2892" s="11"/>
      <c r="G2892" s="12"/>
      <c r="H2892" s="12"/>
      <c r="J2892" s="11"/>
    </row>
    <row r="2893" spans="5:10">
      <c r="E2893" s="11"/>
      <c r="G2893" s="12"/>
      <c r="H2893" s="12"/>
      <c r="J2893" s="11"/>
    </row>
    <row r="2894" spans="5:10">
      <c r="E2894" s="11"/>
      <c r="G2894" s="12"/>
      <c r="H2894" s="12"/>
      <c r="J2894" s="11"/>
    </row>
    <row r="2895" spans="5:10">
      <c r="E2895" s="11"/>
      <c r="G2895" s="12"/>
      <c r="H2895" s="12"/>
      <c r="J2895" s="11"/>
    </row>
    <row r="2896" spans="5:10">
      <c r="E2896" s="11"/>
      <c r="G2896" s="12"/>
      <c r="H2896" s="12"/>
      <c r="J2896" s="11"/>
    </row>
    <row r="2897" spans="5:10">
      <c r="E2897" s="11"/>
      <c r="G2897" s="12"/>
      <c r="H2897" s="12"/>
      <c r="J2897" s="11"/>
    </row>
    <row r="2898" spans="5:10">
      <c r="E2898" s="11"/>
      <c r="G2898" s="12"/>
      <c r="H2898" s="12"/>
      <c r="J2898" s="11"/>
    </row>
    <row r="2899" spans="5:10">
      <c r="E2899" s="11"/>
      <c r="G2899" s="12"/>
      <c r="H2899" s="12"/>
      <c r="J2899" s="11"/>
    </row>
    <row r="2900" spans="5:10">
      <c r="E2900" s="11"/>
      <c r="G2900" s="12"/>
      <c r="H2900" s="12"/>
      <c r="J2900" s="11"/>
    </row>
    <row r="2901" spans="5:10">
      <c r="E2901" s="11"/>
      <c r="G2901" s="12"/>
      <c r="H2901" s="12"/>
      <c r="J2901" s="11"/>
    </row>
    <row r="2902" spans="5:10">
      <c r="E2902" s="11"/>
      <c r="G2902" s="12"/>
      <c r="H2902" s="12"/>
      <c r="J2902" s="11"/>
    </row>
    <row r="2903" spans="5:10">
      <c r="E2903" s="11"/>
      <c r="G2903" s="12"/>
      <c r="H2903" s="12"/>
      <c r="J2903" s="11"/>
    </row>
    <row r="2904" spans="5:10">
      <c r="E2904" s="11"/>
      <c r="G2904" s="12"/>
      <c r="H2904" s="12"/>
      <c r="J2904" s="11"/>
    </row>
    <row r="2905" spans="5:10">
      <c r="E2905" s="11"/>
      <c r="G2905" s="12"/>
      <c r="H2905" s="12"/>
      <c r="J2905" s="11"/>
    </row>
    <row r="2906" spans="5:10">
      <c r="E2906" s="11"/>
      <c r="G2906" s="12"/>
      <c r="H2906" s="12"/>
      <c r="J2906" s="11"/>
    </row>
    <row r="2907" spans="5:10">
      <c r="E2907" s="11"/>
      <c r="G2907" s="12"/>
      <c r="H2907" s="12"/>
      <c r="J2907" s="11"/>
    </row>
    <row r="2908" spans="5:10">
      <c r="E2908" s="11"/>
      <c r="G2908" s="12"/>
      <c r="H2908" s="12"/>
      <c r="J2908" s="11"/>
    </row>
    <row r="2909" spans="5:10">
      <c r="E2909" s="11"/>
      <c r="G2909" s="12"/>
      <c r="H2909" s="12"/>
      <c r="J2909" s="11"/>
    </row>
    <row r="2910" spans="5:10">
      <c r="E2910" s="11"/>
      <c r="G2910" s="12"/>
      <c r="H2910" s="12"/>
      <c r="J2910" s="11"/>
    </row>
    <row r="2911" spans="5:10">
      <c r="E2911" s="11"/>
      <c r="G2911" s="12"/>
      <c r="H2911" s="12"/>
      <c r="J2911" s="11"/>
    </row>
    <row r="2912" spans="5:10">
      <c r="E2912" s="11"/>
      <c r="G2912" s="12"/>
      <c r="H2912" s="12"/>
      <c r="J2912" s="11"/>
    </row>
    <row r="2913" spans="5:10">
      <c r="E2913" s="11"/>
      <c r="G2913" s="12"/>
      <c r="H2913" s="12"/>
      <c r="J2913" s="11"/>
    </row>
    <row r="2914" spans="5:10">
      <c r="E2914" s="11"/>
      <c r="G2914" s="12"/>
      <c r="H2914" s="12"/>
      <c r="J2914" s="11"/>
    </row>
    <row r="2915" spans="5:10">
      <c r="E2915" s="11"/>
      <c r="G2915" s="12"/>
      <c r="H2915" s="12"/>
      <c r="J2915" s="11"/>
    </row>
    <row r="2916" spans="5:10">
      <c r="E2916" s="11"/>
      <c r="G2916" s="12"/>
      <c r="H2916" s="12"/>
      <c r="J2916" s="11"/>
    </row>
    <row r="2917" spans="5:10">
      <c r="E2917" s="11"/>
      <c r="G2917" s="12"/>
      <c r="H2917" s="12"/>
      <c r="J2917" s="11"/>
    </row>
    <row r="2918" spans="5:10">
      <c r="E2918" s="11"/>
      <c r="G2918" s="12"/>
      <c r="H2918" s="12"/>
      <c r="J2918" s="11"/>
    </row>
    <row r="2919" spans="5:10">
      <c r="E2919" s="11"/>
      <c r="G2919" s="12"/>
      <c r="H2919" s="12"/>
      <c r="J2919" s="11"/>
    </row>
    <row r="2920" spans="5:10">
      <c r="E2920" s="11"/>
      <c r="G2920" s="12"/>
      <c r="H2920" s="12"/>
      <c r="J2920" s="11"/>
    </row>
    <row r="2921" spans="5:10">
      <c r="E2921" s="11"/>
      <c r="G2921" s="12"/>
      <c r="H2921" s="12"/>
      <c r="J2921" s="11"/>
    </row>
    <row r="2922" spans="5:10">
      <c r="E2922" s="11"/>
      <c r="G2922" s="12"/>
      <c r="H2922" s="12"/>
      <c r="J2922" s="11"/>
    </row>
    <row r="2923" spans="5:10">
      <c r="E2923" s="11"/>
      <c r="G2923" s="12"/>
      <c r="H2923" s="12"/>
      <c r="J2923" s="11"/>
    </row>
    <row r="2924" spans="5:10">
      <c r="E2924" s="11"/>
      <c r="G2924" s="12"/>
      <c r="H2924" s="12"/>
      <c r="J2924" s="11"/>
    </row>
    <row r="2925" spans="5:10">
      <c r="E2925" s="11"/>
      <c r="G2925" s="12"/>
      <c r="H2925" s="12"/>
      <c r="J2925" s="11"/>
    </row>
    <row r="2926" spans="5:10">
      <c r="E2926" s="11"/>
      <c r="G2926" s="12"/>
      <c r="H2926" s="12"/>
      <c r="J2926" s="11"/>
    </row>
    <row r="2927" spans="5:10">
      <c r="E2927" s="11"/>
      <c r="G2927" s="12"/>
      <c r="H2927" s="12"/>
      <c r="J2927" s="11"/>
    </row>
    <row r="2928" spans="5:10">
      <c r="E2928" s="11"/>
      <c r="G2928" s="12"/>
      <c r="H2928" s="12"/>
      <c r="J2928" s="11"/>
    </row>
    <row r="2929" spans="5:10">
      <c r="E2929" s="11"/>
      <c r="G2929" s="12"/>
      <c r="H2929" s="12"/>
      <c r="J2929" s="11"/>
    </row>
    <row r="2930" spans="5:10">
      <c r="E2930" s="11"/>
      <c r="G2930" s="12"/>
      <c r="H2930" s="12"/>
      <c r="J2930" s="11"/>
    </row>
    <row r="2931" spans="5:10">
      <c r="E2931" s="11"/>
      <c r="G2931" s="12"/>
      <c r="H2931" s="12"/>
      <c r="J2931" s="11"/>
    </row>
    <row r="2932" spans="5:10">
      <c r="E2932" s="11"/>
      <c r="G2932" s="12"/>
      <c r="H2932" s="12"/>
      <c r="J2932" s="11"/>
    </row>
    <row r="2933" spans="5:10">
      <c r="E2933" s="11"/>
      <c r="G2933" s="12"/>
      <c r="H2933" s="12"/>
      <c r="J2933" s="11"/>
    </row>
    <row r="2934" spans="5:10">
      <c r="E2934" s="11"/>
      <c r="G2934" s="12"/>
      <c r="H2934" s="12"/>
      <c r="J2934" s="11"/>
    </row>
    <row r="2935" spans="5:10">
      <c r="E2935" s="11"/>
      <c r="G2935" s="12"/>
      <c r="H2935" s="12"/>
      <c r="J2935" s="11"/>
    </row>
    <row r="2936" spans="5:10">
      <c r="E2936" s="11"/>
      <c r="G2936" s="12"/>
      <c r="H2936" s="12"/>
      <c r="J2936" s="11"/>
    </row>
    <row r="2937" spans="5:10">
      <c r="E2937" s="11"/>
      <c r="G2937" s="12"/>
      <c r="H2937" s="12"/>
      <c r="J2937" s="11"/>
    </row>
    <row r="2938" spans="5:10">
      <c r="E2938" s="11"/>
      <c r="G2938" s="12"/>
      <c r="H2938" s="12"/>
      <c r="J2938" s="11"/>
    </row>
    <row r="2939" spans="5:10">
      <c r="E2939" s="11"/>
      <c r="G2939" s="12"/>
      <c r="H2939" s="12"/>
      <c r="J2939" s="11"/>
    </row>
    <row r="2940" spans="5:10">
      <c r="E2940" s="11"/>
      <c r="G2940" s="12"/>
      <c r="H2940" s="12"/>
      <c r="J2940" s="11"/>
    </row>
    <row r="2941" spans="5:10">
      <c r="E2941" s="11"/>
      <c r="G2941" s="12"/>
      <c r="H2941" s="12"/>
      <c r="J2941" s="11"/>
    </row>
    <row r="2942" spans="5:10">
      <c r="E2942" s="11"/>
      <c r="G2942" s="12"/>
      <c r="H2942" s="12"/>
      <c r="J2942" s="11"/>
    </row>
    <row r="2943" spans="5:10">
      <c r="E2943" s="11"/>
      <c r="G2943" s="12"/>
      <c r="H2943" s="12"/>
      <c r="J2943" s="11"/>
    </row>
    <row r="2944" spans="5:10">
      <c r="E2944" s="11"/>
      <c r="G2944" s="12"/>
      <c r="H2944" s="12"/>
      <c r="J2944" s="11"/>
    </row>
    <row r="2945" spans="5:10">
      <c r="E2945" s="11"/>
      <c r="G2945" s="12"/>
      <c r="H2945" s="12"/>
      <c r="J2945" s="11"/>
    </row>
    <row r="2946" spans="5:10">
      <c r="E2946" s="11"/>
      <c r="G2946" s="12"/>
      <c r="H2946" s="12"/>
      <c r="J2946" s="11"/>
    </row>
    <row r="2947" spans="5:10">
      <c r="E2947" s="11"/>
      <c r="G2947" s="12"/>
      <c r="H2947" s="12"/>
      <c r="J2947" s="11"/>
    </row>
    <row r="2948" spans="5:10">
      <c r="E2948" s="11"/>
      <c r="G2948" s="12"/>
      <c r="H2948" s="12"/>
      <c r="J2948" s="11"/>
    </row>
    <row r="2949" spans="5:10">
      <c r="E2949" s="11"/>
      <c r="G2949" s="12"/>
      <c r="H2949" s="12"/>
      <c r="J2949" s="11"/>
    </row>
    <row r="2950" spans="5:10">
      <c r="E2950" s="11"/>
      <c r="G2950" s="12"/>
      <c r="H2950" s="12"/>
      <c r="J2950" s="11"/>
    </row>
    <row r="2951" spans="5:10">
      <c r="E2951" s="11"/>
      <c r="G2951" s="12"/>
      <c r="H2951" s="12"/>
      <c r="J2951" s="11"/>
    </row>
    <row r="2952" spans="5:10">
      <c r="E2952" s="11"/>
      <c r="G2952" s="12"/>
      <c r="H2952" s="12"/>
      <c r="J2952" s="11"/>
    </row>
    <row r="2953" spans="5:10">
      <c r="E2953" s="11"/>
      <c r="G2953" s="12"/>
      <c r="H2953" s="12"/>
      <c r="J2953" s="11"/>
    </row>
    <row r="2954" spans="5:10">
      <c r="E2954" s="11"/>
      <c r="G2954" s="12"/>
      <c r="H2954" s="12"/>
      <c r="J2954" s="11"/>
    </row>
    <row r="2955" spans="5:10">
      <c r="E2955" s="11"/>
      <c r="G2955" s="12"/>
      <c r="H2955" s="12"/>
      <c r="J2955" s="11"/>
    </row>
    <row r="2956" spans="5:10">
      <c r="E2956" s="11"/>
      <c r="G2956" s="12"/>
      <c r="H2956" s="12"/>
      <c r="J2956" s="11"/>
    </row>
    <row r="2957" spans="5:10">
      <c r="E2957" s="11"/>
      <c r="G2957" s="12"/>
      <c r="H2957" s="12"/>
      <c r="J2957" s="11"/>
    </row>
    <row r="2958" spans="5:10">
      <c r="E2958" s="11"/>
      <c r="G2958" s="12"/>
      <c r="H2958" s="12"/>
      <c r="J2958" s="11"/>
    </row>
    <row r="2959" spans="5:10">
      <c r="E2959" s="11"/>
      <c r="G2959" s="12"/>
      <c r="H2959" s="12"/>
      <c r="J2959" s="11"/>
    </row>
    <row r="2960" spans="5:10">
      <c r="E2960" s="11"/>
      <c r="G2960" s="12"/>
      <c r="H2960" s="12"/>
      <c r="J2960" s="11"/>
    </row>
    <row r="2961" spans="5:10">
      <c r="E2961" s="11"/>
      <c r="G2961" s="12"/>
      <c r="H2961" s="12"/>
      <c r="J2961" s="11"/>
    </row>
    <row r="2962" spans="5:10">
      <c r="E2962" s="11"/>
      <c r="G2962" s="12"/>
      <c r="H2962" s="12"/>
      <c r="J2962" s="11"/>
    </row>
    <row r="2963" spans="5:10">
      <c r="E2963" s="11"/>
      <c r="G2963" s="12"/>
      <c r="H2963" s="12"/>
      <c r="J2963" s="11"/>
    </row>
    <row r="2964" spans="5:10">
      <c r="E2964" s="11"/>
      <c r="G2964" s="12"/>
      <c r="H2964" s="12"/>
      <c r="J2964" s="11"/>
    </row>
    <row r="2965" spans="5:10">
      <c r="E2965" s="11"/>
      <c r="G2965" s="12"/>
      <c r="H2965" s="12"/>
      <c r="J2965" s="11"/>
    </row>
    <row r="2966" spans="5:10">
      <c r="E2966" s="11"/>
      <c r="G2966" s="12"/>
      <c r="H2966" s="12"/>
      <c r="J2966" s="11"/>
    </row>
    <row r="2967" spans="5:10">
      <c r="E2967" s="11"/>
      <c r="G2967" s="12"/>
      <c r="H2967" s="12"/>
      <c r="J2967" s="11"/>
    </row>
    <row r="2968" spans="5:10">
      <c r="E2968" s="11"/>
      <c r="G2968" s="12"/>
      <c r="H2968" s="12"/>
      <c r="J2968" s="11"/>
    </row>
    <row r="2969" spans="5:10">
      <c r="E2969" s="11"/>
      <c r="G2969" s="12"/>
      <c r="H2969" s="12"/>
      <c r="J2969" s="11"/>
    </row>
    <row r="2970" spans="5:10">
      <c r="E2970" s="11"/>
      <c r="G2970" s="12"/>
      <c r="H2970" s="12"/>
      <c r="J2970" s="11"/>
    </row>
    <row r="2971" spans="5:10">
      <c r="E2971" s="11"/>
      <c r="G2971" s="12"/>
      <c r="H2971" s="12"/>
      <c r="J2971" s="11"/>
    </row>
    <row r="2972" spans="5:10">
      <c r="E2972" s="11"/>
      <c r="G2972" s="12"/>
      <c r="H2972" s="12"/>
      <c r="J2972" s="11"/>
    </row>
    <row r="2973" spans="5:10">
      <c r="E2973" s="11"/>
      <c r="G2973" s="12"/>
      <c r="H2973" s="12"/>
      <c r="J2973" s="11"/>
    </row>
    <row r="2974" spans="5:10">
      <c r="E2974" s="11"/>
      <c r="G2974" s="12"/>
      <c r="H2974" s="12"/>
      <c r="J2974" s="11"/>
    </row>
    <row r="2975" spans="5:10">
      <c r="E2975" s="11"/>
      <c r="G2975" s="12"/>
      <c r="H2975" s="12"/>
      <c r="J2975" s="11"/>
    </row>
    <row r="2976" spans="5:10">
      <c r="E2976" s="11"/>
      <c r="G2976" s="12"/>
      <c r="H2976" s="12"/>
      <c r="J2976" s="11"/>
    </row>
    <row r="2977" spans="5:10">
      <c r="E2977" s="11"/>
      <c r="G2977" s="12"/>
      <c r="H2977" s="12"/>
      <c r="J2977" s="11"/>
    </row>
    <row r="2978" spans="5:10">
      <c r="E2978" s="11"/>
      <c r="G2978" s="12"/>
      <c r="H2978" s="12"/>
      <c r="J2978" s="11"/>
    </row>
    <row r="2979" spans="5:10">
      <c r="E2979" s="11"/>
      <c r="G2979" s="12"/>
      <c r="H2979" s="12"/>
      <c r="J2979" s="11"/>
    </row>
    <row r="2980" spans="5:10">
      <c r="E2980" s="11"/>
      <c r="G2980" s="12"/>
      <c r="H2980" s="12"/>
      <c r="J2980" s="11"/>
    </row>
    <row r="2981" spans="5:10">
      <c r="E2981" s="11"/>
      <c r="G2981" s="12"/>
      <c r="H2981" s="12"/>
      <c r="J2981" s="11"/>
    </row>
    <row r="2982" spans="5:10">
      <c r="E2982" s="11"/>
      <c r="G2982" s="12"/>
      <c r="H2982" s="12"/>
      <c r="J2982" s="11"/>
    </row>
    <row r="2983" spans="5:10">
      <c r="E2983" s="11"/>
      <c r="G2983" s="12"/>
      <c r="H2983" s="12"/>
      <c r="J2983" s="11"/>
    </row>
    <row r="2984" spans="5:10">
      <c r="E2984" s="11"/>
      <c r="G2984" s="12"/>
      <c r="H2984" s="12"/>
      <c r="J2984" s="11"/>
    </row>
    <row r="2985" spans="5:10">
      <c r="E2985" s="11"/>
      <c r="G2985" s="12"/>
      <c r="H2985" s="12"/>
      <c r="J2985" s="11"/>
    </row>
    <row r="2986" spans="5:10">
      <c r="E2986" s="11"/>
      <c r="G2986" s="12"/>
      <c r="H2986" s="12"/>
      <c r="J2986" s="11"/>
    </row>
    <row r="2987" spans="5:10">
      <c r="E2987" s="11"/>
      <c r="G2987" s="12"/>
      <c r="H2987" s="12"/>
      <c r="J2987" s="11"/>
    </row>
    <row r="2988" spans="5:10">
      <c r="E2988" s="11"/>
      <c r="G2988" s="12"/>
      <c r="H2988" s="12"/>
      <c r="J2988" s="11"/>
    </row>
    <row r="2989" spans="5:10">
      <c r="E2989" s="11"/>
      <c r="G2989" s="12"/>
      <c r="H2989" s="12"/>
      <c r="J2989" s="11"/>
    </row>
    <row r="2990" spans="5:10">
      <c r="E2990" s="11"/>
      <c r="G2990" s="12"/>
      <c r="H2990" s="12"/>
      <c r="J2990" s="11"/>
    </row>
    <row r="2991" spans="5:10">
      <c r="E2991" s="11"/>
      <c r="G2991" s="12"/>
      <c r="H2991" s="12"/>
      <c r="J2991" s="11"/>
    </row>
    <row r="2992" spans="5:10">
      <c r="E2992" s="11"/>
      <c r="G2992" s="12"/>
      <c r="H2992" s="12"/>
      <c r="J2992" s="11"/>
    </row>
    <row r="2993" spans="5:10">
      <c r="E2993" s="11"/>
      <c r="G2993" s="12"/>
      <c r="H2993" s="12"/>
      <c r="J2993" s="11"/>
    </row>
    <row r="2994" spans="5:10">
      <c r="E2994" s="11"/>
      <c r="G2994" s="12"/>
      <c r="H2994" s="12"/>
      <c r="J2994" s="11"/>
    </row>
    <row r="2995" spans="5:10">
      <c r="E2995" s="11"/>
      <c r="G2995" s="12"/>
      <c r="H2995" s="12"/>
      <c r="J2995" s="11"/>
    </row>
    <row r="2996" spans="5:10">
      <c r="E2996" s="11"/>
      <c r="G2996" s="12"/>
      <c r="H2996" s="12"/>
      <c r="J2996" s="11"/>
    </row>
    <row r="2997" spans="5:10">
      <c r="E2997" s="11"/>
      <c r="G2997" s="12"/>
      <c r="H2997" s="12"/>
      <c r="J2997" s="11"/>
    </row>
    <row r="2998" spans="5:10">
      <c r="E2998" s="11"/>
      <c r="G2998" s="12"/>
      <c r="H2998" s="12"/>
      <c r="J2998" s="11"/>
    </row>
    <row r="2999" spans="5:10">
      <c r="E2999" s="11"/>
      <c r="G2999" s="12"/>
      <c r="H2999" s="12"/>
      <c r="J2999" s="11"/>
    </row>
    <row r="3000" spans="5:10">
      <c r="E3000" s="11"/>
      <c r="G3000" s="12"/>
      <c r="H3000" s="12"/>
      <c r="J3000" s="11"/>
    </row>
    <row r="3001" spans="5:10">
      <c r="E3001" s="11"/>
      <c r="G3001" s="12"/>
      <c r="H3001" s="12"/>
      <c r="J3001" s="11"/>
    </row>
    <row r="3002" spans="5:10">
      <c r="E3002" s="11"/>
      <c r="G3002" s="12"/>
      <c r="H3002" s="12"/>
      <c r="J3002" s="11"/>
    </row>
    <row r="3003" spans="5:10">
      <c r="E3003" s="11"/>
      <c r="G3003" s="12"/>
      <c r="H3003" s="12"/>
      <c r="J3003" s="11"/>
    </row>
    <row r="3004" spans="5:10">
      <c r="E3004" s="11"/>
      <c r="G3004" s="12"/>
      <c r="H3004" s="12"/>
      <c r="J3004" s="11"/>
    </row>
    <row r="3005" spans="5:10">
      <c r="E3005" s="11"/>
      <c r="G3005" s="12"/>
      <c r="H3005" s="12"/>
      <c r="J3005" s="11"/>
    </row>
    <row r="3006" spans="5:10">
      <c r="E3006" s="11"/>
      <c r="G3006" s="12"/>
      <c r="H3006" s="12"/>
      <c r="J3006" s="11"/>
    </row>
    <row r="3007" spans="5:10">
      <c r="E3007" s="11"/>
      <c r="G3007" s="12"/>
      <c r="H3007" s="12"/>
      <c r="J3007" s="11"/>
    </row>
    <row r="3008" spans="5:10">
      <c r="E3008" s="11"/>
      <c r="G3008" s="12"/>
      <c r="H3008" s="12"/>
      <c r="J3008" s="11"/>
    </row>
    <row r="3009" spans="5:10">
      <c r="E3009" s="11"/>
      <c r="G3009" s="12"/>
      <c r="H3009" s="12"/>
      <c r="J3009" s="11"/>
    </row>
    <row r="3010" spans="5:10">
      <c r="E3010" s="11"/>
      <c r="G3010" s="12"/>
      <c r="H3010" s="12"/>
      <c r="J3010" s="11"/>
    </row>
    <row r="3011" spans="5:10">
      <c r="E3011" s="11"/>
      <c r="G3011" s="12"/>
      <c r="H3011" s="12"/>
      <c r="J3011" s="11"/>
    </row>
    <row r="3012" spans="5:10">
      <c r="E3012" s="11"/>
      <c r="G3012" s="12"/>
      <c r="H3012" s="12"/>
      <c r="J3012" s="11"/>
    </row>
    <row r="3013" spans="5:10">
      <c r="E3013" s="11"/>
      <c r="G3013" s="12"/>
      <c r="H3013" s="12"/>
      <c r="J3013" s="11"/>
    </row>
    <row r="3014" spans="5:10">
      <c r="E3014" s="11"/>
      <c r="G3014" s="12"/>
      <c r="H3014" s="12"/>
      <c r="J3014" s="11"/>
    </row>
    <row r="3015" spans="5:10">
      <c r="E3015" s="11"/>
      <c r="G3015" s="12"/>
      <c r="H3015" s="12"/>
      <c r="J3015" s="11"/>
    </row>
    <row r="3016" spans="5:10">
      <c r="E3016" s="11"/>
      <c r="G3016" s="12"/>
      <c r="H3016" s="12"/>
      <c r="J3016" s="11"/>
    </row>
    <row r="3017" spans="5:10">
      <c r="E3017" s="11"/>
      <c r="G3017" s="12"/>
      <c r="H3017" s="12"/>
      <c r="J3017" s="11"/>
    </row>
    <row r="3018" spans="5:10">
      <c r="E3018" s="11"/>
      <c r="G3018" s="12"/>
      <c r="H3018" s="12"/>
      <c r="J3018" s="11"/>
    </row>
    <row r="3019" spans="5:10">
      <c r="E3019" s="11"/>
      <c r="G3019" s="12"/>
      <c r="H3019" s="12"/>
      <c r="J3019" s="11"/>
    </row>
    <row r="3020" spans="5:10">
      <c r="E3020" s="11"/>
      <c r="G3020" s="12"/>
      <c r="H3020" s="12"/>
      <c r="J3020" s="11"/>
    </row>
    <row r="3021" spans="5:10">
      <c r="E3021" s="11"/>
      <c r="G3021" s="12"/>
      <c r="H3021" s="12"/>
      <c r="J3021" s="11"/>
    </row>
    <row r="3022" spans="5:10">
      <c r="E3022" s="11"/>
      <c r="G3022" s="12"/>
      <c r="H3022" s="12"/>
      <c r="J3022" s="11"/>
    </row>
    <row r="3023" spans="5:10">
      <c r="E3023" s="11"/>
      <c r="G3023" s="12"/>
      <c r="H3023" s="12"/>
      <c r="J3023" s="11"/>
    </row>
    <row r="3024" spans="5:10">
      <c r="E3024" s="11"/>
      <c r="G3024" s="12"/>
      <c r="H3024" s="12"/>
      <c r="J3024" s="11"/>
    </row>
    <row r="3025" spans="5:10">
      <c r="E3025" s="11"/>
      <c r="G3025" s="12"/>
      <c r="H3025" s="12"/>
      <c r="J3025" s="11"/>
    </row>
    <row r="3026" spans="5:10">
      <c r="E3026" s="11"/>
      <c r="G3026" s="12"/>
      <c r="H3026" s="12"/>
      <c r="J3026" s="11"/>
    </row>
    <row r="3027" spans="5:10">
      <c r="E3027" s="11"/>
      <c r="G3027" s="12"/>
      <c r="H3027" s="12"/>
      <c r="J3027" s="11"/>
    </row>
    <row r="3028" spans="5:10">
      <c r="E3028" s="11"/>
      <c r="G3028" s="12"/>
      <c r="H3028" s="12"/>
      <c r="J3028" s="11"/>
    </row>
    <row r="3029" spans="5:10">
      <c r="E3029" s="11"/>
      <c r="G3029" s="12"/>
      <c r="H3029" s="12"/>
      <c r="J3029" s="11"/>
    </row>
    <row r="3030" spans="5:10">
      <c r="E3030" s="11"/>
      <c r="G3030" s="12"/>
      <c r="H3030" s="12"/>
      <c r="J3030" s="11"/>
    </row>
    <row r="3031" spans="5:10">
      <c r="E3031" s="11"/>
      <c r="G3031" s="12"/>
      <c r="H3031" s="12"/>
      <c r="J3031" s="11"/>
    </row>
    <row r="3032" spans="5:10">
      <c r="E3032" s="11"/>
      <c r="G3032" s="12"/>
      <c r="H3032" s="12"/>
      <c r="J3032" s="11"/>
    </row>
    <row r="3033" spans="5:10">
      <c r="E3033" s="11"/>
      <c r="G3033" s="12"/>
      <c r="H3033" s="12"/>
      <c r="J3033" s="11"/>
    </row>
    <row r="3034" spans="5:10">
      <c r="E3034" s="11"/>
      <c r="G3034" s="12"/>
      <c r="H3034" s="12"/>
      <c r="J3034" s="11"/>
    </row>
    <row r="3035" spans="5:10">
      <c r="E3035" s="11"/>
      <c r="G3035" s="12"/>
      <c r="H3035" s="12"/>
      <c r="J3035" s="11"/>
    </row>
    <row r="3036" spans="5:10">
      <c r="E3036" s="11"/>
      <c r="G3036" s="12"/>
      <c r="H3036" s="12"/>
      <c r="J3036" s="11"/>
    </row>
    <row r="3037" spans="5:10">
      <c r="E3037" s="11"/>
      <c r="G3037" s="12"/>
      <c r="H3037" s="12"/>
      <c r="J3037" s="11"/>
    </row>
    <row r="3038" spans="5:10">
      <c r="E3038" s="11"/>
      <c r="G3038" s="12"/>
      <c r="H3038" s="12"/>
      <c r="J3038" s="11"/>
    </row>
    <row r="3039" spans="5:10">
      <c r="E3039" s="11"/>
      <c r="G3039" s="12"/>
      <c r="H3039" s="12"/>
      <c r="J3039" s="11"/>
    </row>
    <row r="3040" spans="5:10">
      <c r="E3040" s="11"/>
      <c r="G3040" s="12"/>
      <c r="H3040" s="12"/>
      <c r="J3040" s="11"/>
    </row>
    <row r="3041" spans="5:10">
      <c r="E3041" s="11"/>
      <c r="G3041" s="12"/>
      <c r="H3041" s="12"/>
      <c r="J3041" s="11"/>
    </row>
    <row r="3042" spans="5:10">
      <c r="E3042" s="11"/>
      <c r="G3042" s="12"/>
      <c r="H3042" s="12"/>
      <c r="J3042" s="11"/>
    </row>
    <row r="3043" spans="5:10">
      <c r="E3043" s="11"/>
      <c r="G3043" s="12"/>
      <c r="H3043" s="12"/>
      <c r="J3043" s="11"/>
    </row>
    <row r="3044" spans="5:10">
      <c r="E3044" s="11"/>
      <c r="G3044" s="12"/>
      <c r="H3044" s="12"/>
      <c r="J3044" s="11"/>
    </row>
    <row r="3045" spans="5:10">
      <c r="E3045" s="11"/>
      <c r="G3045" s="12"/>
      <c r="H3045" s="12"/>
      <c r="J3045" s="11"/>
    </row>
    <row r="3046" spans="5:10">
      <c r="E3046" s="11"/>
      <c r="G3046" s="12"/>
      <c r="H3046" s="12"/>
      <c r="J3046" s="11"/>
    </row>
    <row r="3047" spans="5:10">
      <c r="E3047" s="11"/>
      <c r="G3047" s="12"/>
      <c r="H3047" s="12"/>
      <c r="J3047" s="11"/>
    </row>
    <row r="3048" spans="5:10">
      <c r="E3048" s="11"/>
      <c r="G3048" s="12"/>
      <c r="H3048" s="12"/>
      <c r="J3048" s="11"/>
    </row>
    <row r="3049" spans="5:10">
      <c r="E3049" s="11"/>
      <c r="G3049" s="12"/>
      <c r="H3049" s="12"/>
      <c r="J3049" s="11"/>
    </row>
    <row r="3050" spans="5:10">
      <c r="E3050" s="11"/>
      <c r="G3050" s="12"/>
      <c r="H3050" s="12"/>
      <c r="J3050" s="11"/>
    </row>
    <row r="3051" spans="5:10">
      <c r="E3051" s="11"/>
      <c r="G3051" s="12"/>
      <c r="H3051" s="12"/>
      <c r="J3051" s="11"/>
    </row>
    <row r="3052" spans="5:10">
      <c r="E3052" s="11"/>
      <c r="G3052" s="12"/>
      <c r="H3052" s="12"/>
      <c r="J3052" s="11"/>
    </row>
    <row r="3053" spans="5:10">
      <c r="E3053" s="11"/>
      <c r="G3053" s="12"/>
      <c r="H3053" s="12"/>
      <c r="J3053" s="11"/>
    </row>
    <row r="3054" spans="5:10">
      <c r="E3054" s="11"/>
      <c r="G3054" s="12"/>
      <c r="H3054" s="12"/>
      <c r="J3054" s="11"/>
    </row>
    <row r="3055" spans="5:10">
      <c r="E3055" s="11"/>
      <c r="G3055" s="12"/>
      <c r="H3055" s="12"/>
      <c r="J3055" s="11"/>
    </row>
    <row r="3056" spans="5:10">
      <c r="E3056" s="11"/>
      <c r="G3056" s="12"/>
      <c r="H3056" s="12"/>
      <c r="J3056" s="11"/>
    </row>
    <row r="3057" spans="5:10">
      <c r="E3057" s="11"/>
      <c r="G3057" s="12"/>
      <c r="H3057" s="12"/>
      <c r="J3057" s="11"/>
    </row>
    <row r="3058" spans="5:10">
      <c r="E3058" s="11"/>
      <c r="G3058" s="12"/>
      <c r="H3058" s="12"/>
      <c r="J3058" s="11"/>
    </row>
    <row r="3059" spans="5:10">
      <c r="E3059" s="11"/>
      <c r="G3059" s="12"/>
      <c r="H3059" s="12"/>
      <c r="J3059" s="11"/>
    </row>
    <row r="3060" spans="5:10">
      <c r="E3060" s="11"/>
      <c r="G3060" s="12"/>
      <c r="H3060" s="12"/>
      <c r="J3060" s="11"/>
    </row>
    <row r="3061" spans="5:10">
      <c r="E3061" s="11"/>
      <c r="G3061" s="12"/>
      <c r="H3061" s="12"/>
      <c r="J3061" s="11"/>
    </row>
    <row r="3062" spans="5:10">
      <c r="E3062" s="11"/>
      <c r="G3062" s="12"/>
      <c r="H3062" s="12"/>
      <c r="J3062" s="11"/>
    </row>
    <row r="3063" spans="5:10">
      <c r="E3063" s="11"/>
      <c r="G3063" s="12"/>
      <c r="H3063" s="12"/>
      <c r="J3063" s="11"/>
    </row>
    <row r="3064" spans="5:10">
      <c r="E3064" s="11"/>
      <c r="G3064" s="12"/>
      <c r="H3064" s="12"/>
      <c r="J3064" s="11"/>
    </row>
    <row r="3065" spans="5:10">
      <c r="E3065" s="11"/>
      <c r="G3065" s="12"/>
      <c r="H3065" s="12"/>
      <c r="J3065" s="11"/>
    </row>
    <row r="3066" spans="5:10">
      <c r="E3066" s="11"/>
      <c r="G3066" s="12"/>
      <c r="H3066" s="12"/>
      <c r="J3066" s="11"/>
    </row>
    <row r="3067" spans="5:10">
      <c r="E3067" s="11"/>
      <c r="G3067" s="12"/>
      <c r="H3067" s="12"/>
      <c r="J3067" s="11"/>
    </row>
    <row r="3068" spans="5:10">
      <c r="E3068" s="11"/>
      <c r="G3068" s="12"/>
      <c r="H3068" s="12"/>
      <c r="J3068" s="11"/>
    </row>
    <row r="3069" spans="5:10">
      <c r="E3069" s="11"/>
      <c r="G3069" s="12"/>
      <c r="H3069" s="12"/>
      <c r="J3069" s="11"/>
    </row>
    <row r="3070" spans="5:10">
      <c r="E3070" s="11"/>
      <c r="G3070" s="12"/>
      <c r="H3070" s="12"/>
      <c r="J3070" s="11"/>
    </row>
    <row r="3071" spans="5:10">
      <c r="E3071" s="11"/>
      <c r="G3071" s="12"/>
      <c r="H3071" s="12"/>
      <c r="J3071" s="11"/>
    </row>
    <row r="3072" spans="5:10">
      <c r="E3072" s="11"/>
      <c r="G3072" s="12"/>
      <c r="H3072" s="12"/>
      <c r="J3072" s="11"/>
    </row>
    <row r="3073" spans="5:10">
      <c r="E3073" s="11"/>
      <c r="G3073" s="12"/>
      <c r="H3073" s="12"/>
      <c r="J3073" s="11"/>
    </row>
    <row r="3074" spans="5:10">
      <c r="E3074" s="11"/>
      <c r="G3074" s="12"/>
      <c r="H3074" s="12"/>
      <c r="J3074" s="11"/>
    </row>
    <row r="3075" spans="5:10">
      <c r="E3075" s="11"/>
      <c r="G3075" s="12"/>
      <c r="H3075" s="12"/>
      <c r="J3075" s="11"/>
    </row>
    <row r="3076" spans="5:10">
      <c r="E3076" s="11"/>
      <c r="G3076" s="12"/>
      <c r="H3076" s="12"/>
      <c r="J3076" s="11"/>
    </row>
    <row r="3077" spans="5:10">
      <c r="E3077" s="11"/>
      <c r="G3077" s="12"/>
      <c r="H3077" s="12"/>
      <c r="J3077" s="11"/>
    </row>
    <row r="3078" spans="5:10">
      <c r="E3078" s="11"/>
      <c r="G3078" s="12"/>
      <c r="H3078" s="12"/>
      <c r="J3078" s="11"/>
    </row>
    <row r="3079" spans="5:10">
      <c r="E3079" s="11"/>
      <c r="G3079" s="12"/>
      <c r="H3079" s="12"/>
      <c r="J3079" s="11"/>
    </row>
    <row r="3080" spans="5:10">
      <c r="E3080" s="11"/>
      <c r="G3080" s="12"/>
      <c r="H3080" s="12"/>
      <c r="J3080" s="11"/>
    </row>
    <row r="3081" spans="5:10">
      <c r="E3081" s="11"/>
      <c r="G3081" s="12"/>
      <c r="H3081" s="12"/>
      <c r="J3081" s="11"/>
    </row>
    <row r="3082" spans="5:10">
      <c r="E3082" s="11"/>
      <c r="G3082" s="12"/>
      <c r="H3082" s="12"/>
      <c r="J3082" s="11"/>
    </row>
    <row r="3083" spans="5:10">
      <c r="E3083" s="11"/>
      <c r="G3083" s="12"/>
      <c r="H3083" s="12"/>
      <c r="J3083" s="11"/>
    </row>
    <row r="3084" spans="5:10">
      <c r="E3084" s="11"/>
      <c r="G3084" s="12"/>
      <c r="H3084" s="12"/>
      <c r="J3084" s="11"/>
    </row>
    <row r="3085" spans="5:10">
      <c r="E3085" s="11"/>
      <c r="G3085" s="12"/>
      <c r="H3085" s="12"/>
      <c r="J3085" s="11"/>
    </row>
    <row r="3086" spans="5:10">
      <c r="E3086" s="11"/>
      <c r="G3086" s="12"/>
      <c r="H3086" s="12"/>
      <c r="J3086" s="11"/>
    </row>
    <row r="3087" spans="5:10">
      <c r="E3087" s="11"/>
      <c r="G3087" s="12"/>
      <c r="H3087" s="12"/>
      <c r="J3087" s="11"/>
    </row>
    <row r="3088" spans="5:10">
      <c r="E3088" s="11"/>
      <c r="G3088" s="12"/>
      <c r="H3088" s="12"/>
      <c r="J3088" s="11"/>
    </row>
    <row r="3089" spans="5:10">
      <c r="E3089" s="11"/>
      <c r="G3089" s="12"/>
      <c r="H3089" s="12"/>
      <c r="J3089" s="11"/>
    </row>
    <row r="3090" spans="5:10">
      <c r="E3090" s="11"/>
      <c r="G3090" s="12"/>
      <c r="H3090" s="12"/>
      <c r="J3090" s="11"/>
    </row>
    <row r="3091" spans="5:10">
      <c r="E3091" s="11"/>
      <c r="G3091" s="12"/>
      <c r="H3091" s="12"/>
      <c r="J3091" s="11"/>
    </row>
    <row r="3092" spans="5:10">
      <c r="E3092" s="11"/>
      <c r="G3092" s="12"/>
      <c r="H3092" s="12"/>
      <c r="J3092" s="11"/>
    </row>
    <row r="3093" spans="5:10">
      <c r="E3093" s="11"/>
      <c r="G3093" s="12"/>
      <c r="H3093" s="12"/>
      <c r="J3093" s="11"/>
    </row>
    <row r="3094" spans="5:10">
      <c r="E3094" s="11"/>
      <c r="G3094" s="12"/>
      <c r="H3094" s="12"/>
      <c r="J3094" s="11"/>
    </row>
    <row r="3095" spans="5:10">
      <c r="E3095" s="11"/>
      <c r="G3095" s="12"/>
      <c r="H3095" s="12"/>
      <c r="J3095" s="11"/>
    </row>
    <row r="3096" spans="5:10">
      <c r="E3096" s="11"/>
      <c r="G3096" s="12"/>
      <c r="H3096" s="12"/>
      <c r="J3096" s="11"/>
    </row>
    <row r="3097" spans="5:10">
      <c r="E3097" s="11"/>
      <c r="G3097" s="12"/>
      <c r="H3097" s="12"/>
      <c r="J3097" s="11"/>
    </row>
    <row r="3098" spans="5:10">
      <c r="E3098" s="11"/>
      <c r="G3098" s="12"/>
      <c r="H3098" s="12"/>
      <c r="J3098" s="11"/>
    </row>
    <row r="3099" spans="5:10">
      <c r="E3099" s="11"/>
      <c r="G3099" s="12"/>
      <c r="H3099" s="12"/>
      <c r="J3099" s="11"/>
    </row>
    <row r="3100" spans="5:10">
      <c r="E3100" s="11"/>
      <c r="G3100" s="12"/>
      <c r="H3100" s="12"/>
      <c r="J3100" s="11"/>
    </row>
    <row r="3101" spans="5:10">
      <c r="E3101" s="11"/>
      <c r="G3101" s="12"/>
      <c r="H3101" s="12"/>
      <c r="J3101" s="11"/>
    </row>
    <row r="3102" spans="5:10">
      <c r="E3102" s="11"/>
      <c r="G3102" s="12"/>
      <c r="H3102" s="12"/>
      <c r="J3102" s="11"/>
    </row>
    <row r="3103" spans="5:10">
      <c r="E3103" s="11"/>
      <c r="G3103" s="12"/>
      <c r="H3103" s="12"/>
      <c r="J3103" s="11"/>
    </row>
    <row r="3104" spans="5:10">
      <c r="E3104" s="11"/>
      <c r="G3104" s="12"/>
      <c r="H3104" s="12"/>
      <c r="J3104" s="11"/>
    </row>
    <row r="3105" spans="5:10">
      <c r="E3105" s="11"/>
      <c r="G3105" s="12"/>
      <c r="H3105" s="12"/>
      <c r="J3105" s="11"/>
    </row>
    <row r="3106" spans="5:10">
      <c r="E3106" s="11"/>
      <c r="G3106" s="12"/>
      <c r="H3106" s="12"/>
      <c r="J3106" s="11"/>
    </row>
    <row r="3107" spans="5:10">
      <c r="E3107" s="11"/>
      <c r="G3107" s="12"/>
      <c r="H3107" s="12"/>
      <c r="J3107" s="11"/>
    </row>
    <row r="3108" spans="5:10">
      <c r="E3108" s="11"/>
      <c r="G3108" s="12"/>
      <c r="H3108" s="12"/>
      <c r="J3108" s="11"/>
    </row>
    <row r="3109" spans="5:10">
      <c r="E3109" s="11"/>
      <c r="G3109" s="12"/>
      <c r="H3109" s="12"/>
      <c r="J3109" s="11"/>
    </row>
    <row r="3110" spans="5:10">
      <c r="E3110" s="11"/>
      <c r="G3110" s="12"/>
      <c r="H3110" s="12"/>
      <c r="J3110" s="11"/>
    </row>
    <row r="3111" spans="5:10">
      <c r="E3111" s="11"/>
      <c r="G3111" s="12"/>
      <c r="H3111" s="12"/>
      <c r="J3111" s="11"/>
    </row>
    <row r="3112" spans="5:10">
      <c r="E3112" s="11"/>
      <c r="G3112" s="12"/>
      <c r="H3112" s="12"/>
      <c r="J3112" s="11"/>
    </row>
    <row r="3113" spans="5:10">
      <c r="E3113" s="11"/>
      <c r="G3113" s="12"/>
      <c r="H3113" s="12"/>
      <c r="J3113" s="11"/>
    </row>
    <row r="3114" spans="5:10">
      <c r="E3114" s="11"/>
      <c r="G3114" s="12"/>
      <c r="H3114" s="12"/>
      <c r="J3114" s="11"/>
    </row>
    <row r="3115" spans="5:10">
      <c r="E3115" s="11"/>
      <c r="G3115" s="12"/>
      <c r="H3115" s="12"/>
      <c r="J3115" s="11"/>
    </row>
    <row r="3116" spans="5:10">
      <c r="E3116" s="11"/>
      <c r="G3116" s="12"/>
      <c r="H3116" s="12"/>
      <c r="J3116" s="11"/>
    </row>
    <row r="3117" spans="5:10">
      <c r="E3117" s="11"/>
      <c r="G3117" s="12"/>
      <c r="H3117" s="12"/>
      <c r="J3117" s="11"/>
    </row>
    <row r="3118" spans="5:10">
      <c r="E3118" s="11"/>
      <c r="G3118" s="12"/>
      <c r="H3118" s="12"/>
      <c r="J3118" s="11"/>
    </row>
    <row r="3119" spans="5:10">
      <c r="E3119" s="11"/>
      <c r="G3119" s="12"/>
      <c r="H3119" s="12"/>
      <c r="J3119" s="11"/>
    </row>
    <row r="3120" spans="5:10">
      <c r="E3120" s="11"/>
      <c r="G3120" s="12"/>
      <c r="H3120" s="12"/>
      <c r="J3120" s="11"/>
    </row>
    <row r="3121" spans="5:10">
      <c r="E3121" s="11"/>
      <c r="G3121" s="12"/>
      <c r="H3121" s="12"/>
      <c r="J3121" s="11"/>
    </row>
    <row r="3122" spans="5:10">
      <c r="E3122" s="11"/>
      <c r="G3122" s="12"/>
      <c r="H3122" s="12"/>
      <c r="J3122" s="11"/>
    </row>
    <row r="3123" spans="5:10">
      <c r="E3123" s="11"/>
      <c r="G3123" s="12"/>
      <c r="H3123" s="12"/>
      <c r="J3123" s="11"/>
    </row>
    <row r="3124" spans="5:10">
      <c r="E3124" s="11"/>
      <c r="G3124" s="12"/>
      <c r="H3124" s="12"/>
      <c r="J3124" s="11"/>
    </row>
    <row r="3125" spans="5:10">
      <c r="E3125" s="11"/>
      <c r="G3125" s="12"/>
      <c r="H3125" s="12"/>
      <c r="J3125" s="11"/>
    </row>
    <row r="3126" spans="5:10">
      <c r="E3126" s="11"/>
      <c r="G3126" s="12"/>
      <c r="H3126" s="12"/>
      <c r="J3126" s="11"/>
    </row>
    <row r="3127" spans="5:10">
      <c r="E3127" s="11"/>
      <c r="G3127" s="12"/>
      <c r="H3127" s="12"/>
      <c r="J3127" s="11"/>
    </row>
    <row r="3128" spans="5:10">
      <c r="E3128" s="11"/>
      <c r="G3128" s="12"/>
      <c r="H3128" s="12"/>
      <c r="J3128" s="11"/>
    </row>
    <row r="3129" spans="5:10">
      <c r="E3129" s="11"/>
      <c r="G3129" s="12"/>
      <c r="H3129" s="12"/>
      <c r="J3129" s="11"/>
    </row>
    <row r="3130" spans="5:10">
      <c r="E3130" s="11"/>
      <c r="G3130" s="12"/>
      <c r="H3130" s="12"/>
      <c r="J3130" s="11"/>
    </row>
    <row r="3131" spans="5:10">
      <c r="E3131" s="11"/>
      <c r="G3131" s="12"/>
      <c r="H3131" s="12"/>
      <c r="J3131" s="11"/>
    </row>
    <row r="3132" spans="5:10">
      <c r="E3132" s="11"/>
      <c r="G3132" s="12"/>
      <c r="H3132" s="12"/>
      <c r="J3132" s="11"/>
    </row>
    <row r="3133" spans="5:10">
      <c r="E3133" s="11"/>
      <c r="G3133" s="12"/>
      <c r="H3133" s="12"/>
      <c r="J3133" s="11"/>
    </row>
    <row r="3134" spans="5:10">
      <c r="E3134" s="11"/>
      <c r="G3134" s="12"/>
      <c r="H3134" s="12"/>
      <c r="J3134" s="11"/>
    </row>
    <row r="3135" spans="5:10">
      <c r="E3135" s="11"/>
      <c r="G3135" s="12"/>
      <c r="H3135" s="12"/>
      <c r="J3135" s="11"/>
    </row>
    <row r="3136" spans="5:10">
      <c r="E3136" s="11"/>
      <c r="G3136" s="12"/>
      <c r="H3136" s="12"/>
      <c r="J3136" s="11"/>
    </row>
    <row r="3137" spans="5:10">
      <c r="E3137" s="11"/>
      <c r="G3137" s="12"/>
      <c r="H3137" s="12"/>
      <c r="J3137" s="11"/>
    </row>
    <row r="3138" spans="5:10">
      <c r="E3138" s="11"/>
      <c r="G3138" s="12"/>
      <c r="H3138" s="12"/>
      <c r="J3138" s="11"/>
    </row>
    <row r="3139" spans="5:10">
      <c r="E3139" s="11"/>
      <c r="G3139" s="12"/>
      <c r="H3139" s="12"/>
      <c r="J3139" s="11"/>
    </row>
    <row r="3140" spans="5:10">
      <c r="E3140" s="11"/>
      <c r="G3140" s="12"/>
      <c r="H3140" s="12"/>
      <c r="J3140" s="11"/>
    </row>
    <row r="3141" spans="5:10">
      <c r="E3141" s="11"/>
      <c r="G3141" s="12"/>
      <c r="H3141" s="12"/>
      <c r="J3141" s="11"/>
    </row>
    <row r="3142" spans="5:10">
      <c r="E3142" s="11"/>
      <c r="G3142" s="12"/>
      <c r="H3142" s="12"/>
      <c r="J3142" s="11"/>
    </row>
    <row r="3143" spans="5:10">
      <c r="E3143" s="11"/>
      <c r="G3143" s="12"/>
      <c r="H3143" s="12"/>
      <c r="J3143" s="11"/>
    </row>
    <row r="3144" spans="5:10">
      <c r="E3144" s="11"/>
      <c r="G3144" s="12"/>
      <c r="H3144" s="12"/>
      <c r="J3144" s="11"/>
    </row>
    <row r="3145" spans="5:10">
      <c r="E3145" s="11"/>
      <c r="G3145" s="12"/>
      <c r="H3145" s="12"/>
      <c r="J3145" s="11"/>
    </row>
    <row r="3146" spans="5:10">
      <c r="E3146" s="11"/>
      <c r="G3146" s="12"/>
      <c r="H3146" s="12"/>
      <c r="J3146" s="11"/>
    </row>
    <row r="3147" spans="5:10">
      <c r="E3147" s="11"/>
      <c r="G3147" s="12"/>
      <c r="H3147" s="12"/>
      <c r="J3147" s="11"/>
    </row>
    <row r="3148" spans="5:10">
      <c r="E3148" s="11"/>
      <c r="G3148" s="12"/>
      <c r="H3148" s="12"/>
      <c r="J3148" s="11"/>
    </row>
    <row r="3149" spans="5:10">
      <c r="E3149" s="11"/>
      <c r="G3149" s="12"/>
      <c r="H3149" s="12"/>
      <c r="J3149" s="11"/>
    </row>
    <row r="3150" spans="5:10">
      <c r="E3150" s="11"/>
      <c r="G3150" s="12"/>
      <c r="H3150" s="12"/>
      <c r="J3150" s="11"/>
    </row>
    <row r="3151" spans="5:10">
      <c r="E3151" s="11"/>
      <c r="G3151" s="12"/>
      <c r="H3151" s="12"/>
      <c r="J3151" s="11"/>
    </row>
    <row r="3152" spans="5:10">
      <c r="E3152" s="11"/>
      <c r="G3152" s="12"/>
      <c r="H3152" s="12"/>
      <c r="J3152" s="11"/>
    </row>
    <row r="3153" spans="5:10">
      <c r="E3153" s="11"/>
      <c r="G3153" s="12"/>
      <c r="H3153" s="12"/>
      <c r="J3153" s="11"/>
    </row>
    <row r="3154" spans="5:10">
      <c r="E3154" s="11"/>
      <c r="G3154" s="12"/>
      <c r="H3154" s="12"/>
      <c r="J3154" s="11"/>
    </row>
    <row r="3155" spans="5:10">
      <c r="E3155" s="11"/>
      <c r="G3155" s="12"/>
      <c r="H3155" s="12"/>
      <c r="J3155" s="11"/>
    </row>
    <row r="3156" spans="5:10">
      <c r="E3156" s="11"/>
      <c r="G3156" s="12"/>
      <c r="H3156" s="12"/>
      <c r="J3156" s="11"/>
    </row>
    <row r="3157" spans="5:10">
      <c r="E3157" s="11"/>
      <c r="G3157" s="12"/>
      <c r="H3157" s="12"/>
      <c r="J3157" s="11"/>
    </row>
    <row r="3158" spans="5:10">
      <c r="E3158" s="11"/>
      <c r="G3158" s="12"/>
      <c r="H3158" s="12"/>
      <c r="J3158" s="11"/>
    </row>
    <row r="3159" spans="5:10">
      <c r="E3159" s="11"/>
      <c r="G3159" s="12"/>
      <c r="H3159" s="12"/>
      <c r="J3159" s="11"/>
    </row>
    <row r="3160" spans="5:10">
      <c r="E3160" s="11"/>
      <c r="G3160" s="12"/>
      <c r="H3160" s="12"/>
      <c r="J3160" s="11"/>
    </row>
    <row r="3161" spans="5:10">
      <c r="E3161" s="11"/>
      <c r="G3161" s="12"/>
      <c r="H3161" s="12"/>
      <c r="J3161" s="11"/>
    </row>
    <row r="3162" spans="5:10">
      <c r="E3162" s="11"/>
      <c r="G3162" s="12"/>
      <c r="H3162" s="12"/>
      <c r="J3162" s="11"/>
    </row>
    <row r="3163" spans="5:10">
      <c r="E3163" s="11"/>
      <c r="G3163" s="12"/>
      <c r="H3163" s="12"/>
      <c r="J3163" s="11"/>
    </row>
    <row r="3164" spans="5:10">
      <c r="E3164" s="11"/>
      <c r="G3164" s="12"/>
      <c r="H3164" s="12"/>
      <c r="J3164" s="11"/>
    </row>
    <row r="3165" spans="5:10">
      <c r="E3165" s="11"/>
      <c r="G3165" s="12"/>
      <c r="H3165" s="12"/>
      <c r="J3165" s="11"/>
    </row>
    <row r="3166" spans="5:10">
      <c r="E3166" s="11"/>
      <c r="G3166" s="12"/>
      <c r="H3166" s="12"/>
      <c r="J3166" s="11"/>
    </row>
    <row r="3167" spans="5:10">
      <c r="E3167" s="11"/>
      <c r="G3167" s="12"/>
      <c r="H3167" s="12"/>
      <c r="J3167" s="11"/>
    </row>
    <row r="3168" spans="5:10">
      <c r="E3168" s="11"/>
      <c r="G3168" s="12"/>
      <c r="H3168" s="12"/>
      <c r="J3168" s="11"/>
    </row>
    <row r="3169" spans="5:10">
      <c r="E3169" s="11"/>
      <c r="G3169" s="12"/>
      <c r="H3169" s="12"/>
      <c r="J3169" s="11"/>
    </row>
    <row r="3170" spans="5:10">
      <c r="E3170" s="11"/>
      <c r="G3170" s="12"/>
      <c r="H3170" s="12"/>
      <c r="J3170" s="11"/>
    </row>
    <row r="3171" spans="5:10">
      <c r="E3171" s="11"/>
      <c r="G3171" s="12"/>
      <c r="H3171" s="12"/>
      <c r="J3171" s="11"/>
    </row>
    <row r="3172" spans="5:10">
      <c r="E3172" s="11"/>
      <c r="G3172" s="12"/>
      <c r="H3172" s="12"/>
      <c r="J3172" s="11"/>
    </row>
    <row r="3173" spans="5:10">
      <c r="E3173" s="11"/>
      <c r="G3173" s="12"/>
      <c r="H3173" s="12"/>
      <c r="J3173" s="11"/>
    </row>
    <row r="3174" spans="5:10">
      <c r="E3174" s="11"/>
      <c r="G3174" s="12"/>
      <c r="H3174" s="12"/>
      <c r="J3174" s="11"/>
    </row>
    <row r="3175" spans="5:10">
      <c r="E3175" s="11"/>
      <c r="G3175" s="12"/>
      <c r="H3175" s="12"/>
      <c r="J3175" s="11"/>
    </row>
    <row r="3176" spans="5:10">
      <c r="E3176" s="11"/>
      <c r="G3176" s="12"/>
      <c r="H3176" s="12"/>
      <c r="J3176" s="11"/>
    </row>
    <row r="3177" spans="5:10">
      <c r="E3177" s="11"/>
      <c r="G3177" s="12"/>
      <c r="H3177" s="12"/>
      <c r="J3177" s="11"/>
    </row>
    <row r="3178" spans="5:10">
      <c r="E3178" s="11"/>
      <c r="G3178" s="12"/>
      <c r="H3178" s="12"/>
      <c r="J3178" s="11"/>
    </row>
    <row r="3179" spans="5:10">
      <c r="E3179" s="11"/>
      <c r="G3179" s="12"/>
      <c r="H3179" s="12"/>
      <c r="J3179" s="11"/>
    </row>
    <row r="3180" spans="5:10">
      <c r="E3180" s="11"/>
      <c r="G3180" s="12"/>
      <c r="H3180" s="12"/>
      <c r="J3180" s="11"/>
    </row>
    <row r="3181" spans="5:10">
      <c r="E3181" s="11"/>
      <c r="G3181" s="12"/>
      <c r="H3181" s="12"/>
      <c r="J3181" s="11"/>
    </row>
    <row r="3182" spans="5:10">
      <c r="E3182" s="11"/>
      <c r="G3182" s="12"/>
      <c r="H3182" s="12"/>
      <c r="J3182" s="11"/>
    </row>
    <row r="3183" spans="5:10">
      <c r="E3183" s="11"/>
      <c r="G3183" s="12"/>
      <c r="H3183" s="12"/>
      <c r="J3183" s="11"/>
    </row>
    <row r="3184" spans="5:10">
      <c r="E3184" s="11"/>
      <c r="G3184" s="12"/>
      <c r="H3184" s="12"/>
      <c r="J3184" s="11"/>
    </row>
    <row r="3185" spans="5:10">
      <c r="E3185" s="11"/>
      <c r="G3185" s="12"/>
      <c r="H3185" s="12"/>
      <c r="J3185" s="11"/>
    </row>
    <row r="3186" spans="5:10">
      <c r="E3186" s="11"/>
      <c r="G3186" s="12"/>
      <c r="H3186" s="12"/>
      <c r="J3186" s="11"/>
    </row>
    <row r="3187" spans="5:10">
      <c r="E3187" s="11"/>
      <c r="G3187" s="12"/>
      <c r="H3187" s="12"/>
      <c r="J3187" s="11"/>
    </row>
    <row r="3188" spans="5:10">
      <c r="E3188" s="11"/>
      <c r="G3188" s="12"/>
      <c r="H3188" s="12"/>
      <c r="J3188" s="11"/>
    </row>
    <row r="3189" spans="5:10">
      <c r="E3189" s="11"/>
      <c r="G3189" s="12"/>
      <c r="H3189" s="12"/>
      <c r="J3189" s="11"/>
    </row>
    <row r="3190" spans="5:10">
      <c r="E3190" s="11"/>
      <c r="G3190" s="12"/>
      <c r="H3190" s="12"/>
      <c r="J3190" s="11"/>
    </row>
    <row r="3191" spans="5:10">
      <c r="E3191" s="11"/>
      <c r="G3191" s="12"/>
      <c r="H3191" s="12"/>
      <c r="J3191" s="11"/>
    </row>
    <row r="3192" spans="5:10">
      <c r="E3192" s="11"/>
      <c r="G3192" s="12"/>
      <c r="H3192" s="12"/>
      <c r="J3192" s="11"/>
    </row>
    <row r="3193" spans="5:10">
      <c r="E3193" s="11"/>
      <c r="G3193" s="12"/>
      <c r="H3193" s="12"/>
      <c r="J3193" s="11"/>
    </row>
    <row r="3194" spans="5:10">
      <c r="E3194" s="11"/>
      <c r="G3194" s="12"/>
      <c r="H3194" s="12"/>
      <c r="J3194" s="11"/>
    </row>
    <row r="3195" spans="5:10">
      <c r="E3195" s="11"/>
      <c r="G3195" s="12"/>
      <c r="H3195" s="12"/>
      <c r="J3195" s="11"/>
    </row>
    <row r="3196" spans="5:10">
      <c r="E3196" s="11"/>
      <c r="G3196" s="12"/>
      <c r="H3196" s="12"/>
      <c r="J3196" s="11"/>
    </row>
    <row r="3197" spans="5:10">
      <c r="E3197" s="11"/>
      <c r="G3197" s="12"/>
      <c r="H3197" s="12"/>
      <c r="J3197" s="11"/>
    </row>
    <row r="3198" spans="5:10">
      <c r="E3198" s="11"/>
      <c r="G3198" s="12"/>
      <c r="H3198" s="12"/>
      <c r="J3198" s="11"/>
    </row>
    <row r="3199" spans="5:10">
      <c r="E3199" s="11"/>
      <c r="G3199" s="12"/>
      <c r="H3199" s="12"/>
      <c r="J3199" s="11"/>
    </row>
    <row r="3200" spans="5:10">
      <c r="E3200" s="11"/>
      <c r="G3200" s="12"/>
      <c r="H3200" s="12"/>
      <c r="J3200" s="11"/>
    </row>
    <row r="3201" spans="5:10">
      <c r="E3201" s="11"/>
      <c r="G3201" s="12"/>
      <c r="H3201" s="12"/>
      <c r="J3201" s="11"/>
    </row>
    <row r="3202" spans="5:10">
      <c r="E3202" s="11"/>
      <c r="G3202" s="12"/>
      <c r="H3202" s="12"/>
      <c r="J3202" s="11"/>
    </row>
    <row r="3203" spans="5:10">
      <c r="E3203" s="11"/>
      <c r="G3203" s="12"/>
      <c r="H3203" s="12"/>
      <c r="J3203" s="11"/>
    </row>
    <row r="3204" spans="5:10">
      <c r="E3204" s="11"/>
      <c r="G3204" s="12"/>
      <c r="H3204" s="12"/>
      <c r="J3204" s="11"/>
    </row>
    <row r="3205" spans="5:10">
      <c r="E3205" s="11"/>
      <c r="G3205" s="12"/>
      <c r="H3205" s="12"/>
      <c r="J3205" s="11"/>
    </row>
    <row r="3206" spans="5:10">
      <c r="E3206" s="11"/>
      <c r="G3206" s="12"/>
      <c r="H3206" s="12"/>
      <c r="J3206" s="11"/>
    </row>
    <row r="3207" spans="5:10">
      <c r="E3207" s="11"/>
      <c r="G3207" s="12"/>
      <c r="H3207" s="12"/>
      <c r="J3207" s="11"/>
    </row>
    <row r="3208" spans="5:10">
      <c r="E3208" s="11"/>
      <c r="G3208" s="12"/>
      <c r="H3208" s="12"/>
      <c r="J3208" s="11"/>
    </row>
    <row r="3209" spans="5:10">
      <c r="E3209" s="11"/>
      <c r="G3209" s="12"/>
      <c r="H3209" s="12"/>
      <c r="J3209" s="11"/>
    </row>
    <row r="3210" spans="5:10">
      <c r="E3210" s="11"/>
      <c r="G3210" s="12"/>
      <c r="H3210" s="12"/>
      <c r="J3210" s="11"/>
    </row>
    <row r="3211" spans="5:10">
      <c r="E3211" s="11"/>
      <c r="G3211" s="12"/>
      <c r="H3211" s="12"/>
      <c r="J3211" s="11"/>
    </row>
    <row r="3212" spans="5:10">
      <c r="E3212" s="11"/>
      <c r="G3212" s="12"/>
      <c r="H3212" s="12"/>
      <c r="J3212" s="11"/>
    </row>
    <row r="3213" spans="5:10">
      <c r="E3213" s="11"/>
      <c r="G3213" s="12"/>
      <c r="H3213" s="12"/>
      <c r="J3213" s="11"/>
    </row>
    <row r="3214" spans="5:10">
      <c r="E3214" s="11"/>
      <c r="G3214" s="12"/>
      <c r="H3214" s="12"/>
      <c r="J3214" s="11"/>
    </row>
    <row r="3215" spans="5:10">
      <c r="E3215" s="11"/>
      <c r="G3215" s="12"/>
      <c r="H3215" s="12"/>
      <c r="J3215" s="11"/>
    </row>
    <row r="3216" spans="5:10">
      <c r="E3216" s="11"/>
      <c r="G3216" s="12"/>
      <c r="H3216" s="12"/>
      <c r="J3216" s="11"/>
    </row>
    <row r="3217" spans="5:10">
      <c r="E3217" s="11"/>
      <c r="G3217" s="12"/>
      <c r="H3217" s="12"/>
      <c r="J3217" s="11"/>
    </row>
    <row r="3218" spans="5:10">
      <c r="E3218" s="11"/>
      <c r="G3218" s="12"/>
      <c r="H3218" s="12"/>
      <c r="J3218" s="11"/>
    </row>
    <row r="3219" spans="5:10">
      <c r="E3219" s="11"/>
      <c r="G3219" s="12"/>
      <c r="H3219" s="12"/>
      <c r="J3219" s="11"/>
    </row>
    <row r="3220" spans="5:10">
      <c r="E3220" s="11"/>
      <c r="G3220" s="12"/>
      <c r="H3220" s="12"/>
      <c r="J3220" s="11"/>
    </row>
    <row r="3221" spans="5:10">
      <c r="E3221" s="11"/>
      <c r="G3221" s="12"/>
      <c r="H3221" s="12"/>
      <c r="J3221" s="11"/>
    </row>
    <row r="3222" spans="5:10">
      <c r="E3222" s="11"/>
      <c r="G3222" s="12"/>
      <c r="H3222" s="12"/>
      <c r="J3222" s="11"/>
    </row>
    <row r="3223" spans="5:10">
      <c r="E3223" s="11"/>
      <c r="G3223" s="12"/>
      <c r="H3223" s="12"/>
      <c r="J3223" s="11"/>
    </row>
    <row r="3224" spans="5:10">
      <c r="E3224" s="11"/>
      <c r="G3224" s="12"/>
      <c r="H3224" s="12"/>
      <c r="J3224" s="11"/>
    </row>
    <row r="3225" spans="5:10">
      <c r="E3225" s="11"/>
      <c r="G3225" s="12"/>
      <c r="H3225" s="12"/>
      <c r="J3225" s="11"/>
    </row>
    <row r="3226" spans="5:10">
      <c r="E3226" s="11"/>
      <c r="G3226" s="12"/>
      <c r="H3226" s="12"/>
      <c r="J3226" s="11"/>
    </row>
    <row r="3227" spans="5:10">
      <c r="E3227" s="11"/>
      <c r="G3227" s="12"/>
      <c r="H3227" s="12"/>
      <c r="J3227" s="11"/>
    </row>
    <row r="3228" spans="5:10">
      <c r="E3228" s="11"/>
      <c r="G3228" s="12"/>
      <c r="H3228" s="12"/>
      <c r="J3228" s="11"/>
    </row>
    <row r="3229" spans="5:10">
      <c r="E3229" s="11"/>
      <c r="G3229" s="12"/>
      <c r="H3229" s="12"/>
      <c r="J3229" s="11"/>
    </row>
    <row r="3230" spans="5:10">
      <c r="E3230" s="11"/>
      <c r="G3230" s="12"/>
      <c r="H3230" s="12"/>
      <c r="J3230" s="11"/>
    </row>
    <row r="3231" spans="5:10">
      <c r="E3231" s="11"/>
      <c r="G3231" s="12"/>
      <c r="H3231" s="12"/>
      <c r="J3231" s="11"/>
    </row>
    <row r="3232" spans="5:10">
      <c r="E3232" s="11"/>
      <c r="G3232" s="12"/>
      <c r="H3232" s="12"/>
      <c r="J3232" s="11"/>
    </row>
    <row r="3233" spans="5:10">
      <c r="E3233" s="11"/>
      <c r="G3233" s="12"/>
      <c r="H3233" s="12"/>
      <c r="J3233" s="11"/>
    </row>
    <row r="3234" spans="5:10">
      <c r="E3234" s="11"/>
      <c r="G3234" s="12"/>
      <c r="H3234" s="12"/>
      <c r="J3234" s="11"/>
    </row>
    <row r="3235" spans="5:10">
      <c r="E3235" s="11"/>
      <c r="G3235" s="12"/>
      <c r="H3235" s="12"/>
      <c r="J3235" s="11"/>
    </row>
    <row r="3236" spans="5:10">
      <c r="E3236" s="11"/>
      <c r="G3236" s="12"/>
      <c r="H3236" s="12"/>
      <c r="J3236" s="11"/>
    </row>
    <row r="3237" spans="5:10">
      <c r="E3237" s="11"/>
      <c r="G3237" s="12"/>
      <c r="H3237" s="12"/>
      <c r="J3237" s="11"/>
    </row>
    <row r="3238" spans="5:10">
      <c r="E3238" s="11"/>
      <c r="G3238" s="12"/>
      <c r="H3238" s="12"/>
      <c r="J3238" s="11"/>
    </row>
    <row r="3239" spans="5:10">
      <c r="E3239" s="11"/>
      <c r="G3239" s="12"/>
      <c r="H3239" s="12"/>
      <c r="J3239" s="11"/>
    </row>
    <row r="3240" spans="5:10">
      <c r="E3240" s="11"/>
      <c r="G3240" s="12"/>
      <c r="H3240" s="12"/>
      <c r="J3240" s="11"/>
    </row>
    <row r="3241" spans="5:10">
      <c r="E3241" s="11"/>
      <c r="G3241" s="12"/>
      <c r="H3241" s="12"/>
      <c r="J3241" s="11"/>
    </row>
    <row r="3242" spans="5:10">
      <c r="E3242" s="11"/>
      <c r="G3242" s="12"/>
      <c r="H3242" s="12"/>
      <c r="J3242" s="11"/>
    </row>
    <row r="3243" spans="5:10">
      <c r="E3243" s="11"/>
      <c r="G3243" s="12"/>
      <c r="H3243" s="12"/>
      <c r="J3243" s="11"/>
    </row>
    <row r="3244" spans="5:10">
      <c r="E3244" s="11"/>
      <c r="G3244" s="12"/>
      <c r="H3244" s="12"/>
      <c r="J3244" s="11"/>
    </row>
    <row r="3245" spans="5:10">
      <c r="E3245" s="11"/>
      <c r="G3245" s="12"/>
      <c r="H3245" s="12"/>
      <c r="J3245" s="11"/>
    </row>
    <row r="3246" spans="5:10">
      <c r="E3246" s="11"/>
      <c r="G3246" s="12"/>
      <c r="H3246" s="12"/>
      <c r="J3246" s="11"/>
    </row>
    <row r="3247" spans="5:10">
      <c r="E3247" s="11"/>
      <c r="G3247" s="12"/>
      <c r="H3247" s="12"/>
      <c r="J3247" s="11"/>
    </row>
    <row r="3248" spans="5:10">
      <c r="E3248" s="11"/>
      <c r="G3248" s="12"/>
      <c r="H3248" s="12"/>
      <c r="J3248" s="11"/>
    </row>
    <row r="3249" spans="5:10">
      <c r="E3249" s="11"/>
      <c r="G3249" s="12"/>
      <c r="H3249" s="12"/>
      <c r="J3249" s="11"/>
    </row>
    <row r="3250" spans="5:10">
      <c r="E3250" s="11"/>
      <c r="G3250" s="12"/>
      <c r="H3250" s="12"/>
      <c r="J3250" s="11"/>
    </row>
    <row r="3251" spans="5:10">
      <c r="E3251" s="11"/>
      <c r="G3251" s="12"/>
      <c r="H3251" s="12"/>
      <c r="J3251" s="11"/>
    </row>
    <row r="3252" spans="5:10">
      <c r="E3252" s="11"/>
      <c r="G3252" s="12"/>
      <c r="H3252" s="12"/>
      <c r="J3252" s="11"/>
    </row>
    <row r="3253" spans="5:10">
      <c r="E3253" s="11"/>
      <c r="G3253" s="12"/>
      <c r="H3253" s="12"/>
      <c r="J3253" s="11"/>
    </row>
    <row r="3254" spans="5:10">
      <c r="E3254" s="11"/>
      <c r="G3254" s="12"/>
      <c r="H3254" s="12"/>
      <c r="J3254" s="11"/>
    </row>
    <row r="3255" spans="5:10">
      <c r="E3255" s="11"/>
      <c r="G3255" s="12"/>
      <c r="H3255" s="12"/>
      <c r="J3255" s="11"/>
    </row>
    <row r="3256" spans="5:10">
      <c r="E3256" s="11"/>
      <c r="G3256" s="12"/>
      <c r="H3256" s="12"/>
      <c r="J3256" s="11"/>
    </row>
    <row r="3257" spans="5:10">
      <c r="E3257" s="11"/>
      <c r="G3257" s="12"/>
      <c r="H3257" s="12"/>
      <c r="J3257" s="11"/>
    </row>
    <row r="3258" spans="5:10">
      <c r="E3258" s="11"/>
      <c r="G3258" s="12"/>
      <c r="H3258" s="12"/>
      <c r="J3258" s="11"/>
    </row>
    <row r="3259" spans="5:10">
      <c r="E3259" s="11"/>
      <c r="G3259" s="12"/>
      <c r="H3259" s="12"/>
      <c r="J3259" s="11"/>
    </row>
    <row r="3260" spans="5:10">
      <c r="E3260" s="11"/>
      <c r="G3260" s="12"/>
      <c r="H3260" s="12"/>
      <c r="J3260" s="11"/>
    </row>
    <row r="3261" spans="5:10">
      <c r="E3261" s="11"/>
      <c r="G3261" s="12"/>
      <c r="H3261" s="12"/>
      <c r="J3261" s="11"/>
    </row>
    <row r="3262" spans="5:10">
      <c r="E3262" s="11"/>
      <c r="G3262" s="12"/>
      <c r="H3262" s="12"/>
      <c r="J3262" s="11"/>
    </row>
    <row r="3263" spans="5:10">
      <c r="E3263" s="11"/>
      <c r="G3263" s="12"/>
      <c r="H3263" s="12"/>
      <c r="J3263" s="11"/>
    </row>
    <row r="3264" spans="5:10">
      <c r="E3264" s="11"/>
      <c r="G3264" s="12"/>
      <c r="H3264" s="12"/>
      <c r="J3264" s="11"/>
    </row>
    <row r="3265" spans="5:10">
      <c r="E3265" s="11"/>
      <c r="G3265" s="12"/>
      <c r="H3265" s="12"/>
      <c r="J3265" s="11"/>
    </row>
    <row r="3266" spans="5:10">
      <c r="E3266" s="11"/>
      <c r="G3266" s="12"/>
      <c r="H3266" s="12"/>
      <c r="J3266" s="11"/>
    </row>
    <row r="3267" spans="5:10">
      <c r="E3267" s="11"/>
      <c r="G3267" s="12"/>
      <c r="H3267" s="12"/>
      <c r="J3267" s="11"/>
    </row>
    <row r="3268" spans="5:10">
      <c r="E3268" s="11"/>
      <c r="G3268" s="12"/>
      <c r="H3268" s="12"/>
      <c r="J3268" s="11"/>
    </row>
    <row r="3269" spans="5:10">
      <c r="E3269" s="11"/>
      <c r="G3269" s="12"/>
      <c r="H3269" s="12"/>
      <c r="J3269" s="11"/>
    </row>
    <row r="3270" spans="5:10">
      <c r="E3270" s="11"/>
      <c r="G3270" s="12"/>
      <c r="H3270" s="12"/>
      <c r="J3270" s="11"/>
    </row>
    <row r="3271" spans="5:10">
      <c r="E3271" s="11"/>
      <c r="G3271" s="12"/>
      <c r="H3271" s="12"/>
      <c r="J3271" s="11"/>
    </row>
    <row r="3272" spans="5:10">
      <c r="E3272" s="11"/>
      <c r="G3272" s="12"/>
      <c r="H3272" s="12"/>
      <c r="J3272" s="11"/>
    </row>
    <row r="3273" spans="5:10">
      <c r="E3273" s="11"/>
      <c r="G3273" s="12"/>
      <c r="H3273" s="12"/>
      <c r="J3273" s="11"/>
    </row>
    <row r="3274" spans="5:10">
      <c r="E3274" s="11"/>
      <c r="G3274" s="12"/>
      <c r="H3274" s="12"/>
      <c r="J3274" s="11"/>
    </row>
    <row r="3275" spans="5:10">
      <c r="E3275" s="11"/>
      <c r="G3275" s="12"/>
      <c r="H3275" s="12"/>
      <c r="J3275" s="11"/>
    </row>
    <row r="3276" spans="5:10">
      <c r="E3276" s="11"/>
      <c r="G3276" s="12"/>
      <c r="H3276" s="12"/>
      <c r="J3276" s="11"/>
    </row>
    <row r="3277" spans="5:10">
      <c r="E3277" s="11"/>
      <c r="G3277" s="12"/>
      <c r="H3277" s="12"/>
      <c r="J3277" s="11"/>
    </row>
    <row r="3278" spans="5:10">
      <c r="E3278" s="11"/>
      <c r="G3278" s="12"/>
      <c r="H3278" s="12"/>
      <c r="J3278" s="11"/>
    </row>
    <row r="3279" spans="5:10">
      <c r="E3279" s="11"/>
      <c r="G3279" s="12"/>
      <c r="H3279" s="12"/>
      <c r="J3279" s="11"/>
    </row>
    <row r="3280" spans="5:10">
      <c r="E3280" s="11"/>
      <c r="G3280" s="12"/>
      <c r="H3280" s="12"/>
      <c r="J3280" s="11"/>
    </row>
    <row r="3281" spans="5:10">
      <c r="E3281" s="11"/>
      <c r="G3281" s="12"/>
      <c r="H3281" s="12"/>
      <c r="J3281" s="11"/>
    </row>
    <row r="3282" spans="5:10">
      <c r="E3282" s="11"/>
      <c r="G3282" s="12"/>
      <c r="H3282" s="12"/>
      <c r="J3282" s="11"/>
    </row>
    <row r="3283" spans="5:10">
      <c r="E3283" s="11"/>
      <c r="G3283" s="12"/>
      <c r="H3283" s="12"/>
      <c r="J3283" s="11"/>
    </row>
    <row r="3284" spans="5:10">
      <c r="E3284" s="11"/>
      <c r="G3284" s="12"/>
      <c r="H3284" s="12"/>
      <c r="J3284" s="11"/>
    </row>
    <row r="3285" spans="5:10">
      <c r="E3285" s="11"/>
      <c r="G3285" s="12"/>
      <c r="H3285" s="12"/>
      <c r="J3285" s="11"/>
    </row>
    <row r="3286" spans="5:10">
      <c r="E3286" s="11"/>
      <c r="G3286" s="12"/>
      <c r="H3286" s="12"/>
      <c r="J3286" s="11"/>
    </row>
    <row r="3287" spans="5:10">
      <c r="E3287" s="11"/>
      <c r="G3287" s="12"/>
      <c r="H3287" s="12"/>
      <c r="J3287" s="11"/>
    </row>
    <row r="3288" spans="5:10">
      <c r="E3288" s="11"/>
      <c r="G3288" s="12"/>
      <c r="H3288" s="12"/>
      <c r="J3288" s="11"/>
    </row>
    <row r="3289" spans="5:10">
      <c r="E3289" s="11"/>
      <c r="G3289" s="12"/>
      <c r="H3289" s="12"/>
      <c r="J3289" s="11"/>
    </row>
    <row r="3290" spans="5:10">
      <c r="E3290" s="11"/>
      <c r="G3290" s="12"/>
      <c r="H3290" s="12"/>
      <c r="J3290" s="11"/>
    </row>
    <row r="3291" spans="5:10">
      <c r="E3291" s="11"/>
      <c r="G3291" s="12"/>
      <c r="H3291" s="12"/>
      <c r="J3291" s="11"/>
    </row>
    <row r="3292" spans="5:10">
      <c r="E3292" s="11"/>
      <c r="G3292" s="12"/>
      <c r="H3292" s="12"/>
      <c r="J3292" s="11"/>
    </row>
    <row r="3293" spans="5:10">
      <c r="E3293" s="11"/>
      <c r="G3293" s="12"/>
      <c r="H3293" s="12"/>
      <c r="J3293" s="11"/>
    </row>
    <row r="3294" spans="5:10">
      <c r="E3294" s="11"/>
      <c r="G3294" s="12"/>
      <c r="H3294" s="12"/>
      <c r="J3294" s="11"/>
    </row>
    <row r="3295" spans="5:10">
      <c r="E3295" s="11"/>
      <c r="G3295" s="12"/>
      <c r="H3295" s="12"/>
      <c r="J3295" s="11"/>
    </row>
    <row r="3296" spans="5:10">
      <c r="E3296" s="11"/>
      <c r="G3296" s="12"/>
      <c r="H3296" s="12"/>
      <c r="J3296" s="11"/>
    </row>
    <row r="3297" spans="5:10">
      <c r="E3297" s="11"/>
      <c r="G3297" s="12"/>
      <c r="H3297" s="12"/>
      <c r="J3297" s="11"/>
    </row>
    <row r="3298" spans="5:10">
      <c r="E3298" s="11"/>
      <c r="G3298" s="12"/>
      <c r="H3298" s="12"/>
      <c r="J3298" s="11"/>
    </row>
    <row r="3299" spans="5:10">
      <c r="E3299" s="11"/>
      <c r="G3299" s="12"/>
      <c r="H3299" s="12"/>
      <c r="J3299" s="11"/>
    </row>
    <row r="3300" spans="5:10">
      <c r="E3300" s="11"/>
      <c r="G3300" s="12"/>
      <c r="H3300" s="12"/>
      <c r="J3300" s="11"/>
    </row>
    <row r="3301" spans="5:10">
      <c r="E3301" s="11"/>
      <c r="G3301" s="12"/>
      <c r="H3301" s="12"/>
      <c r="J3301" s="11"/>
    </row>
    <row r="3302" spans="5:10">
      <c r="E3302" s="11"/>
      <c r="G3302" s="12"/>
      <c r="H3302" s="12"/>
      <c r="J3302" s="11"/>
    </row>
    <row r="3303" spans="5:10">
      <c r="E3303" s="11"/>
      <c r="G3303" s="12"/>
      <c r="H3303" s="12"/>
      <c r="J3303" s="11"/>
    </row>
    <row r="3304" spans="5:10">
      <c r="E3304" s="11"/>
      <c r="G3304" s="12"/>
      <c r="H3304" s="12"/>
      <c r="J3304" s="11"/>
    </row>
    <row r="3305" spans="5:10">
      <c r="E3305" s="11"/>
      <c r="G3305" s="12"/>
      <c r="H3305" s="12"/>
      <c r="J3305" s="11"/>
    </row>
    <row r="3306" spans="5:10">
      <c r="E3306" s="11"/>
      <c r="G3306" s="12"/>
      <c r="H3306" s="12"/>
      <c r="J3306" s="11"/>
    </row>
    <row r="3307" spans="5:10">
      <c r="E3307" s="11"/>
      <c r="G3307" s="12"/>
      <c r="H3307" s="12"/>
      <c r="J3307" s="11"/>
    </row>
    <row r="3308" spans="5:10">
      <c r="E3308" s="11"/>
      <c r="G3308" s="12"/>
      <c r="H3308" s="12"/>
      <c r="J3308" s="11"/>
    </row>
    <row r="3309" spans="5:10">
      <c r="E3309" s="11"/>
      <c r="G3309" s="12"/>
      <c r="H3309" s="12"/>
      <c r="J3309" s="11"/>
    </row>
    <row r="3310" spans="5:10">
      <c r="E3310" s="11"/>
      <c r="G3310" s="12"/>
      <c r="H3310" s="12"/>
      <c r="J3310" s="11"/>
    </row>
    <row r="3311" spans="5:10">
      <c r="E3311" s="11"/>
      <c r="G3311" s="12"/>
      <c r="H3311" s="12"/>
      <c r="J3311" s="11"/>
    </row>
    <row r="3312" spans="5:10">
      <c r="E3312" s="11"/>
      <c r="G3312" s="12"/>
      <c r="H3312" s="12"/>
      <c r="J3312" s="11"/>
    </row>
    <row r="3313" spans="5:10">
      <c r="E3313" s="11"/>
      <c r="G3313" s="12"/>
      <c r="H3313" s="12"/>
      <c r="J3313" s="11"/>
    </row>
    <row r="3314" spans="5:10">
      <c r="E3314" s="11"/>
      <c r="G3314" s="12"/>
      <c r="H3314" s="12"/>
      <c r="J3314" s="11"/>
    </row>
    <row r="3315" spans="5:10">
      <c r="E3315" s="11"/>
      <c r="G3315" s="12"/>
      <c r="H3315" s="12"/>
      <c r="J3315" s="11"/>
    </row>
    <row r="3316" spans="5:10">
      <c r="E3316" s="11"/>
      <c r="G3316" s="12"/>
      <c r="H3316" s="12"/>
      <c r="J3316" s="11"/>
    </row>
    <row r="3317" spans="5:10">
      <c r="E3317" s="11"/>
      <c r="G3317" s="12"/>
      <c r="H3317" s="12"/>
      <c r="J3317" s="11"/>
    </row>
    <row r="3318" spans="5:10">
      <c r="E3318" s="11"/>
      <c r="G3318" s="12"/>
      <c r="H3318" s="12"/>
      <c r="J3318" s="11"/>
    </row>
    <row r="3319" spans="5:10">
      <c r="E3319" s="11"/>
      <c r="G3319" s="12"/>
      <c r="H3319" s="12"/>
      <c r="J3319" s="11"/>
    </row>
    <row r="3320" spans="5:10">
      <c r="E3320" s="11"/>
      <c r="G3320" s="12"/>
      <c r="H3320" s="12"/>
      <c r="J3320" s="11"/>
    </row>
    <row r="3321" spans="5:10">
      <c r="E3321" s="11"/>
      <c r="G3321" s="12"/>
      <c r="H3321" s="12"/>
      <c r="J3321" s="11"/>
    </row>
    <row r="3322" spans="5:10">
      <c r="E3322" s="11"/>
      <c r="G3322" s="12"/>
      <c r="H3322" s="12"/>
      <c r="J3322" s="11"/>
    </row>
    <row r="3323" spans="5:10">
      <c r="E3323" s="11"/>
      <c r="G3323" s="12"/>
      <c r="H3323" s="12"/>
      <c r="J3323" s="11"/>
    </row>
    <row r="3324" spans="5:10">
      <c r="E3324" s="11"/>
      <c r="G3324" s="12"/>
      <c r="H3324" s="12"/>
      <c r="J3324" s="11"/>
    </row>
    <row r="3325" spans="5:10">
      <c r="E3325" s="11"/>
      <c r="G3325" s="12"/>
      <c r="H3325" s="12"/>
      <c r="J3325" s="11"/>
    </row>
    <row r="3326" spans="5:10">
      <c r="E3326" s="11"/>
      <c r="G3326" s="12"/>
      <c r="H3326" s="12"/>
      <c r="J3326" s="11"/>
    </row>
    <row r="3327" spans="5:10">
      <c r="E3327" s="11"/>
      <c r="G3327" s="12"/>
      <c r="H3327" s="12"/>
      <c r="J3327" s="11"/>
    </row>
    <row r="3328" spans="5:10">
      <c r="E3328" s="11"/>
      <c r="G3328" s="12"/>
      <c r="H3328" s="12"/>
      <c r="J3328" s="11"/>
    </row>
    <row r="3329" spans="5:10">
      <c r="E3329" s="11"/>
      <c r="G3329" s="12"/>
      <c r="H3329" s="12"/>
      <c r="J3329" s="11"/>
    </row>
    <row r="3330" spans="5:10">
      <c r="E3330" s="11"/>
      <c r="G3330" s="12"/>
      <c r="H3330" s="12"/>
      <c r="J3330" s="11"/>
    </row>
    <row r="3331" spans="5:10">
      <c r="E3331" s="11"/>
      <c r="G3331" s="12"/>
      <c r="H3331" s="12"/>
      <c r="J3331" s="11"/>
    </row>
    <row r="3332" spans="5:10">
      <c r="E3332" s="11"/>
      <c r="G3332" s="12"/>
      <c r="H3332" s="12"/>
      <c r="J3332" s="11"/>
    </row>
    <row r="3333" spans="5:10">
      <c r="E3333" s="11"/>
      <c r="G3333" s="12"/>
      <c r="H3333" s="12"/>
      <c r="J3333" s="11"/>
    </row>
    <row r="3334" spans="5:10">
      <c r="E3334" s="11"/>
      <c r="G3334" s="12"/>
      <c r="H3334" s="12"/>
      <c r="J3334" s="11"/>
    </row>
    <row r="3335" spans="5:10">
      <c r="E3335" s="11"/>
      <c r="G3335" s="12"/>
      <c r="H3335" s="12"/>
      <c r="J3335" s="11"/>
    </row>
    <row r="3336" spans="5:10">
      <c r="E3336" s="11"/>
      <c r="G3336" s="12"/>
      <c r="H3336" s="12"/>
      <c r="J3336" s="11"/>
    </row>
    <row r="3337" spans="5:10">
      <c r="E3337" s="11"/>
      <c r="G3337" s="12"/>
      <c r="H3337" s="12"/>
      <c r="J3337" s="11"/>
    </row>
    <row r="3338" spans="5:10">
      <c r="E3338" s="11"/>
      <c r="G3338" s="12"/>
      <c r="H3338" s="12"/>
      <c r="J3338" s="11"/>
    </row>
    <row r="3339" spans="5:10">
      <c r="E3339" s="11"/>
      <c r="G3339" s="12"/>
      <c r="H3339" s="12"/>
      <c r="J3339" s="11"/>
    </row>
    <row r="3340" spans="5:10">
      <c r="E3340" s="11"/>
      <c r="G3340" s="12"/>
      <c r="H3340" s="12"/>
      <c r="J3340" s="11"/>
    </row>
    <row r="3341" spans="5:10">
      <c r="E3341" s="11"/>
      <c r="G3341" s="12"/>
      <c r="H3341" s="12"/>
      <c r="J3341" s="11"/>
    </row>
    <row r="3342" spans="5:10">
      <c r="E3342" s="11"/>
      <c r="G3342" s="12"/>
      <c r="H3342" s="12"/>
      <c r="J3342" s="11"/>
    </row>
    <row r="3343" spans="5:10">
      <c r="E3343" s="11"/>
      <c r="G3343" s="12"/>
      <c r="H3343" s="12"/>
      <c r="J3343" s="11"/>
    </row>
    <row r="3344" spans="5:10">
      <c r="E3344" s="11"/>
      <c r="G3344" s="12"/>
      <c r="H3344" s="12"/>
      <c r="J3344" s="11"/>
    </row>
    <row r="3345" spans="5:10">
      <c r="E3345" s="11"/>
      <c r="G3345" s="12"/>
      <c r="H3345" s="12"/>
      <c r="J3345" s="11"/>
    </row>
    <row r="3346" spans="5:10">
      <c r="E3346" s="11"/>
      <c r="G3346" s="12"/>
      <c r="H3346" s="12"/>
      <c r="J3346" s="11"/>
    </row>
    <row r="3347" spans="5:10">
      <c r="E3347" s="11"/>
      <c r="G3347" s="12"/>
      <c r="H3347" s="12"/>
      <c r="J3347" s="11"/>
    </row>
    <row r="3348" spans="5:10">
      <c r="E3348" s="11"/>
      <c r="G3348" s="12"/>
      <c r="H3348" s="12"/>
      <c r="J3348" s="11"/>
    </row>
    <row r="3349" spans="5:10">
      <c r="E3349" s="11"/>
      <c r="G3349" s="12"/>
      <c r="H3349" s="12"/>
      <c r="J3349" s="11"/>
    </row>
    <row r="3350" spans="5:10">
      <c r="E3350" s="11"/>
      <c r="G3350" s="12"/>
      <c r="H3350" s="12"/>
      <c r="J3350" s="11"/>
    </row>
    <row r="3351" spans="5:10">
      <c r="E3351" s="11"/>
      <c r="G3351" s="12"/>
      <c r="H3351" s="12"/>
      <c r="J3351" s="11"/>
    </row>
    <row r="3352" spans="5:10">
      <c r="E3352" s="11"/>
      <c r="G3352" s="12"/>
      <c r="H3352" s="12"/>
      <c r="J3352" s="11"/>
    </row>
    <row r="3353" spans="5:10">
      <c r="E3353" s="11"/>
      <c r="G3353" s="12"/>
      <c r="H3353" s="12"/>
      <c r="J3353" s="11"/>
    </row>
    <row r="3354" spans="5:10">
      <c r="E3354" s="11"/>
      <c r="G3354" s="12"/>
      <c r="H3354" s="12"/>
      <c r="J3354" s="11"/>
    </row>
    <row r="3355" spans="5:10">
      <c r="E3355" s="11"/>
      <c r="G3355" s="12"/>
      <c r="H3355" s="12"/>
      <c r="J3355" s="11"/>
    </row>
    <row r="3356" spans="5:10">
      <c r="E3356" s="11"/>
      <c r="G3356" s="12"/>
      <c r="H3356" s="12"/>
      <c r="J3356" s="11"/>
    </row>
    <row r="3357" spans="5:10">
      <c r="E3357" s="11"/>
      <c r="G3357" s="12"/>
      <c r="H3357" s="12"/>
      <c r="J3357" s="11"/>
    </row>
    <row r="3358" spans="5:10">
      <c r="E3358" s="11"/>
      <c r="G3358" s="12"/>
      <c r="H3358" s="12"/>
      <c r="J3358" s="11"/>
    </row>
    <row r="3359" spans="5:10">
      <c r="E3359" s="11"/>
      <c r="G3359" s="12"/>
      <c r="H3359" s="12"/>
      <c r="J3359" s="11"/>
    </row>
    <row r="3360" spans="5:10">
      <c r="E3360" s="11"/>
      <c r="G3360" s="12"/>
      <c r="H3360" s="12"/>
      <c r="J3360" s="11"/>
    </row>
    <row r="3361" spans="5:10">
      <c r="E3361" s="11"/>
      <c r="G3361" s="12"/>
      <c r="H3361" s="12"/>
      <c r="J3361" s="11"/>
    </row>
    <row r="3362" spans="5:10">
      <c r="E3362" s="11"/>
      <c r="G3362" s="12"/>
      <c r="H3362" s="12"/>
      <c r="J3362" s="11"/>
    </row>
    <row r="3363" spans="5:10">
      <c r="E3363" s="11"/>
      <c r="G3363" s="12"/>
      <c r="H3363" s="12"/>
      <c r="J3363" s="11"/>
    </row>
    <row r="3364" spans="5:10">
      <c r="E3364" s="11"/>
      <c r="G3364" s="12"/>
      <c r="H3364" s="12"/>
      <c r="J3364" s="11"/>
    </row>
    <row r="3365" spans="5:10">
      <c r="E3365" s="11"/>
      <c r="G3365" s="12"/>
      <c r="H3365" s="12"/>
      <c r="J3365" s="11"/>
    </row>
    <row r="3366" spans="5:10">
      <c r="E3366" s="11"/>
      <c r="G3366" s="12"/>
      <c r="H3366" s="12"/>
      <c r="J3366" s="11"/>
    </row>
    <row r="3367" spans="5:10">
      <c r="E3367" s="11"/>
      <c r="G3367" s="12"/>
      <c r="H3367" s="12"/>
      <c r="J3367" s="11"/>
    </row>
    <row r="3368" spans="5:10">
      <c r="E3368" s="11"/>
      <c r="G3368" s="12"/>
      <c r="H3368" s="12"/>
      <c r="J3368" s="11"/>
    </row>
    <row r="3369" spans="5:10">
      <c r="E3369" s="11"/>
      <c r="G3369" s="12"/>
      <c r="H3369" s="12"/>
      <c r="J3369" s="11"/>
    </row>
    <row r="3370" spans="5:10">
      <c r="E3370" s="11"/>
      <c r="G3370" s="12"/>
      <c r="H3370" s="12"/>
      <c r="J3370" s="11"/>
    </row>
    <row r="3371" spans="5:10">
      <c r="E3371" s="11"/>
      <c r="G3371" s="12"/>
      <c r="H3371" s="12"/>
      <c r="J3371" s="11"/>
    </row>
    <row r="3372" spans="5:10">
      <c r="E3372" s="11"/>
      <c r="G3372" s="12"/>
      <c r="H3372" s="12"/>
      <c r="J3372" s="11"/>
    </row>
    <row r="3373" spans="5:10">
      <c r="E3373" s="11"/>
      <c r="G3373" s="12"/>
      <c r="H3373" s="12"/>
      <c r="J3373" s="11"/>
    </row>
    <row r="3374" spans="5:10">
      <c r="E3374" s="11"/>
      <c r="G3374" s="12"/>
      <c r="H3374" s="12"/>
      <c r="J3374" s="11"/>
    </row>
    <row r="3375" spans="5:10">
      <c r="E3375" s="11"/>
      <c r="G3375" s="12"/>
      <c r="H3375" s="12"/>
      <c r="J3375" s="11"/>
    </row>
    <row r="3376" spans="5:10">
      <c r="E3376" s="11"/>
      <c r="G3376" s="12"/>
      <c r="H3376" s="12"/>
      <c r="J3376" s="11"/>
    </row>
    <row r="3377" spans="5:10">
      <c r="E3377" s="11"/>
      <c r="G3377" s="12"/>
      <c r="H3377" s="12"/>
      <c r="J3377" s="11"/>
    </row>
    <row r="3378" spans="5:10">
      <c r="E3378" s="11"/>
      <c r="G3378" s="12"/>
      <c r="H3378" s="12"/>
      <c r="J3378" s="11"/>
    </row>
    <row r="3379" spans="5:10">
      <c r="E3379" s="11"/>
      <c r="G3379" s="12"/>
      <c r="H3379" s="12"/>
      <c r="J3379" s="11"/>
    </row>
    <row r="3380" spans="5:10">
      <c r="E3380" s="11"/>
      <c r="G3380" s="12"/>
      <c r="H3380" s="12"/>
      <c r="J3380" s="11"/>
    </row>
    <row r="3381" spans="5:10">
      <c r="E3381" s="11"/>
      <c r="G3381" s="12"/>
      <c r="H3381" s="12"/>
      <c r="J3381" s="11"/>
    </row>
    <row r="3382" spans="5:10">
      <c r="E3382" s="11"/>
      <c r="G3382" s="12"/>
      <c r="H3382" s="12"/>
      <c r="J3382" s="11"/>
    </row>
    <row r="3383" spans="5:10">
      <c r="E3383" s="11"/>
      <c r="G3383" s="12"/>
      <c r="H3383" s="12"/>
      <c r="J3383" s="11"/>
    </row>
    <row r="3384" spans="5:10">
      <c r="E3384" s="11"/>
      <c r="G3384" s="12"/>
      <c r="H3384" s="12"/>
      <c r="J3384" s="11"/>
    </row>
    <row r="3385" spans="5:10">
      <c r="E3385" s="11"/>
      <c r="G3385" s="12"/>
      <c r="H3385" s="12"/>
      <c r="J3385" s="11"/>
    </row>
    <row r="3386" spans="5:10">
      <c r="E3386" s="11"/>
      <c r="G3386" s="12"/>
      <c r="H3386" s="12"/>
      <c r="J3386" s="11"/>
    </row>
    <row r="3387" spans="5:10">
      <c r="E3387" s="11"/>
      <c r="G3387" s="12"/>
      <c r="H3387" s="12"/>
      <c r="J3387" s="11"/>
    </row>
    <row r="3388" spans="5:10">
      <c r="E3388" s="11"/>
      <c r="G3388" s="12"/>
      <c r="H3388" s="12"/>
      <c r="J3388" s="11"/>
    </row>
    <row r="3389" spans="5:10">
      <c r="E3389" s="11"/>
      <c r="G3389" s="12"/>
      <c r="H3389" s="12"/>
      <c r="J3389" s="11"/>
    </row>
    <row r="3390" spans="5:10">
      <c r="E3390" s="11"/>
      <c r="G3390" s="12"/>
      <c r="H3390" s="12"/>
      <c r="J3390" s="11"/>
    </row>
    <row r="3391" spans="5:10">
      <c r="E3391" s="11"/>
      <c r="G3391" s="12"/>
      <c r="H3391" s="12"/>
      <c r="J3391" s="11"/>
    </row>
    <row r="3392" spans="5:10">
      <c r="E3392" s="11"/>
      <c r="G3392" s="12"/>
      <c r="H3392" s="12"/>
      <c r="J3392" s="11"/>
    </row>
    <row r="3393" spans="5:10">
      <c r="E3393" s="11"/>
      <c r="G3393" s="12"/>
      <c r="H3393" s="12"/>
      <c r="J3393" s="11"/>
    </row>
    <row r="3394" spans="5:10">
      <c r="E3394" s="11"/>
      <c r="G3394" s="12"/>
      <c r="H3394" s="12"/>
      <c r="J3394" s="11"/>
    </row>
    <row r="3395" spans="5:10">
      <c r="E3395" s="11"/>
      <c r="G3395" s="12"/>
      <c r="H3395" s="12"/>
      <c r="J3395" s="11"/>
    </row>
    <row r="3396" spans="5:10">
      <c r="E3396" s="11"/>
      <c r="G3396" s="12"/>
      <c r="H3396" s="12"/>
      <c r="J3396" s="11"/>
    </row>
    <row r="3397" spans="5:10">
      <c r="E3397" s="11"/>
      <c r="G3397" s="12"/>
      <c r="H3397" s="12"/>
      <c r="J3397" s="11"/>
    </row>
    <row r="3398" spans="5:10">
      <c r="E3398" s="11"/>
      <c r="G3398" s="12"/>
      <c r="H3398" s="12"/>
      <c r="J3398" s="11"/>
    </row>
    <row r="3399" spans="5:10">
      <c r="E3399" s="11"/>
      <c r="G3399" s="12"/>
      <c r="H3399" s="12"/>
      <c r="J3399" s="11"/>
    </row>
    <row r="3400" spans="5:10">
      <c r="E3400" s="11"/>
      <c r="G3400" s="12"/>
      <c r="H3400" s="12"/>
      <c r="J3400" s="11"/>
    </row>
    <row r="3401" spans="5:10">
      <c r="E3401" s="11"/>
      <c r="G3401" s="12"/>
      <c r="H3401" s="12"/>
      <c r="J3401" s="11"/>
    </row>
    <row r="3402" spans="5:10">
      <c r="E3402" s="11"/>
      <c r="G3402" s="12"/>
      <c r="H3402" s="12"/>
      <c r="J3402" s="11"/>
    </row>
    <row r="3403" spans="5:10">
      <c r="E3403" s="11"/>
      <c r="G3403" s="12"/>
      <c r="H3403" s="12"/>
      <c r="J3403" s="11"/>
    </row>
    <row r="3404" spans="5:10">
      <c r="E3404" s="11"/>
      <c r="G3404" s="12"/>
      <c r="H3404" s="12"/>
      <c r="J3404" s="11"/>
    </row>
    <row r="3405" spans="5:10">
      <c r="E3405" s="11"/>
      <c r="G3405" s="12"/>
      <c r="H3405" s="12"/>
      <c r="J3405" s="11"/>
    </row>
    <row r="3406" spans="5:10">
      <c r="E3406" s="11"/>
      <c r="G3406" s="12"/>
      <c r="H3406" s="12"/>
      <c r="J3406" s="11"/>
    </row>
    <row r="3407" spans="5:10">
      <c r="E3407" s="11"/>
      <c r="G3407" s="12"/>
      <c r="H3407" s="12"/>
      <c r="J3407" s="11"/>
    </row>
    <row r="3408" spans="5:10">
      <c r="E3408" s="11"/>
      <c r="G3408" s="12"/>
      <c r="H3408" s="12"/>
      <c r="J3408" s="11"/>
    </row>
    <row r="3409" spans="5:10">
      <c r="E3409" s="11"/>
      <c r="G3409" s="12"/>
      <c r="H3409" s="12"/>
      <c r="J3409" s="11"/>
    </row>
    <row r="3410" spans="5:10">
      <c r="E3410" s="11"/>
      <c r="G3410" s="12"/>
      <c r="H3410" s="12"/>
      <c r="J3410" s="11"/>
    </row>
    <row r="3411" spans="5:10">
      <c r="E3411" s="11"/>
      <c r="G3411" s="12"/>
      <c r="H3411" s="12"/>
      <c r="J3411" s="11"/>
    </row>
    <row r="3412" spans="5:10">
      <c r="E3412" s="11"/>
      <c r="G3412" s="12"/>
      <c r="H3412" s="12"/>
      <c r="J3412" s="11"/>
    </row>
    <row r="3413" spans="5:10">
      <c r="E3413" s="11"/>
      <c r="G3413" s="12"/>
      <c r="H3413" s="12"/>
      <c r="J3413" s="11"/>
    </row>
    <row r="3414" spans="5:10">
      <c r="E3414" s="11"/>
      <c r="G3414" s="12"/>
      <c r="H3414" s="12"/>
      <c r="J3414" s="11"/>
    </row>
    <row r="3415" spans="5:10">
      <c r="E3415" s="11"/>
      <c r="G3415" s="12"/>
      <c r="H3415" s="12"/>
      <c r="J3415" s="11"/>
    </row>
    <row r="3416" spans="5:10">
      <c r="E3416" s="11"/>
      <c r="G3416" s="12"/>
      <c r="H3416" s="12"/>
      <c r="J3416" s="11"/>
    </row>
    <row r="3417" spans="5:10">
      <c r="E3417" s="11"/>
      <c r="G3417" s="12"/>
      <c r="H3417" s="12"/>
      <c r="J3417" s="11"/>
    </row>
    <row r="3418" spans="5:10">
      <c r="E3418" s="11"/>
      <c r="G3418" s="12"/>
      <c r="H3418" s="12"/>
      <c r="J3418" s="11"/>
    </row>
    <row r="3419" spans="5:10">
      <c r="E3419" s="11"/>
      <c r="G3419" s="12"/>
      <c r="H3419" s="12"/>
      <c r="J3419" s="11"/>
    </row>
    <row r="3420" spans="5:10">
      <c r="E3420" s="11"/>
      <c r="G3420" s="12"/>
      <c r="H3420" s="12"/>
      <c r="J3420" s="11"/>
    </row>
    <row r="3421" spans="5:10">
      <c r="E3421" s="11"/>
      <c r="G3421" s="12"/>
      <c r="H3421" s="12"/>
      <c r="J3421" s="11"/>
    </row>
    <row r="3422" spans="5:10">
      <c r="E3422" s="11"/>
      <c r="G3422" s="12"/>
      <c r="H3422" s="12"/>
      <c r="J3422" s="11"/>
    </row>
    <row r="3423" spans="5:10">
      <c r="E3423" s="11"/>
      <c r="G3423" s="12"/>
      <c r="H3423" s="12"/>
      <c r="J3423" s="11"/>
    </row>
    <row r="3424" spans="5:10">
      <c r="E3424" s="11"/>
      <c r="G3424" s="12"/>
      <c r="H3424" s="12"/>
      <c r="J3424" s="11"/>
    </row>
    <row r="3425" spans="5:10">
      <c r="E3425" s="11"/>
      <c r="G3425" s="12"/>
      <c r="H3425" s="12"/>
      <c r="J3425" s="11"/>
    </row>
    <row r="3426" spans="5:10">
      <c r="E3426" s="11"/>
      <c r="G3426" s="12"/>
      <c r="H3426" s="12"/>
      <c r="J3426" s="11"/>
    </row>
    <row r="3427" spans="5:10">
      <c r="E3427" s="11"/>
      <c r="G3427" s="12"/>
      <c r="H3427" s="12"/>
      <c r="J3427" s="11"/>
    </row>
    <row r="3428" spans="5:10">
      <c r="E3428" s="11"/>
      <c r="G3428" s="12"/>
      <c r="H3428" s="12"/>
      <c r="J3428" s="11"/>
    </row>
    <row r="3429" spans="5:10">
      <c r="E3429" s="11"/>
      <c r="G3429" s="12"/>
      <c r="H3429" s="12"/>
      <c r="J3429" s="11"/>
    </row>
    <row r="3430" spans="5:10">
      <c r="E3430" s="11"/>
      <c r="G3430" s="12"/>
      <c r="H3430" s="12"/>
      <c r="J3430" s="11"/>
    </row>
    <row r="3431" spans="5:10">
      <c r="E3431" s="11"/>
      <c r="G3431" s="12"/>
      <c r="H3431" s="12"/>
      <c r="J3431" s="11"/>
    </row>
    <row r="3432" spans="5:10">
      <c r="E3432" s="11"/>
      <c r="G3432" s="12"/>
      <c r="H3432" s="12"/>
      <c r="J3432" s="11"/>
    </row>
    <row r="3433" spans="5:10">
      <c r="E3433" s="11"/>
      <c r="G3433" s="12"/>
      <c r="H3433" s="12"/>
      <c r="J3433" s="11"/>
    </row>
    <row r="3434" spans="5:10">
      <c r="E3434" s="11"/>
      <c r="G3434" s="12"/>
      <c r="H3434" s="12"/>
      <c r="J3434" s="11"/>
    </row>
    <row r="3435" spans="5:10">
      <c r="E3435" s="11"/>
      <c r="G3435" s="12"/>
      <c r="H3435" s="12"/>
      <c r="J3435" s="11"/>
    </row>
    <row r="3436" spans="5:10">
      <c r="E3436" s="11"/>
      <c r="G3436" s="12"/>
      <c r="H3436" s="12"/>
      <c r="J3436" s="11"/>
    </row>
    <row r="3437" spans="5:10">
      <c r="E3437" s="11"/>
      <c r="G3437" s="12"/>
      <c r="H3437" s="12"/>
      <c r="J3437" s="11"/>
    </row>
    <row r="3438" spans="5:10">
      <c r="E3438" s="11"/>
      <c r="G3438" s="12"/>
      <c r="H3438" s="12"/>
      <c r="J3438" s="11"/>
    </row>
    <row r="3439" spans="5:10">
      <c r="E3439" s="11"/>
      <c r="G3439" s="12"/>
      <c r="H3439" s="12"/>
      <c r="J3439" s="11"/>
    </row>
    <row r="3440" spans="5:10">
      <c r="E3440" s="11"/>
      <c r="G3440" s="12"/>
      <c r="H3440" s="12"/>
      <c r="J3440" s="11"/>
    </row>
    <row r="3441" spans="5:10">
      <c r="E3441" s="11"/>
      <c r="G3441" s="12"/>
      <c r="H3441" s="12"/>
      <c r="J3441" s="11"/>
    </row>
    <row r="3442" spans="5:10">
      <c r="E3442" s="11"/>
      <c r="G3442" s="12"/>
      <c r="H3442" s="12"/>
      <c r="J3442" s="11"/>
    </row>
    <row r="3443" spans="5:10">
      <c r="E3443" s="11"/>
      <c r="G3443" s="12"/>
      <c r="H3443" s="12"/>
      <c r="J3443" s="11"/>
    </row>
    <row r="3444" spans="5:10">
      <c r="E3444" s="11"/>
      <c r="G3444" s="12"/>
      <c r="H3444" s="12"/>
      <c r="J3444" s="11"/>
    </row>
    <row r="3445" spans="5:10">
      <c r="E3445" s="11"/>
      <c r="G3445" s="12"/>
      <c r="H3445" s="12"/>
      <c r="J3445" s="11"/>
    </row>
    <row r="3446" spans="5:10">
      <c r="E3446" s="11"/>
      <c r="G3446" s="12"/>
      <c r="H3446" s="12"/>
      <c r="J3446" s="11"/>
    </row>
    <row r="3447" spans="5:10">
      <c r="E3447" s="11"/>
      <c r="G3447" s="12"/>
      <c r="H3447" s="12"/>
      <c r="J3447" s="11"/>
    </row>
    <row r="3448" spans="5:10">
      <c r="E3448" s="11"/>
      <c r="G3448" s="12"/>
      <c r="H3448" s="12"/>
      <c r="J3448" s="11"/>
    </row>
    <row r="3449" spans="5:10">
      <c r="E3449" s="11"/>
      <c r="G3449" s="12"/>
      <c r="H3449" s="12"/>
      <c r="J3449" s="11"/>
    </row>
    <row r="3450" spans="5:10">
      <c r="E3450" s="11"/>
      <c r="G3450" s="12"/>
      <c r="H3450" s="12"/>
      <c r="J3450" s="11"/>
    </row>
    <row r="3451" spans="5:10">
      <c r="E3451" s="11"/>
      <c r="G3451" s="12"/>
      <c r="H3451" s="12"/>
      <c r="J3451" s="11"/>
    </row>
    <row r="3452" spans="5:10">
      <c r="E3452" s="11"/>
      <c r="G3452" s="12"/>
      <c r="H3452" s="12"/>
      <c r="J3452" s="11"/>
    </row>
    <row r="3453" spans="5:10">
      <c r="E3453" s="11"/>
      <c r="G3453" s="12"/>
      <c r="H3453" s="12"/>
      <c r="J3453" s="11"/>
    </row>
    <row r="3454" spans="5:10">
      <c r="E3454" s="11"/>
      <c r="G3454" s="12"/>
      <c r="H3454" s="12"/>
      <c r="J3454" s="11"/>
    </row>
    <row r="3455" spans="5:10">
      <c r="E3455" s="11"/>
      <c r="G3455" s="12"/>
      <c r="H3455" s="12"/>
      <c r="J3455" s="11"/>
    </row>
    <row r="3456" spans="5:10">
      <c r="E3456" s="11"/>
      <c r="G3456" s="12"/>
      <c r="H3456" s="12"/>
      <c r="J3456" s="11"/>
    </row>
    <row r="3457" spans="5:10">
      <c r="E3457" s="11"/>
      <c r="G3457" s="12"/>
      <c r="H3457" s="12"/>
      <c r="J3457" s="11"/>
    </row>
    <row r="3458" spans="5:10">
      <c r="E3458" s="11"/>
      <c r="G3458" s="12"/>
      <c r="H3458" s="12"/>
      <c r="J3458" s="11"/>
    </row>
    <row r="3459" spans="5:10">
      <c r="E3459" s="11"/>
      <c r="G3459" s="12"/>
      <c r="H3459" s="12"/>
      <c r="J3459" s="11"/>
    </row>
    <row r="3460" spans="5:10">
      <c r="E3460" s="11"/>
      <c r="G3460" s="12"/>
      <c r="H3460" s="12"/>
      <c r="J3460" s="11"/>
    </row>
    <row r="3461" spans="5:10">
      <c r="E3461" s="11"/>
      <c r="G3461" s="12"/>
      <c r="H3461" s="12"/>
      <c r="J3461" s="11"/>
    </row>
    <row r="3462" spans="5:10">
      <c r="E3462" s="11"/>
      <c r="G3462" s="12"/>
      <c r="H3462" s="12"/>
      <c r="J3462" s="11"/>
    </row>
    <row r="3463" spans="5:10">
      <c r="E3463" s="11"/>
      <c r="G3463" s="12"/>
      <c r="H3463" s="12"/>
      <c r="J3463" s="11"/>
    </row>
    <row r="3464" spans="5:10">
      <c r="E3464" s="11"/>
      <c r="G3464" s="12"/>
      <c r="H3464" s="12"/>
      <c r="J3464" s="11"/>
    </row>
    <row r="3465" spans="5:10">
      <c r="E3465" s="11"/>
      <c r="G3465" s="12"/>
      <c r="H3465" s="12"/>
      <c r="J3465" s="11"/>
    </row>
    <row r="3466" spans="5:10">
      <c r="E3466" s="11"/>
      <c r="G3466" s="12"/>
      <c r="H3466" s="12"/>
      <c r="J3466" s="11"/>
    </row>
    <row r="3467" spans="5:10">
      <c r="E3467" s="11"/>
      <c r="G3467" s="12"/>
      <c r="H3467" s="12"/>
      <c r="J3467" s="11"/>
    </row>
    <row r="3468" spans="5:10">
      <c r="E3468" s="11"/>
      <c r="G3468" s="12"/>
      <c r="H3468" s="12"/>
      <c r="J3468" s="11"/>
    </row>
    <row r="3469" spans="5:10">
      <c r="E3469" s="11"/>
      <c r="G3469" s="12"/>
      <c r="H3469" s="12"/>
      <c r="J3469" s="11"/>
    </row>
    <row r="3470" spans="5:10">
      <c r="E3470" s="11"/>
      <c r="G3470" s="12"/>
      <c r="H3470" s="12"/>
      <c r="J3470" s="11"/>
    </row>
    <row r="3471" spans="5:10">
      <c r="E3471" s="11"/>
      <c r="G3471" s="12"/>
      <c r="H3471" s="12"/>
      <c r="J3471" s="11"/>
    </row>
    <row r="3472" spans="5:10">
      <c r="E3472" s="11"/>
      <c r="G3472" s="12"/>
      <c r="H3472" s="12"/>
      <c r="J3472" s="11"/>
    </row>
    <row r="3473" spans="5:10">
      <c r="E3473" s="11"/>
      <c r="G3473" s="12"/>
      <c r="H3473" s="12"/>
      <c r="J3473" s="11"/>
    </row>
    <row r="3474" spans="5:10">
      <c r="E3474" s="11"/>
      <c r="G3474" s="12"/>
      <c r="H3474" s="12"/>
      <c r="J3474" s="11"/>
    </row>
    <row r="3475" spans="5:10">
      <c r="E3475" s="11"/>
      <c r="G3475" s="12"/>
      <c r="H3475" s="12"/>
      <c r="J3475" s="11"/>
    </row>
    <row r="3476" spans="5:10">
      <c r="E3476" s="11"/>
      <c r="G3476" s="12"/>
      <c r="H3476" s="12"/>
      <c r="J3476" s="11"/>
    </row>
    <row r="3477" spans="5:10">
      <c r="E3477" s="11"/>
      <c r="G3477" s="12"/>
      <c r="H3477" s="12"/>
      <c r="J3477" s="11"/>
    </row>
    <row r="3478" spans="5:10">
      <c r="E3478" s="11"/>
      <c r="G3478" s="12"/>
      <c r="H3478" s="12"/>
      <c r="J3478" s="11"/>
    </row>
    <row r="3479" spans="5:10">
      <c r="E3479" s="11"/>
      <c r="G3479" s="12"/>
      <c r="H3479" s="12"/>
      <c r="J3479" s="11"/>
    </row>
    <row r="3480" spans="5:10">
      <c r="E3480" s="11"/>
      <c r="G3480" s="12"/>
      <c r="H3480" s="12"/>
      <c r="J3480" s="11"/>
    </row>
    <row r="3481" spans="5:10">
      <c r="E3481" s="11"/>
      <c r="G3481" s="12"/>
      <c r="H3481" s="12"/>
      <c r="J3481" s="11"/>
    </row>
    <row r="3482" spans="5:10">
      <c r="E3482" s="11"/>
      <c r="G3482" s="12"/>
      <c r="H3482" s="12"/>
      <c r="J3482" s="11"/>
    </row>
    <row r="3483" spans="5:10">
      <c r="E3483" s="11"/>
      <c r="G3483" s="12"/>
      <c r="H3483" s="12"/>
      <c r="J3483" s="11"/>
    </row>
    <row r="3484" spans="5:10">
      <c r="E3484" s="11"/>
      <c r="G3484" s="12"/>
      <c r="H3484" s="12"/>
      <c r="J3484" s="11"/>
    </row>
    <row r="3485" spans="5:10">
      <c r="E3485" s="11"/>
      <c r="G3485" s="12"/>
      <c r="H3485" s="12"/>
      <c r="J3485" s="11"/>
    </row>
    <row r="3486" spans="5:10">
      <c r="E3486" s="11"/>
      <c r="G3486" s="12"/>
      <c r="H3486" s="12"/>
      <c r="J3486" s="11"/>
    </row>
    <row r="3487" spans="5:10">
      <c r="E3487" s="11"/>
      <c r="G3487" s="12"/>
      <c r="H3487" s="12"/>
      <c r="J3487" s="11"/>
    </row>
    <row r="3488" spans="5:10">
      <c r="E3488" s="11"/>
      <c r="G3488" s="12"/>
      <c r="H3488" s="12"/>
      <c r="J3488" s="11"/>
    </row>
    <row r="3489" spans="5:10">
      <c r="E3489" s="11"/>
      <c r="G3489" s="12"/>
      <c r="H3489" s="12"/>
      <c r="J3489" s="11"/>
    </row>
    <row r="3490" spans="5:10">
      <c r="E3490" s="11"/>
      <c r="G3490" s="12"/>
      <c r="H3490" s="12"/>
      <c r="J3490" s="11"/>
    </row>
    <row r="3491" spans="5:10">
      <c r="E3491" s="11"/>
      <c r="G3491" s="12"/>
      <c r="H3491" s="12"/>
      <c r="J3491" s="11"/>
    </row>
    <row r="3492" spans="5:10">
      <c r="E3492" s="11"/>
      <c r="G3492" s="12"/>
      <c r="H3492" s="12"/>
      <c r="J3492" s="11"/>
    </row>
    <row r="3493" spans="5:10">
      <c r="E3493" s="11"/>
      <c r="G3493" s="12"/>
      <c r="H3493" s="12"/>
      <c r="J3493" s="11"/>
    </row>
    <row r="3494" spans="5:10">
      <c r="E3494" s="11"/>
      <c r="G3494" s="12"/>
      <c r="H3494" s="12"/>
      <c r="J3494" s="11"/>
    </row>
    <row r="3495" spans="5:10">
      <c r="E3495" s="11"/>
      <c r="G3495" s="12"/>
      <c r="H3495" s="12"/>
      <c r="J3495" s="11"/>
    </row>
    <row r="3496" spans="5:10">
      <c r="E3496" s="11"/>
      <c r="G3496" s="12"/>
      <c r="H3496" s="12"/>
      <c r="J3496" s="11"/>
    </row>
    <row r="3497" spans="5:10">
      <c r="E3497" s="11"/>
      <c r="G3497" s="12"/>
      <c r="H3497" s="12"/>
      <c r="J3497" s="11"/>
    </row>
    <row r="3498" spans="5:10">
      <c r="E3498" s="11"/>
      <c r="G3498" s="12"/>
      <c r="H3498" s="12"/>
      <c r="J3498" s="11"/>
    </row>
    <row r="3499" spans="5:10">
      <c r="E3499" s="11"/>
      <c r="G3499" s="12"/>
      <c r="H3499" s="12"/>
      <c r="J3499" s="11"/>
    </row>
    <row r="3500" spans="5:10">
      <c r="E3500" s="11"/>
      <c r="G3500" s="12"/>
      <c r="H3500" s="12"/>
      <c r="J3500" s="11"/>
    </row>
    <row r="3501" spans="5:10">
      <c r="E3501" s="11"/>
      <c r="G3501" s="12"/>
      <c r="H3501" s="12"/>
      <c r="J3501" s="11"/>
    </row>
    <row r="3502" spans="5:10">
      <c r="E3502" s="11"/>
      <c r="G3502" s="12"/>
      <c r="H3502" s="12"/>
      <c r="J3502" s="11"/>
    </row>
    <row r="3503" spans="5:10">
      <c r="E3503" s="11"/>
      <c r="G3503" s="12"/>
      <c r="H3503" s="12"/>
      <c r="J3503" s="11"/>
    </row>
    <row r="3504" spans="5:10">
      <c r="E3504" s="11"/>
      <c r="G3504" s="12"/>
      <c r="H3504" s="12"/>
      <c r="J3504" s="11"/>
    </row>
    <row r="3505" spans="5:10">
      <c r="E3505" s="11"/>
      <c r="G3505" s="12"/>
      <c r="H3505" s="12"/>
      <c r="J3505" s="11"/>
    </row>
    <row r="3506" spans="5:10">
      <c r="E3506" s="11"/>
      <c r="G3506" s="12"/>
      <c r="H3506" s="12"/>
      <c r="J3506" s="11"/>
    </row>
    <row r="3507" spans="5:10">
      <c r="E3507" s="11"/>
      <c r="G3507" s="12"/>
      <c r="H3507" s="12"/>
      <c r="J3507" s="11"/>
    </row>
    <row r="3508" spans="5:10">
      <c r="E3508" s="11"/>
      <c r="G3508" s="12"/>
      <c r="H3508" s="12"/>
      <c r="J3508" s="11"/>
    </row>
    <row r="3509" spans="5:10">
      <c r="E3509" s="11"/>
      <c r="G3509" s="12"/>
      <c r="H3509" s="12"/>
      <c r="J3509" s="11"/>
    </row>
    <row r="3510" spans="5:10">
      <c r="E3510" s="11"/>
      <c r="G3510" s="12"/>
      <c r="H3510" s="12"/>
      <c r="J3510" s="11"/>
    </row>
    <row r="3511" spans="5:10">
      <c r="E3511" s="11"/>
      <c r="G3511" s="12"/>
      <c r="H3511" s="12"/>
      <c r="J3511" s="11"/>
    </row>
    <row r="3512" spans="5:10">
      <c r="E3512" s="11"/>
      <c r="G3512" s="12"/>
      <c r="H3512" s="12"/>
      <c r="J3512" s="11"/>
    </row>
    <row r="3513" spans="5:10">
      <c r="E3513" s="11"/>
      <c r="G3513" s="12"/>
      <c r="H3513" s="12"/>
      <c r="J3513" s="11"/>
    </row>
    <row r="3514" spans="5:10">
      <c r="E3514" s="11"/>
      <c r="G3514" s="12"/>
      <c r="H3514" s="12"/>
      <c r="J3514" s="11"/>
    </row>
    <row r="3515" spans="5:10">
      <c r="E3515" s="11"/>
      <c r="G3515" s="12"/>
      <c r="H3515" s="12"/>
      <c r="J3515" s="11"/>
    </row>
    <row r="3516" spans="5:10">
      <c r="E3516" s="11"/>
      <c r="G3516" s="12"/>
      <c r="H3516" s="12"/>
      <c r="J3516" s="11"/>
    </row>
    <row r="3517" spans="5:10">
      <c r="E3517" s="11"/>
      <c r="G3517" s="12"/>
      <c r="H3517" s="12"/>
      <c r="J3517" s="11"/>
    </row>
    <row r="3518" spans="5:10">
      <c r="E3518" s="11"/>
      <c r="G3518" s="12"/>
      <c r="H3518" s="12"/>
      <c r="J3518" s="11"/>
    </row>
    <row r="3519" spans="5:10">
      <c r="E3519" s="11"/>
      <c r="G3519" s="12"/>
      <c r="H3519" s="12"/>
      <c r="J3519" s="11"/>
    </row>
    <row r="3520" spans="5:10">
      <c r="E3520" s="11"/>
      <c r="G3520" s="12"/>
      <c r="H3520" s="12"/>
      <c r="J3520" s="11"/>
    </row>
    <row r="3521" spans="5:10">
      <c r="E3521" s="11"/>
      <c r="G3521" s="12"/>
      <c r="H3521" s="12"/>
      <c r="J3521" s="11"/>
    </row>
    <row r="3522" spans="5:10">
      <c r="E3522" s="11"/>
      <c r="G3522" s="12"/>
      <c r="H3522" s="12"/>
      <c r="J3522" s="11"/>
    </row>
    <row r="3523" spans="5:10">
      <c r="E3523" s="11"/>
      <c r="G3523" s="12"/>
      <c r="H3523" s="12"/>
      <c r="J3523" s="11"/>
    </row>
    <row r="3524" spans="5:10">
      <c r="E3524" s="11"/>
      <c r="G3524" s="12"/>
      <c r="H3524" s="12"/>
      <c r="J3524" s="11"/>
    </row>
    <row r="3525" spans="5:10">
      <c r="E3525" s="11"/>
      <c r="G3525" s="12"/>
      <c r="H3525" s="12"/>
      <c r="J3525" s="11"/>
    </row>
    <row r="3526" spans="5:10">
      <c r="E3526" s="11"/>
      <c r="G3526" s="12"/>
      <c r="H3526" s="12"/>
      <c r="J3526" s="11"/>
    </row>
    <row r="3527" spans="5:10">
      <c r="E3527" s="11"/>
      <c r="G3527" s="12"/>
      <c r="H3527" s="12"/>
      <c r="J3527" s="11"/>
    </row>
    <row r="3528" spans="5:10">
      <c r="E3528" s="11"/>
      <c r="G3528" s="12"/>
      <c r="H3528" s="12"/>
      <c r="J3528" s="11"/>
    </row>
    <row r="3529" spans="5:10">
      <c r="E3529" s="11"/>
      <c r="G3529" s="12"/>
      <c r="H3529" s="12"/>
      <c r="J3529" s="11"/>
    </row>
    <row r="3530" spans="5:10">
      <c r="E3530" s="11"/>
      <c r="G3530" s="12"/>
      <c r="H3530" s="12"/>
      <c r="J3530" s="11"/>
    </row>
    <row r="3531" spans="5:10">
      <c r="E3531" s="11"/>
      <c r="G3531" s="12"/>
      <c r="H3531" s="12"/>
      <c r="J3531" s="11"/>
    </row>
    <row r="3532" spans="5:10">
      <c r="E3532" s="11"/>
      <c r="G3532" s="12"/>
      <c r="H3532" s="12"/>
      <c r="J3532" s="11"/>
    </row>
    <row r="3533" spans="5:10">
      <c r="E3533" s="11"/>
      <c r="G3533" s="12"/>
      <c r="H3533" s="12"/>
      <c r="J3533" s="11"/>
    </row>
    <row r="3534" spans="5:10">
      <c r="E3534" s="11"/>
      <c r="G3534" s="12"/>
      <c r="H3534" s="12"/>
      <c r="J3534" s="11"/>
    </row>
    <row r="3535" spans="5:10">
      <c r="E3535" s="11"/>
      <c r="G3535" s="12"/>
      <c r="H3535" s="12"/>
      <c r="J3535" s="11"/>
    </row>
    <row r="3536" spans="5:10">
      <c r="E3536" s="11"/>
      <c r="G3536" s="12"/>
      <c r="H3536" s="12"/>
      <c r="J3536" s="11"/>
    </row>
    <row r="3537" spans="5:10">
      <c r="E3537" s="11"/>
      <c r="G3537" s="12"/>
      <c r="H3537" s="12"/>
      <c r="J3537" s="11"/>
    </row>
    <row r="3538" spans="5:10">
      <c r="E3538" s="11"/>
      <c r="G3538" s="12"/>
      <c r="H3538" s="12"/>
      <c r="J3538" s="11"/>
    </row>
    <row r="3539" spans="5:10">
      <c r="E3539" s="11"/>
      <c r="G3539" s="12"/>
      <c r="H3539" s="12"/>
      <c r="J3539" s="11"/>
    </row>
    <row r="3540" spans="5:10">
      <c r="E3540" s="11"/>
      <c r="G3540" s="12"/>
      <c r="H3540" s="12"/>
      <c r="J3540" s="11"/>
    </row>
    <row r="3541" spans="5:10">
      <c r="E3541" s="11"/>
      <c r="G3541" s="12"/>
      <c r="H3541" s="12"/>
      <c r="J3541" s="11"/>
    </row>
    <row r="3542" spans="5:10">
      <c r="E3542" s="11"/>
      <c r="G3542" s="12"/>
      <c r="H3542" s="12"/>
      <c r="J3542" s="11"/>
    </row>
    <row r="3543" spans="5:10">
      <c r="E3543" s="11"/>
      <c r="G3543" s="12"/>
      <c r="H3543" s="12"/>
      <c r="J3543" s="11"/>
    </row>
    <row r="3544" spans="5:10">
      <c r="E3544" s="11"/>
      <c r="G3544" s="12"/>
      <c r="H3544" s="12"/>
      <c r="J3544" s="11"/>
    </row>
    <row r="3545" spans="5:10">
      <c r="E3545" s="11"/>
      <c r="G3545" s="12"/>
      <c r="H3545" s="12"/>
      <c r="J3545" s="11"/>
    </row>
    <row r="3546" spans="5:10">
      <c r="E3546" s="11"/>
      <c r="G3546" s="12"/>
      <c r="H3546" s="12"/>
      <c r="J3546" s="11"/>
    </row>
    <row r="3547" spans="5:10">
      <c r="E3547" s="11"/>
      <c r="G3547" s="12"/>
      <c r="H3547" s="12"/>
      <c r="J3547" s="11"/>
    </row>
    <row r="3548" spans="5:10">
      <c r="E3548" s="11"/>
      <c r="G3548" s="12"/>
      <c r="H3548" s="12"/>
      <c r="J3548" s="11"/>
    </row>
    <row r="3549" spans="5:10">
      <c r="E3549" s="11"/>
      <c r="G3549" s="12"/>
      <c r="H3549" s="12"/>
      <c r="J3549" s="11"/>
    </row>
    <row r="3550" spans="5:10">
      <c r="E3550" s="11"/>
      <c r="G3550" s="12"/>
      <c r="H3550" s="12"/>
      <c r="J3550" s="11"/>
    </row>
    <row r="3551" spans="5:10">
      <c r="E3551" s="11"/>
      <c r="G3551" s="12"/>
      <c r="H3551" s="12"/>
      <c r="J3551" s="11"/>
    </row>
    <row r="3552" spans="5:10">
      <c r="E3552" s="11"/>
      <c r="G3552" s="12"/>
      <c r="H3552" s="12"/>
      <c r="J3552" s="11"/>
    </row>
    <row r="3553" spans="5:10">
      <c r="E3553" s="11"/>
      <c r="G3553" s="12"/>
      <c r="H3553" s="12"/>
      <c r="J3553" s="11"/>
    </row>
    <row r="3554" spans="5:10">
      <c r="E3554" s="11"/>
      <c r="G3554" s="12"/>
      <c r="H3554" s="12"/>
      <c r="J3554" s="11"/>
    </row>
    <row r="3555" spans="5:10">
      <c r="E3555" s="11"/>
      <c r="G3555" s="12"/>
      <c r="H3555" s="12"/>
      <c r="J3555" s="11"/>
    </row>
    <row r="3556" spans="5:10">
      <c r="E3556" s="11"/>
      <c r="G3556" s="12"/>
      <c r="H3556" s="12"/>
      <c r="J3556" s="11"/>
    </row>
    <row r="3557" spans="5:10">
      <c r="E3557" s="11"/>
      <c r="G3557" s="12"/>
      <c r="H3557" s="12"/>
      <c r="J3557" s="11"/>
    </row>
    <row r="3558" spans="5:10">
      <c r="E3558" s="11"/>
      <c r="G3558" s="12"/>
      <c r="H3558" s="12"/>
      <c r="J3558" s="11"/>
    </row>
    <row r="3559" spans="5:10">
      <c r="E3559" s="11"/>
      <c r="G3559" s="12"/>
      <c r="H3559" s="12"/>
      <c r="J3559" s="11"/>
    </row>
    <row r="3560" spans="5:10">
      <c r="E3560" s="11"/>
      <c r="G3560" s="12"/>
      <c r="H3560" s="12"/>
      <c r="J3560" s="11"/>
    </row>
    <row r="3561" spans="5:10">
      <c r="E3561" s="11"/>
      <c r="G3561" s="12"/>
      <c r="H3561" s="12"/>
      <c r="J3561" s="11"/>
    </row>
    <row r="3562" spans="5:10">
      <c r="E3562" s="11"/>
      <c r="G3562" s="12"/>
      <c r="H3562" s="12"/>
      <c r="J3562" s="11"/>
    </row>
    <row r="3563" spans="5:10">
      <c r="E3563" s="11"/>
      <c r="G3563" s="12"/>
      <c r="H3563" s="12"/>
      <c r="J3563" s="11"/>
    </row>
    <row r="3564" spans="5:10">
      <c r="E3564" s="11"/>
      <c r="G3564" s="12"/>
      <c r="H3564" s="12"/>
      <c r="J3564" s="11"/>
    </row>
    <row r="3565" spans="5:10">
      <c r="E3565" s="11"/>
      <c r="G3565" s="12"/>
      <c r="H3565" s="12"/>
      <c r="J3565" s="11"/>
    </row>
    <row r="3566" spans="5:10">
      <c r="E3566" s="11"/>
      <c r="G3566" s="12"/>
      <c r="H3566" s="12"/>
      <c r="J3566" s="11"/>
    </row>
    <row r="3567" spans="5:10">
      <c r="E3567" s="11"/>
      <c r="G3567" s="12"/>
      <c r="H3567" s="12"/>
      <c r="J3567" s="11"/>
    </row>
    <row r="3568" spans="5:10">
      <c r="E3568" s="11"/>
      <c r="G3568" s="12"/>
      <c r="H3568" s="12"/>
      <c r="J3568" s="11"/>
    </row>
    <row r="3569" spans="5:10">
      <c r="E3569" s="11"/>
      <c r="G3569" s="12"/>
      <c r="H3569" s="12"/>
      <c r="J3569" s="11"/>
    </row>
    <row r="3570" spans="5:10">
      <c r="E3570" s="11"/>
      <c r="G3570" s="12"/>
      <c r="H3570" s="12"/>
      <c r="J3570" s="11"/>
    </row>
    <row r="3571" spans="5:10">
      <c r="E3571" s="11"/>
      <c r="G3571" s="12"/>
      <c r="H3571" s="12"/>
      <c r="J3571" s="11"/>
    </row>
    <row r="3572" spans="5:10">
      <c r="E3572" s="11"/>
      <c r="G3572" s="12"/>
      <c r="H3572" s="12"/>
      <c r="J3572" s="11"/>
    </row>
    <row r="3573" spans="5:10">
      <c r="E3573" s="11"/>
      <c r="G3573" s="12"/>
      <c r="H3573" s="12"/>
      <c r="J3573" s="11"/>
    </row>
    <row r="3574" spans="5:10">
      <c r="E3574" s="11"/>
      <c r="G3574" s="12"/>
      <c r="H3574" s="12"/>
      <c r="J3574" s="11"/>
    </row>
    <row r="3575" spans="5:10">
      <c r="E3575" s="11"/>
      <c r="G3575" s="12"/>
      <c r="H3575" s="12"/>
      <c r="J3575" s="11"/>
    </row>
    <row r="3576" spans="5:10">
      <c r="E3576" s="11"/>
      <c r="G3576" s="12"/>
      <c r="H3576" s="12"/>
      <c r="J3576" s="11"/>
    </row>
    <row r="3577" spans="5:10">
      <c r="E3577" s="11"/>
      <c r="G3577" s="12"/>
      <c r="H3577" s="12"/>
      <c r="J3577" s="11"/>
    </row>
    <row r="3578" spans="5:10">
      <c r="E3578" s="11"/>
      <c r="G3578" s="12"/>
      <c r="H3578" s="12"/>
      <c r="J3578" s="11"/>
    </row>
    <row r="3579" spans="5:10">
      <c r="E3579" s="11"/>
      <c r="G3579" s="12"/>
      <c r="H3579" s="12"/>
      <c r="J3579" s="11"/>
    </row>
    <row r="3580" spans="5:10">
      <c r="E3580" s="11"/>
      <c r="G3580" s="12"/>
      <c r="H3580" s="12"/>
      <c r="J3580" s="11"/>
    </row>
    <row r="3581" spans="5:10">
      <c r="E3581" s="11"/>
      <c r="G3581" s="12"/>
      <c r="H3581" s="12"/>
      <c r="J3581" s="11"/>
    </row>
    <row r="3582" spans="5:10">
      <c r="E3582" s="11"/>
      <c r="G3582" s="12"/>
      <c r="H3582" s="12"/>
      <c r="J3582" s="11"/>
    </row>
    <row r="3583" spans="5:10">
      <c r="E3583" s="11"/>
      <c r="G3583" s="12"/>
      <c r="H3583" s="12"/>
      <c r="J3583" s="11"/>
    </row>
    <row r="3584" spans="5:10">
      <c r="E3584" s="11"/>
      <c r="G3584" s="12"/>
      <c r="H3584" s="12"/>
      <c r="J3584" s="11"/>
    </row>
    <row r="3585" spans="5:10">
      <c r="E3585" s="11"/>
      <c r="G3585" s="12"/>
      <c r="H3585" s="12"/>
      <c r="J3585" s="11"/>
    </row>
    <row r="3586" spans="5:10">
      <c r="E3586" s="11"/>
      <c r="G3586" s="12"/>
      <c r="H3586" s="12"/>
      <c r="J3586" s="11"/>
    </row>
    <row r="3587" spans="5:10">
      <c r="E3587" s="11"/>
      <c r="G3587" s="12"/>
      <c r="H3587" s="12"/>
      <c r="J3587" s="11"/>
    </row>
    <row r="3588" spans="5:10">
      <c r="E3588" s="11"/>
      <c r="G3588" s="12"/>
      <c r="H3588" s="12"/>
      <c r="J3588" s="11"/>
    </row>
    <row r="3589" spans="5:10">
      <c r="E3589" s="11"/>
      <c r="G3589" s="12"/>
      <c r="H3589" s="12"/>
      <c r="J3589" s="11"/>
    </row>
    <row r="3590" spans="5:10">
      <c r="E3590" s="11"/>
      <c r="G3590" s="12"/>
      <c r="H3590" s="12"/>
      <c r="J3590" s="11"/>
    </row>
    <row r="3591" spans="5:10">
      <c r="E3591" s="11"/>
      <c r="G3591" s="12"/>
      <c r="H3591" s="12"/>
      <c r="J3591" s="11"/>
    </row>
    <row r="3592" spans="5:10">
      <c r="E3592" s="11"/>
      <c r="G3592" s="12"/>
      <c r="H3592" s="12"/>
      <c r="J3592" s="11"/>
    </row>
    <row r="3593" spans="5:10">
      <c r="E3593" s="11"/>
      <c r="G3593" s="12"/>
      <c r="H3593" s="12"/>
      <c r="J3593" s="11"/>
    </row>
    <row r="3594" spans="5:10">
      <c r="E3594" s="11"/>
      <c r="G3594" s="12"/>
      <c r="H3594" s="12"/>
      <c r="J3594" s="11"/>
    </row>
    <row r="3595" spans="5:10">
      <c r="E3595" s="11"/>
      <c r="G3595" s="12"/>
      <c r="H3595" s="12"/>
      <c r="J3595" s="11"/>
    </row>
    <row r="3596" spans="5:10">
      <c r="E3596" s="11"/>
      <c r="G3596" s="12"/>
      <c r="H3596" s="12"/>
      <c r="J3596" s="11"/>
    </row>
    <row r="3597" spans="5:10">
      <c r="E3597" s="11"/>
      <c r="G3597" s="12"/>
      <c r="H3597" s="12"/>
      <c r="J3597" s="11"/>
    </row>
    <row r="3598" spans="5:10">
      <c r="E3598" s="11"/>
      <c r="G3598" s="12"/>
      <c r="H3598" s="12"/>
      <c r="J3598" s="11"/>
    </row>
    <row r="3599" spans="5:10">
      <c r="E3599" s="11"/>
      <c r="G3599" s="12"/>
      <c r="H3599" s="12"/>
      <c r="J3599" s="11"/>
    </row>
    <row r="3600" spans="5:10">
      <c r="E3600" s="11"/>
      <c r="G3600" s="12"/>
      <c r="H3600" s="12"/>
      <c r="J3600" s="11"/>
    </row>
    <row r="3601" spans="5:10">
      <c r="E3601" s="11"/>
      <c r="G3601" s="12"/>
      <c r="H3601" s="12"/>
      <c r="J3601" s="11"/>
    </row>
    <row r="3602" spans="5:10">
      <c r="E3602" s="11"/>
      <c r="G3602" s="12"/>
      <c r="H3602" s="12"/>
      <c r="J3602" s="11"/>
    </row>
    <row r="3603" spans="5:10">
      <c r="E3603" s="11"/>
      <c r="G3603" s="12"/>
      <c r="H3603" s="12"/>
      <c r="J3603" s="11"/>
    </row>
    <row r="3604" spans="5:10">
      <c r="E3604" s="11"/>
      <c r="G3604" s="12"/>
      <c r="H3604" s="12"/>
      <c r="J3604" s="11"/>
    </row>
    <row r="3605" spans="5:10">
      <c r="E3605" s="11"/>
      <c r="G3605" s="12"/>
      <c r="H3605" s="12"/>
      <c r="J3605" s="11"/>
    </row>
    <row r="3606" spans="5:10">
      <c r="E3606" s="11"/>
      <c r="G3606" s="12"/>
      <c r="H3606" s="12"/>
      <c r="J3606" s="11"/>
    </row>
    <row r="3607" spans="5:10">
      <c r="E3607" s="11"/>
      <c r="G3607" s="12"/>
      <c r="H3607" s="12"/>
      <c r="J3607" s="11"/>
    </row>
    <row r="3608" spans="5:10">
      <c r="E3608" s="11"/>
      <c r="G3608" s="12"/>
      <c r="H3608" s="12"/>
      <c r="J3608" s="11"/>
    </row>
    <row r="3609" spans="5:10">
      <c r="E3609" s="11"/>
      <c r="G3609" s="12"/>
      <c r="H3609" s="12"/>
      <c r="J3609" s="11"/>
    </row>
    <row r="3610" spans="5:10">
      <c r="E3610" s="11"/>
      <c r="G3610" s="12"/>
      <c r="H3610" s="12"/>
      <c r="J3610" s="11"/>
    </row>
    <row r="3611" spans="5:10">
      <c r="E3611" s="11"/>
      <c r="G3611" s="12"/>
      <c r="H3611" s="12"/>
      <c r="J3611" s="11"/>
    </row>
    <row r="3612" spans="5:10">
      <c r="E3612" s="11"/>
      <c r="G3612" s="12"/>
      <c r="H3612" s="12"/>
      <c r="J3612" s="11"/>
    </row>
    <row r="3613" spans="5:10">
      <c r="E3613" s="11"/>
      <c r="G3613" s="12"/>
      <c r="H3613" s="12"/>
      <c r="J3613" s="11"/>
    </row>
    <row r="3614" spans="5:10">
      <c r="E3614" s="11"/>
      <c r="G3614" s="12"/>
      <c r="H3614" s="12"/>
      <c r="J3614" s="11"/>
    </row>
    <row r="3615" spans="5:10">
      <c r="E3615" s="11"/>
      <c r="G3615" s="12"/>
      <c r="H3615" s="12"/>
      <c r="J3615" s="11"/>
    </row>
    <row r="3616" spans="5:10">
      <c r="E3616" s="11"/>
      <c r="G3616" s="12"/>
      <c r="H3616" s="12"/>
      <c r="J3616" s="11"/>
    </row>
    <row r="3617" spans="5:10">
      <c r="E3617" s="11"/>
      <c r="G3617" s="12"/>
      <c r="H3617" s="12"/>
      <c r="J3617" s="11"/>
    </row>
    <row r="3618" spans="5:10">
      <c r="E3618" s="11"/>
      <c r="G3618" s="12"/>
      <c r="H3618" s="12"/>
      <c r="J3618" s="11"/>
    </row>
    <row r="3619" spans="5:10">
      <c r="E3619" s="11"/>
      <c r="G3619" s="12"/>
      <c r="H3619" s="12"/>
      <c r="J3619" s="11"/>
    </row>
    <row r="3620" spans="5:10">
      <c r="E3620" s="11"/>
      <c r="G3620" s="12"/>
      <c r="H3620" s="12"/>
      <c r="J3620" s="11"/>
    </row>
    <row r="3621" spans="5:10">
      <c r="E3621" s="11"/>
      <c r="G3621" s="12"/>
      <c r="H3621" s="12"/>
      <c r="J3621" s="11"/>
    </row>
    <row r="3622" spans="5:10">
      <c r="E3622" s="11"/>
      <c r="G3622" s="12"/>
      <c r="H3622" s="12"/>
      <c r="J3622" s="11"/>
    </row>
    <row r="3623" spans="5:10">
      <c r="E3623" s="11"/>
      <c r="G3623" s="12"/>
      <c r="H3623" s="12"/>
      <c r="J3623" s="11"/>
    </row>
    <row r="3624" spans="5:10">
      <c r="E3624" s="11"/>
      <c r="G3624" s="12"/>
      <c r="H3624" s="12"/>
      <c r="J3624" s="11"/>
    </row>
    <row r="3625" spans="5:10">
      <c r="E3625" s="11"/>
      <c r="G3625" s="12"/>
      <c r="H3625" s="12"/>
      <c r="J3625" s="11"/>
    </row>
    <row r="3626" spans="5:10">
      <c r="E3626" s="11"/>
      <c r="G3626" s="12"/>
      <c r="H3626" s="12"/>
      <c r="J3626" s="11"/>
    </row>
    <row r="3627" spans="5:10">
      <c r="E3627" s="11"/>
      <c r="G3627" s="12"/>
      <c r="H3627" s="12"/>
      <c r="J3627" s="11"/>
    </row>
    <row r="3628" spans="5:10">
      <c r="E3628" s="11"/>
      <c r="G3628" s="12"/>
      <c r="H3628" s="12"/>
      <c r="J3628" s="11"/>
    </row>
    <row r="3629" spans="5:10">
      <c r="E3629" s="11"/>
      <c r="G3629" s="12"/>
      <c r="H3629" s="12"/>
      <c r="J3629" s="11"/>
    </row>
    <row r="3630" spans="5:10">
      <c r="E3630" s="11"/>
      <c r="G3630" s="12"/>
      <c r="H3630" s="12"/>
      <c r="J3630" s="11"/>
    </row>
    <row r="3631" spans="5:10">
      <c r="E3631" s="11"/>
      <c r="G3631" s="12"/>
      <c r="H3631" s="12"/>
      <c r="J3631" s="11"/>
    </row>
    <row r="3632" spans="5:10">
      <c r="E3632" s="11"/>
      <c r="G3632" s="12"/>
      <c r="H3632" s="12"/>
      <c r="J3632" s="11"/>
    </row>
    <row r="3633" spans="5:10">
      <c r="E3633" s="11"/>
      <c r="G3633" s="12"/>
      <c r="H3633" s="12"/>
      <c r="J3633" s="11"/>
    </row>
    <row r="3634" spans="5:10">
      <c r="E3634" s="11"/>
      <c r="G3634" s="12"/>
      <c r="H3634" s="12"/>
      <c r="J3634" s="11"/>
    </row>
    <row r="3635" spans="5:10">
      <c r="E3635" s="11"/>
      <c r="G3635" s="12"/>
      <c r="H3635" s="12"/>
      <c r="J3635" s="11"/>
    </row>
    <row r="3636" spans="5:10">
      <c r="E3636" s="11"/>
      <c r="G3636" s="12"/>
      <c r="H3636" s="12"/>
      <c r="J3636" s="11"/>
    </row>
    <row r="3637" spans="5:10">
      <c r="E3637" s="11"/>
      <c r="G3637" s="12"/>
      <c r="H3637" s="12"/>
      <c r="J3637" s="11"/>
    </row>
    <row r="3638" spans="5:10">
      <c r="E3638" s="11"/>
      <c r="G3638" s="12"/>
      <c r="H3638" s="12"/>
      <c r="J3638" s="11"/>
    </row>
    <row r="3639" spans="5:10">
      <c r="E3639" s="11"/>
      <c r="G3639" s="12"/>
      <c r="H3639" s="12"/>
      <c r="J3639" s="11"/>
    </row>
    <row r="3640" spans="5:10">
      <c r="E3640" s="11"/>
      <c r="G3640" s="12"/>
      <c r="H3640" s="12"/>
      <c r="J3640" s="11"/>
    </row>
    <row r="3641" spans="5:10">
      <c r="E3641" s="11"/>
      <c r="G3641" s="12"/>
      <c r="H3641" s="12"/>
      <c r="J3641" s="11"/>
    </row>
    <row r="3642" spans="5:10">
      <c r="E3642" s="11"/>
      <c r="G3642" s="12"/>
      <c r="H3642" s="12"/>
      <c r="J3642" s="11"/>
    </row>
    <row r="3643" spans="5:10">
      <c r="E3643" s="11"/>
      <c r="G3643" s="12"/>
      <c r="H3643" s="12"/>
      <c r="J3643" s="11"/>
    </row>
    <row r="3644" spans="5:10">
      <c r="E3644" s="11"/>
      <c r="G3644" s="12"/>
      <c r="H3644" s="12"/>
      <c r="J3644" s="11"/>
    </row>
    <row r="3645" spans="5:10">
      <c r="E3645" s="11"/>
      <c r="G3645" s="12"/>
      <c r="H3645" s="12"/>
      <c r="J3645" s="11"/>
    </row>
    <row r="3646" spans="5:10">
      <c r="E3646" s="11"/>
      <c r="G3646" s="12"/>
      <c r="H3646" s="12"/>
      <c r="J3646" s="11"/>
    </row>
    <row r="3647" spans="5:10">
      <c r="E3647" s="11"/>
      <c r="G3647" s="12"/>
      <c r="H3647" s="12"/>
      <c r="J3647" s="11"/>
    </row>
    <row r="3648" spans="5:10">
      <c r="E3648" s="11"/>
      <c r="G3648" s="12"/>
      <c r="H3648" s="12"/>
      <c r="J3648" s="11"/>
    </row>
    <row r="3649" spans="5:10">
      <c r="E3649" s="11"/>
      <c r="G3649" s="12"/>
      <c r="H3649" s="12"/>
      <c r="J3649" s="11"/>
    </row>
    <row r="3650" spans="5:10">
      <c r="E3650" s="11"/>
      <c r="G3650" s="12"/>
      <c r="H3650" s="12"/>
      <c r="J3650" s="11"/>
    </row>
    <row r="3651" spans="5:10">
      <c r="E3651" s="11"/>
      <c r="G3651" s="12"/>
      <c r="H3651" s="12"/>
      <c r="J3651" s="11"/>
    </row>
    <row r="3652" spans="5:10">
      <c r="E3652" s="11"/>
      <c r="G3652" s="12"/>
      <c r="H3652" s="12"/>
      <c r="J3652" s="11"/>
    </row>
    <row r="3653" spans="5:10">
      <c r="E3653" s="11"/>
      <c r="G3653" s="12"/>
      <c r="H3653" s="12"/>
      <c r="J3653" s="11"/>
    </row>
    <row r="3654" spans="5:10">
      <c r="E3654" s="11"/>
      <c r="G3654" s="12"/>
      <c r="H3654" s="12"/>
      <c r="J3654" s="11"/>
    </row>
    <row r="3655" spans="5:10">
      <c r="E3655" s="11"/>
      <c r="G3655" s="12"/>
      <c r="H3655" s="12"/>
      <c r="J3655" s="11"/>
    </row>
    <row r="3656" spans="5:10">
      <c r="E3656" s="11"/>
      <c r="G3656" s="12"/>
      <c r="H3656" s="12"/>
      <c r="J3656" s="11"/>
    </row>
    <row r="3657" spans="5:10">
      <c r="E3657" s="11"/>
      <c r="G3657" s="12"/>
      <c r="H3657" s="12"/>
      <c r="J3657" s="11"/>
    </row>
    <row r="3658" spans="5:10">
      <c r="E3658" s="11"/>
      <c r="G3658" s="12"/>
      <c r="H3658" s="12"/>
      <c r="J3658" s="11"/>
    </row>
    <row r="3659" spans="5:10">
      <c r="E3659" s="11"/>
      <c r="G3659" s="12"/>
      <c r="H3659" s="12"/>
      <c r="J3659" s="11"/>
    </row>
    <row r="3660" spans="5:10">
      <c r="E3660" s="11"/>
      <c r="G3660" s="12"/>
      <c r="H3660" s="12"/>
      <c r="J3660" s="11"/>
    </row>
    <row r="3661" spans="5:10">
      <c r="E3661" s="11"/>
      <c r="G3661" s="12"/>
      <c r="H3661" s="12"/>
      <c r="J3661" s="11"/>
    </row>
    <row r="3662" spans="5:10">
      <c r="E3662" s="11"/>
      <c r="G3662" s="12"/>
      <c r="H3662" s="12"/>
      <c r="J3662" s="11"/>
    </row>
    <row r="3663" spans="5:10">
      <c r="E3663" s="11"/>
      <c r="G3663" s="12"/>
      <c r="H3663" s="12"/>
      <c r="J3663" s="11"/>
    </row>
    <row r="3664" spans="5:10">
      <c r="E3664" s="11"/>
      <c r="G3664" s="12"/>
      <c r="H3664" s="12"/>
      <c r="J3664" s="11"/>
    </row>
    <row r="3665" spans="5:10">
      <c r="E3665" s="11"/>
      <c r="G3665" s="12"/>
      <c r="H3665" s="12"/>
      <c r="J3665" s="11"/>
    </row>
    <row r="3666" spans="5:10">
      <c r="E3666" s="11"/>
      <c r="G3666" s="12"/>
      <c r="H3666" s="12"/>
      <c r="J3666" s="11"/>
    </row>
    <row r="3667" spans="5:10">
      <c r="E3667" s="11"/>
      <c r="G3667" s="12"/>
      <c r="H3667" s="12"/>
      <c r="J3667" s="11"/>
    </row>
    <row r="3668" spans="5:10">
      <c r="E3668" s="11"/>
      <c r="G3668" s="12"/>
      <c r="H3668" s="12"/>
      <c r="J3668" s="11"/>
    </row>
    <row r="3669" spans="5:10">
      <c r="E3669" s="11"/>
      <c r="G3669" s="12"/>
      <c r="H3669" s="12"/>
      <c r="J3669" s="11"/>
    </row>
    <row r="3670" spans="5:10">
      <c r="E3670" s="11"/>
      <c r="G3670" s="12"/>
      <c r="H3670" s="12"/>
      <c r="J3670" s="11"/>
    </row>
    <row r="3671" spans="5:10">
      <c r="E3671" s="11"/>
      <c r="G3671" s="12"/>
      <c r="H3671" s="12"/>
      <c r="J3671" s="11"/>
    </row>
    <row r="3672" spans="5:10">
      <c r="E3672" s="11"/>
      <c r="G3672" s="12"/>
      <c r="H3672" s="12"/>
      <c r="J3672" s="11"/>
    </row>
    <row r="3673" spans="5:10">
      <c r="E3673" s="11"/>
      <c r="G3673" s="12"/>
      <c r="H3673" s="12"/>
      <c r="J3673" s="11"/>
    </row>
    <row r="3674" spans="5:10">
      <c r="E3674" s="11"/>
      <c r="G3674" s="12"/>
      <c r="H3674" s="12"/>
      <c r="J3674" s="11"/>
    </row>
    <row r="3675" spans="5:10">
      <c r="E3675" s="11"/>
      <c r="G3675" s="12"/>
      <c r="H3675" s="12"/>
      <c r="J3675" s="11"/>
    </row>
    <row r="3676" spans="5:10">
      <c r="E3676" s="11"/>
      <c r="G3676" s="12"/>
      <c r="H3676" s="12"/>
      <c r="J3676" s="11"/>
    </row>
    <row r="3677" spans="5:10">
      <c r="E3677" s="11"/>
      <c r="G3677" s="12"/>
      <c r="H3677" s="12"/>
      <c r="J3677" s="11"/>
    </row>
    <row r="3678" spans="5:10">
      <c r="E3678" s="11"/>
      <c r="G3678" s="12"/>
      <c r="H3678" s="12"/>
      <c r="J3678" s="11"/>
    </row>
    <row r="3679" spans="5:10">
      <c r="E3679" s="11"/>
      <c r="G3679" s="12"/>
      <c r="H3679" s="12"/>
      <c r="J3679" s="11"/>
    </row>
    <row r="3680" spans="5:10">
      <c r="E3680" s="11"/>
      <c r="G3680" s="12"/>
      <c r="H3680" s="12"/>
      <c r="J3680" s="11"/>
    </row>
    <row r="3681" spans="5:10">
      <c r="E3681" s="11"/>
      <c r="G3681" s="12"/>
      <c r="H3681" s="12"/>
      <c r="J3681" s="11"/>
    </row>
    <row r="3682" spans="5:10">
      <c r="E3682" s="11"/>
      <c r="G3682" s="12"/>
      <c r="H3682" s="12"/>
      <c r="J3682" s="11"/>
    </row>
    <row r="3683" spans="5:10">
      <c r="E3683" s="11"/>
      <c r="G3683" s="12"/>
      <c r="H3683" s="12"/>
      <c r="J3683" s="11"/>
    </row>
    <row r="3684" spans="5:10">
      <c r="E3684" s="11"/>
      <c r="G3684" s="12"/>
      <c r="H3684" s="12"/>
      <c r="J3684" s="11"/>
    </row>
    <row r="3685" spans="5:10">
      <c r="E3685" s="11"/>
      <c r="G3685" s="12"/>
      <c r="H3685" s="12"/>
      <c r="J3685" s="11"/>
    </row>
    <row r="3686" spans="5:10">
      <c r="E3686" s="11"/>
      <c r="G3686" s="12"/>
      <c r="H3686" s="12"/>
      <c r="J3686" s="11"/>
    </row>
    <row r="3687" spans="5:10">
      <c r="E3687" s="11"/>
      <c r="G3687" s="12"/>
      <c r="H3687" s="12"/>
      <c r="J3687" s="11"/>
    </row>
    <row r="3688" spans="5:10">
      <c r="E3688" s="11"/>
      <c r="G3688" s="12"/>
      <c r="H3688" s="12"/>
      <c r="J3688" s="11"/>
    </row>
    <row r="3689" spans="5:10">
      <c r="E3689" s="11"/>
      <c r="G3689" s="12"/>
      <c r="H3689" s="12"/>
      <c r="J3689" s="11"/>
    </row>
    <row r="3690" spans="5:10">
      <c r="E3690" s="11"/>
      <c r="G3690" s="12"/>
      <c r="H3690" s="12"/>
      <c r="J3690" s="11"/>
    </row>
    <row r="3691" spans="5:10">
      <c r="E3691" s="11"/>
      <c r="G3691" s="12"/>
      <c r="H3691" s="12"/>
      <c r="J3691" s="11"/>
    </row>
    <row r="3692" spans="5:10">
      <c r="E3692" s="11"/>
      <c r="G3692" s="12"/>
      <c r="H3692" s="12"/>
      <c r="J3692" s="11"/>
    </row>
    <row r="3693" spans="5:10">
      <c r="E3693" s="11"/>
      <c r="G3693" s="12"/>
      <c r="H3693" s="12"/>
      <c r="J3693" s="11"/>
    </row>
    <row r="3694" spans="5:10">
      <c r="E3694" s="11"/>
      <c r="G3694" s="12"/>
      <c r="H3694" s="12"/>
      <c r="J3694" s="11"/>
    </row>
    <row r="3695" spans="5:10">
      <c r="E3695" s="11"/>
      <c r="G3695" s="12"/>
      <c r="H3695" s="12"/>
      <c r="J3695" s="11"/>
    </row>
    <row r="3696" spans="5:10">
      <c r="E3696" s="11"/>
      <c r="G3696" s="12"/>
      <c r="H3696" s="12"/>
      <c r="J3696" s="11"/>
    </row>
    <row r="3697" spans="5:10">
      <c r="E3697" s="11"/>
      <c r="G3697" s="12"/>
      <c r="H3697" s="12"/>
      <c r="J3697" s="11"/>
    </row>
    <row r="3698" spans="5:10">
      <c r="E3698" s="11"/>
      <c r="G3698" s="12"/>
      <c r="H3698" s="12"/>
      <c r="J3698" s="11"/>
    </row>
    <row r="3699" spans="5:10">
      <c r="E3699" s="11"/>
      <c r="G3699" s="12"/>
      <c r="H3699" s="12"/>
      <c r="J3699" s="11"/>
    </row>
    <row r="3700" spans="5:10">
      <c r="E3700" s="11"/>
      <c r="G3700" s="12"/>
      <c r="H3700" s="12"/>
      <c r="J3700" s="11"/>
    </row>
    <row r="3701" spans="5:10">
      <c r="E3701" s="11"/>
      <c r="G3701" s="12"/>
      <c r="H3701" s="12"/>
      <c r="J3701" s="11"/>
    </row>
    <row r="3702" spans="5:10">
      <c r="E3702" s="11"/>
      <c r="G3702" s="12"/>
      <c r="H3702" s="12"/>
      <c r="J3702" s="11"/>
    </row>
    <row r="3703" spans="5:10">
      <c r="E3703" s="11"/>
      <c r="G3703" s="12"/>
      <c r="H3703" s="12"/>
      <c r="J3703" s="11"/>
    </row>
    <row r="3704" spans="5:10">
      <c r="E3704" s="11"/>
      <c r="G3704" s="12"/>
      <c r="H3704" s="12"/>
      <c r="J3704" s="11"/>
    </row>
    <row r="3705" spans="5:10">
      <c r="E3705" s="11"/>
      <c r="G3705" s="12"/>
      <c r="H3705" s="12"/>
      <c r="J3705" s="11"/>
    </row>
    <row r="3706" spans="5:10">
      <c r="E3706" s="11"/>
      <c r="G3706" s="12"/>
      <c r="H3706" s="12"/>
      <c r="J3706" s="11"/>
    </row>
    <row r="3707" spans="5:10">
      <c r="E3707" s="11"/>
      <c r="G3707" s="12"/>
      <c r="H3707" s="12"/>
      <c r="J3707" s="11"/>
    </row>
    <row r="3708" spans="5:10">
      <c r="E3708" s="11"/>
      <c r="G3708" s="12"/>
      <c r="H3708" s="12"/>
      <c r="J3708" s="11"/>
    </row>
    <row r="3709" spans="5:10">
      <c r="E3709" s="11"/>
      <c r="G3709" s="12"/>
      <c r="H3709" s="12"/>
      <c r="J3709" s="11"/>
    </row>
    <row r="3710" spans="5:10">
      <c r="E3710" s="11"/>
      <c r="G3710" s="12"/>
      <c r="H3710" s="12"/>
      <c r="J3710" s="11"/>
    </row>
    <row r="3711" spans="5:10">
      <c r="E3711" s="11"/>
      <c r="G3711" s="12"/>
      <c r="H3711" s="12"/>
      <c r="J3711" s="11"/>
    </row>
    <row r="3712" spans="5:10">
      <c r="E3712" s="11"/>
      <c r="G3712" s="12"/>
      <c r="H3712" s="12"/>
      <c r="J3712" s="11"/>
    </row>
    <row r="3713" spans="5:10">
      <c r="E3713" s="11"/>
      <c r="G3713" s="12"/>
      <c r="H3713" s="12"/>
      <c r="J3713" s="11"/>
    </row>
    <row r="3714" spans="5:10">
      <c r="E3714" s="11"/>
      <c r="G3714" s="12"/>
      <c r="H3714" s="12"/>
      <c r="J3714" s="11"/>
    </row>
    <row r="3715" spans="5:10">
      <c r="E3715" s="11"/>
      <c r="G3715" s="12"/>
      <c r="H3715" s="12"/>
      <c r="J3715" s="11"/>
    </row>
    <row r="3716" spans="5:10">
      <c r="E3716" s="11"/>
      <c r="G3716" s="12"/>
      <c r="H3716" s="12"/>
      <c r="J3716" s="11"/>
    </row>
    <row r="3717" spans="5:10">
      <c r="E3717" s="11"/>
      <c r="G3717" s="12"/>
      <c r="H3717" s="12"/>
      <c r="J3717" s="11"/>
    </row>
    <row r="3718" spans="5:10">
      <c r="E3718" s="11"/>
      <c r="G3718" s="12"/>
      <c r="H3718" s="12"/>
      <c r="J3718" s="11"/>
    </row>
    <row r="3719" spans="5:10">
      <c r="E3719" s="11"/>
      <c r="G3719" s="12"/>
      <c r="H3719" s="12"/>
      <c r="J3719" s="11"/>
    </row>
    <row r="3720" spans="5:10">
      <c r="E3720" s="11"/>
      <c r="G3720" s="12"/>
      <c r="H3720" s="12"/>
      <c r="J3720" s="11"/>
    </row>
    <row r="3721" spans="5:10">
      <c r="E3721" s="11"/>
      <c r="G3721" s="12"/>
      <c r="H3721" s="12"/>
      <c r="J3721" s="11"/>
    </row>
    <row r="3722" spans="5:10">
      <c r="E3722" s="11"/>
      <c r="G3722" s="12"/>
      <c r="H3722" s="12"/>
      <c r="J3722" s="11"/>
    </row>
    <row r="3723" spans="5:10">
      <c r="E3723" s="11"/>
      <c r="G3723" s="12"/>
      <c r="H3723" s="12"/>
      <c r="J3723" s="11"/>
    </row>
    <row r="3724" spans="5:10">
      <c r="E3724" s="11"/>
      <c r="G3724" s="12"/>
      <c r="H3724" s="12"/>
      <c r="J3724" s="11"/>
    </row>
    <row r="3725" spans="5:10">
      <c r="E3725" s="11"/>
      <c r="G3725" s="12"/>
      <c r="H3725" s="12"/>
      <c r="J3725" s="11"/>
    </row>
    <row r="3726" spans="5:10">
      <c r="E3726" s="11"/>
      <c r="G3726" s="12"/>
      <c r="H3726" s="12"/>
      <c r="J3726" s="11"/>
    </row>
    <row r="3727" spans="5:10">
      <c r="E3727" s="11"/>
      <c r="G3727" s="12"/>
      <c r="H3727" s="12"/>
      <c r="J3727" s="11"/>
    </row>
    <row r="3728" spans="5:10">
      <c r="E3728" s="11"/>
      <c r="G3728" s="12"/>
      <c r="H3728" s="12"/>
      <c r="J3728" s="11"/>
    </row>
    <row r="3729" spans="5:10">
      <c r="E3729" s="11"/>
      <c r="G3729" s="12"/>
      <c r="H3729" s="12"/>
      <c r="J3729" s="11"/>
    </row>
    <row r="3730" spans="5:10">
      <c r="E3730" s="11"/>
      <c r="G3730" s="12"/>
      <c r="H3730" s="12"/>
      <c r="J3730" s="11"/>
    </row>
    <row r="3731" spans="5:10">
      <c r="E3731" s="11"/>
      <c r="G3731" s="12"/>
      <c r="H3731" s="12"/>
      <c r="J3731" s="11"/>
    </row>
    <row r="3732" spans="5:10">
      <c r="E3732" s="11"/>
      <c r="G3732" s="12"/>
      <c r="H3732" s="12"/>
      <c r="J3732" s="11"/>
    </row>
    <row r="3733" spans="5:10">
      <c r="E3733" s="11"/>
      <c r="G3733" s="12"/>
      <c r="H3733" s="12"/>
      <c r="J3733" s="11"/>
    </row>
    <row r="3734" spans="5:10">
      <c r="E3734" s="11"/>
      <c r="G3734" s="12"/>
      <c r="H3734" s="12"/>
      <c r="J3734" s="11"/>
    </row>
    <row r="3735" spans="5:10">
      <c r="E3735" s="11"/>
      <c r="G3735" s="12"/>
      <c r="H3735" s="12"/>
      <c r="J3735" s="11"/>
    </row>
    <row r="3736" spans="5:10">
      <c r="E3736" s="11"/>
      <c r="G3736" s="12"/>
      <c r="H3736" s="12"/>
      <c r="J3736" s="11"/>
    </row>
    <row r="3737" spans="5:10">
      <c r="E3737" s="11"/>
      <c r="G3737" s="12"/>
      <c r="H3737" s="12"/>
      <c r="J3737" s="11"/>
    </row>
    <row r="3738" spans="5:10">
      <c r="E3738" s="11"/>
      <c r="G3738" s="12"/>
      <c r="H3738" s="12"/>
      <c r="J3738" s="11"/>
    </row>
    <row r="3739" spans="5:10">
      <c r="E3739" s="11"/>
      <c r="G3739" s="12"/>
      <c r="H3739" s="12"/>
      <c r="J3739" s="11"/>
    </row>
    <row r="3740" spans="5:10">
      <c r="E3740" s="11"/>
      <c r="G3740" s="12"/>
      <c r="H3740" s="12"/>
      <c r="J3740" s="11"/>
    </row>
    <row r="3741" spans="5:10">
      <c r="E3741" s="11"/>
      <c r="G3741" s="12"/>
      <c r="H3741" s="12"/>
      <c r="J3741" s="11"/>
    </row>
    <row r="3742" spans="5:10">
      <c r="E3742" s="11"/>
      <c r="G3742" s="12"/>
      <c r="H3742" s="12"/>
      <c r="J3742" s="11"/>
    </row>
    <row r="3743" spans="5:10">
      <c r="E3743" s="11"/>
      <c r="G3743" s="12"/>
      <c r="H3743" s="12"/>
      <c r="J3743" s="11"/>
    </row>
    <row r="3744" spans="5:10">
      <c r="E3744" s="11"/>
      <c r="G3744" s="12"/>
      <c r="H3744" s="12"/>
      <c r="J3744" s="11"/>
    </row>
    <row r="3745" spans="5:10">
      <c r="E3745" s="11"/>
      <c r="G3745" s="12"/>
      <c r="H3745" s="12"/>
      <c r="J3745" s="11"/>
    </row>
    <row r="3746" spans="5:10">
      <c r="E3746" s="11"/>
      <c r="G3746" s="12"/>
      <c r="H3746" s="12"/>
      <c r="J3746" s="11"/>
    </row>
    <row r="3747" spans="5:10">
      <c r="E3747" s="11"/>
      <c r="G3747" s="12"/>
      <c r="H3747" s="12"/>
      <c r="J3747" s="11"/>
    </row>
    <row r="3748" spans="5:10">
      <c r="E3748" s="11"/>
      <c r="G3748" s="12"/>
      <c r="H3748" s="12"/>
      <c r="J3748" s="11"/>
    </row>
    <row r="3749" spans="5:10">
      <c r="E3749" s="11"/>
      <c r="G3749" s="12"/>
      <c r="H3749" s="12"/>
      <c r="J3749" s="11"/>
    </row>
    <row r="3750" spans="5:10">
      <c r="E3750" s="11"/>
      <c r="G3750" s="12"/>
      <c r="H3750" s="12"/>
      <c r="J3750" s="11"/>
    </row>
    <row r="3751" spans="5:10">
      <c r="E3751" s="11"/>
      <c r="G3751" s="12"/>
      <c r="H3751" s="12"/>
      <c r="J3751" s="11"/>
    </row>
    <row r="3752" spans="5:10">
      <c r="E3752" s="11"/>
      <c r="G3752" s="12"/>
      <c r="H3752" s="12"/>
      <c r="J3752" s="11"/>
    </row>
    <row r="3753" spans="5:10">
      <c r="E3753" s="11"/>
      <c r="G3753" s="12"/>
      <c r="H3753" s="12"/>
      <c r="J3753" s="11"/>
    </row>
    <row r="3754" spans="5:10">
      <c r="E3754" s="11"/>
      <c r="G3754" s="12"/>
      <c r="H3754" s="12"/>
      <c r="J3754" s="11"/>
    </row>
    <row r="3755" spans="5:10">
      <c r="E3755" s="11"/>
      <c r="G3755" s="12"/>
      <c r="H3755" s="12"/>
      <c r="J3755" s="11"/>
    </row>
    <row r="3756" spans="5:10">
      <c r="E3756" s="11"/>
      <c r="G3756" s="12"/>
      <c r="H3756" s="12"/>
      <c r="J3756" s="11"/>
    </row>
    <row r="3757" spans="5:10">
      <c r="E3757" s="11"/>
      <c r="G3757" s="12"/>
      <c r="H3757" s="12"/>
      <c r="J3757" s="11"/>
    </row>
    <row r="3758" spans="5:10">
      <c r="E3758" s="11"/>
      <c r="G3758" s="12"/>
      <c r="H3758" s="12"/>
      <c r="J3758" s="11"/>
    </row>
    <row r="3759" spans="5:10">
      <c r="E3759" s="11"/>
      <c r="G3759" s="12"/>
      <c r="H3759" s="12"/>
      <c r="J3759" s="11"/>
    </row>
    <row r="3760" spans="5:10">
      <c r="E3760" s="11"/>
      <c r="G3760" s="12"/>
      <c r="H3760" s="12"/>
      <c r="J3760" s="11"/>
    </row>
    <row r="3761" spans="5:10">
      <c r="E3761" s="11"/>
      <c r="G3761" s="12"/>
      <c r="H3761" s="12"/>
      <c r="J3761" s="11"/>
    </row>
    <row r="3762" spans="5:10">
      <c r="E3762" s="11"/>
      <c r="G3762" s="12"/>
      <c r="H3762" s="12"/>
      <c r="J3762" s="11"/>
    </row>
    <row r="3763" spans="5:10">
      <c r="E3763" s="11"/>
      <c r="G3763" s="12"/>
      <c r="H3763" s="12"/>
      <c r="J3763" s="11"/>
    </row>
    <row r="3764" spans="5:10">
      <c r="E3764" s="11"/>
      <c r="G3764" s="12"/>
      <c r="H3764" s="12"/>
      <c r="J3764" s="11"/>
    </row>
    <row r="3765" spans="5:10">
      <c r="E3765" s="11"/>
      <c r="G3765" s="12"/>
      <c r="H3765" s="12"/>
      <c r="J3765" s="11"/>
    </row>
    <row r="3766" spans="5:10">
      <c r="E3766" s="11"/>
      <c r="G3766" s="12"/>
      <c r="H3766" s="12"/>
      <c r="J3766" s="11"/>
    </row>
    <row r="3767" spans="5:10">
      <c r="E3767" s="11"/>
      <c r="G3767" s="12"/>
      <c r="H3767" s="12"/>
      <c r="J3767" s="11"/>
    </row>
    <row r="3768" spans="5:10">
      <c r="E3768" s="11"/>
      <c r="G3768" s="12"/>
      <c r="H3768" s="12"/>
      <c r="J3768" s="11"/>
    </row>
    <row r="3769" spans="5:10">
      <c r="E3769" s="11"/>
      <c r="G3769" s="12"/>
      <c r="H3769" s="12"/>
      <c r="J3769" s="11"/>
    </row>
    <row r="3770" spans="5:10">
      <c r="E3770" s="11"/>
      <c r="G3770" s="12"/>
      <c r="H3770" s="12"/>
      <c r="J3770" s="11"/>
    </row>
    <row r="3771" spans="5:10">
      <c r="E3771" s="11"/>
      <c r="G3771" s="12"/>
      <c r="H3771" s="12"/>
      <c r="J3771" s="11"/>
    </row>
    <row r="3772" spans="5:10">
      <c r="E3772" s="11"/>
      <c r="G3772" s="12"/>
      <c r="H3772" s="12"/>
      <c r="J3772" s="11"/>
    </row>
    <row r="3773" spans="5:10">
      <c r="E3773" s="11"/>
      <c r="G3773" s="12"/>
      <c r="H3773" s="12"/>
      <c r="J3773" s="11"/>
    </row>
    <row r="3774" spans="5:10">
      <c r="E3774" s="11"/>
      <c r="G3774" s="12"/>
      <c r="H3774" s="12"/>
      <c r="J3774" s="11"/>
    </row>
    <row r="3775" spans="5:10">
      <c r="E3775" s="11"/>
      <c r="G3775" s="12"/>
      <c r="H3775" s="12"/>
      <c r="J3775" s="11"/>
    </row>
    <row r="3776" spans="5:10">
      <c r="E3776" s="11"/>
      <c r="G3776" s="12"/>
      <c r="H3776" s="12"/>
      <c r="J3776" s="11"/>
    </row>
    <row r="3777" spans="5:10">
      <c r="E3777" s="11"/>
      <c r="G3777" s="12"/>
      <c r="H3777" s="12"/>
      <c r="J3777" s="11"/>
    </row>
    <row r="3778" spans="5:10">
      <c r="E3778" s="11"/>
      <c r="G3778" s="12"/>
      <c r="H3778" s="12"/>
      <c r="J3778" s="11"/>
    </row>
    <row r="3779" spans="5:10">
      <c r="E3779" s="11"/>
      <c r="G3779" s="12"/>
      <c r="H3779" s="12"/>
      <c r="J3779" s="11"/>
    </row>
    <row r="3780" spans="5:10">
      <c r="E3780" s="11"/>
      <c r="G3780" s="12"/>
      <c r="H3780" s="12"/>
      <c r="J3780" s="11"/>
    </row>
    <row r="3781" spans="5:10">
      <c r="E3781" s="11"/>
      <c r="G3781" s="12"/>
      <c r="H3781" s="12"/>
      <c r="J3781" s="11"/>
    </row>
    <row r="3782" spans="5:10">
      <c r="E3782" s="11"/>
      <c r="G3782" s="12"/>
      <c r="H3782" s="12"/>
      <c r="J3782" s="11"/>
    </row>
    <row r="3783" spans="5:10">
      <c r="E3783" s="11"/>
      <c r="G3783" s="12"/>
      <c r="H3783" s="12"/>
      <c r="J3783" s="11"/>
    </row>
    <row r="3784" spans="5:10">
      <c r="E3784" s="11"/>
      <c r="G3784" s="12"/>
      <c r="H3784" s="12"/>
      <c r="J3784" s="11"/>
    </row>
    <row r="3785" spans="5:10">
      <c r="E3785" s="11"/>
      <c r="G3785" s="12"/>
      <c r="H3785" s="12"/>
      <c r="J3785" s="11"/>
    </row>
    <row r="3786" spans="5:10">
      <c r="E3786" s="11"/>
      <c r="G3786" s="12"/>
      <c r="H3786" s="12"/>
      <c r="J3786" s="11"/>
    </row>
    <row r="3787" spans="5:10">
      <c r="E3787" s="11"/>
      <c r="G3787" s="12"/>
      <c r="H3787" s="12"/>
      <c r="J3787" s="11"/>
    </row>
    <row r="3788" spans="5:10">
      <c r="E3788" s="11"/>
      <c r="G3788" s="12"/>
      <c r="H3788" s="12"/>
      <c r="J3788" s="11"/>
    </row>
    <row r="3789" spans="5:10">
      <c r="E3789" s="11"/>
      <c r="G3789" s="12"/>
      <c r="H3789" s="12"/>
      <c r="J3789" s="11"/>
    </row>
    <row r="3790" spans="5:10">
      <c r="E3790" s="11"/>
      <c r="G3790" s="12"/>
      <c r="H3790" s="12"/>
      <c r="J3790" s="11"/>
    </row>
    <row r="3791" spans="5:10">
      <c r="E3791" s="11"/>
      <c r="G3791" s="12"/>
      <c r="H3791" s="12"/>
      <c r="J3791" s="11"/>
    </row>
    <row r="3792" spans="5:10">
      <c r="E3792" s="11"/>
      <c r="G3792" s="12"/>
      <c r="H3792" s="12"/>
      <c r="J3792" s="11"/>
    </row>
    <row r="3793" spans="5:10">
      <c r="E3793" s="11"/>
      <c r="G3793" s="12"/>
      <c r="H3793" s="12"/>
      <c r="J3793" s="11"/>
    </row>
    <row r="3794" spans="5:10">
      <c r="E3794" s="11"/>
      <c r="G3794" s="12"/>
      <c r="H3794" s="12"/>
      <c r="J3794" s="11"/>
    </row>
    <row r="3795" spans="5:10">
      <c r="E3795" s="11"/>
      <c r="G3795" s="12"/>
      <c r="H3795" s="12"/>
      <c r="J3795" s="11"/>
    </row>
    <row r="3796" spans="5:10">
      <c r="E3796" s="11"/>
      <c r="G3796" s="12"/>
      <c r="H3796" s="12"/>
      <c r="J3796" s="11"/>
    </row>
    <row r="3797" spans="5:10">
      <c r="E3797" s="11"/>
      <c r="G3797" s="12"/>
      <c r="H3797" s="12"/>
      <c r="J3797" s="11"/>
    </row>
    <row r="3798" spans="5:10">
      <c r="E3798" s="11"/>
      <c r="G3798" s="12"/>
      <c r="H3798" s="12"/>
      <c r="J3798" s="11"/>
    </row>
    <row r="3799" spans="5:10">
      <c r="E3799" s="11"/>
      <c r="G3799" s="12"/>
      <c r="H3799" s="12"/>
      <c r="J3799" s="11"/>
    </row>
    <row r="3800" spans="5:10">
      <c r="E3800" s="11"/>
      <c r="G3800" s="12"/>
      <c r="H3800" s="12"/>
      <c r="J3800" s="11"/>
    </row>
    <row r="3801" spans="5:10">
      <c r="E3801" s="11"/>
      <c r="G3801" s="12"/>
      <c r="H3801" s="12"/>
      <c r="J3801" s="11"/>
    </row>
    <row r="3802" spans="5:10">
      <c r="E3802" s="11"/>
      <c r="G3802" s="12"/>
      <c r="H3802" s="12"/>
      <c r="J3802" s="11"/>
    </row>
    <row r="3803" spans="5:10">
      <c r="E3803" s="11"/>
      <c r="G3803" s="12"/>
      <c r="H3803" s="12"/>
      <c r="J3803" s="11"/>
    </row>
    <row r="3804" spans="5:10">
      <c r="E3804" s="11"/>
      <c r="G3804" s="12"/>
      <c r="H3804" s="12"/>
      <c r="J3804" s="11"/>
    </row>
    <row r="3805" spans="5:10">
      <c r="E3805" s="11"/>
      <c r="G3805" s="12"/>
      <c r="H3805" s="12"/>
      <c r="J3805" s="11"/>
    </row>
    <row r="3806" spans="5:10">
      <c r="E3806" s="11"/>
      <c r="G3806" s="12"/>
      <c r="H3806" s="12"/>
      <c r="J3806" s="11"/>
    </row>
    <row r="3807" spans="5:10">
      <c r="E3807" s="11"/>
      <c r="G3807" s="12"/>
      <c r="H3807" s="12"/>
      <c r="J3807" s="11"/>
    </row>
    <row r="3808" spans="5:10">
      <c r="E3808" s="11"/>
      <c r="G3808" s="12"/>
      <c r="H3808" s="12"/>
      <c r="J3808" s="11"/>
    </row>
    <row r="3809" spans="5:10">
      <c r="E3809" s="11"/>
      <c r="G3809" s="12"/>
      <c r="H3809" s="12"/>
      <c r="J3809" s="11"/>
    </row>
    <row r="3810" spans="5:10">
      <c r="E3810" s="11"/>
      <c r="G3810" s="12"/>
      <c r="H3810" s="12"/>
      <c r="J3810" s="11"/>
    </row>
    <row r="3811" spans="5:10">
      <c r="E3811" s="11"/>
      <c r="G3811" s="12"/>
      <c r="H3811" s="12"/>
      <c r="J3811" s="11"/>
    </row>
    <row r="3812" spans="5:10">
      <c r="E3812" s="11"/>
      <c r="G3812" s="12"/>
      <c r="H3812" s="12"/>
      <c r="J3812" s="11"/>
    </row>
    <row r="3813" spans="5:10">
      <c r="E3813" s="11"/>
      <c r="G3813" s="12"/>
      <c r="H3813" s="12"/>
      <c r="J3813" s="11"/>
    </row>
    <row r="3814" spans="5:10">
      <c r="E3814" s="11"/>
      <c r="G3814" s="12"/>
      <c r="H3814" s="12"/>
      <c r="J3814" s="11"/>
    </row>
    <row r="3815" spans="5:10">
      <c r="E3815" s="11"/>
      <c r="G3815" s="12"/>
      <c r="H3815" s="12"/>
      <c r="J3815" s="11"/>
    </row>
    <row r="3816" spans="5:10">
      <c r="E3816" s="11"/>
      <c r="G3816" s="12"/>
      <c r="H3816" s="12"/>
      <c r="J3816" s="11"/>
    </row>
    <row r="3817" spans="5:10">
      <c r="E3817" s="11"/>
      <c r="G3817" s="12"/>
      <c r="H3817" s="12"/>
      <c r="J3817" s="11"/>
    </row>
    <row r="3818" spans="5:10">
      <c r="E3818" s="11"/>
      <c r="G3818" s="12"/>
      <c r="H3818" s="12"/>
      <c r="J3818" s="11"/>
    </row>
    <row r="3819" spans="5:10">
      <c r="E3819" s="11"/>
      <c r="G3819" s="12"/>
      <c r="H3819" s="12"/>
      <c r="J3819" s="11"/>
    </row>
    <row r="3820" spans="5:10">
      <c r="E3820" s="11"/>
      <c r="G3820" s="12"/>
      <c r="H3820" s="12"/>
      <c r="J3820" s="11"/>
    </row>
    <row r="3821" spans="5:10">
      <c r="E3821" s="11"/>
      <c r="G3821" s="12"/>
      <c r="H3821" s="12"/>
      <c r="J3821" s="11"/>
    </row>
    <row r="3822" spans="5:10">
      <c r="E3822" s="11"/>
      <c r="G3822" s="12"/>
      <c r="H3822" s="12"/>
      <c r="J3822" s="11"/>
    </row>
    <row r="3823" spans="5:10">
      <c r="E3823" s="11"/>
      <c r="G3823" s="12"/>
      <c r="H3823" s="12"/>
      <c r="J3823" s="11"/>
    </row>
    <row r="3824" spans="5:10">
      <c r="E3824" s="11"/>
      <c r="G3824" s="12"/>
      <c r="H3824" s="12"/>
      <c r="J3824" s="11"/>
    </row>
    <row r="3825" spans="5:10">
      <c r="E3825" s="11"/>
      <c r="G3825" s="12"/>
      <c r="H3825" s="12"/>
      <c r="J3825" s="11"/>
    </row>
    <row r="3826" spans="5:10">
      <c r="E3826" s="11"/>
      <c r="G3826" s="12"/>
      <c r="H3826" s="12"/>
      <c r="J3826" s="11"/>
    </row>
    <row r="3827" spans="5:10">
      <c r="E3827" s="11"/>
      <c r="G3827" s="12"/>
      <c r="H3827" s="12"/>
      <c r="J3827" s="11"/>
    </row>
    <row r="3828" spans="5:10">
      <c r="E3828" s="11"/>
      <c r="G3828" s="12"/>
      <c r="H3828" s="12"/>
      <c r="J3828" s="11"/>
    </row>
    <row r="3829" spans="5:10">
      <c r="E3829" s="11"/>
      <c r="G3829" s="12"/>
      <c r="H3829" s="12"/>
      <c r="J3829" s="11"/>
    </row>
    <row r="3830" spans="5:10">
      <c r="E3830" s="11"/>
      <c r="G3830" s="12"/>
      <c r="H3830" s="12"/>
      <c r="J3830" s="11"/>
    </row>
    <row r="3831" spans="5:10">
      <c r="E3831" s="11"/>
      <c r="G3831" s="12"/>
      <c r="H3831" s="12"/>
      <c r="J3831" s="11"/>
    </row>
    <row r="3832" spans="5:10">
      <c r="E3832" s="11"/>
      <c r="G3832" s="12"/>
      <c r="H3832" s="12"/>
      <c r="J3832" s="11"/>
    </row>
    <row r="3833" spans="5:10">
      <c r="E3833" s="11"/>
      <c r="G3833" s="12"/>
      <c r="H3833" s="12"/>
      <c r="J3833" s="11"/>
    </row>
    <row r="3834" spans="5:10">
      <c r="E3834" s="11"/>
      <c r="G3834" s="12"/>
      <c r="H3834" s="12"/>
      <c r="J3834" s="11"/>
    </row>
    <row r="3835" spans="5:10">
      <c r="E3835" s="11"/>
      <c r="G3835" s="12"/>
      <c r="H3835" s="12"/>
      <c r="J3835" s="11"/>
    </row>
    <row r="3836" spans="5:10">
      <c r="E3836" s="11"/>
      <c r="G3836" s="12"/>
      <c r="H3836" s="12"/>
      <c r="J3836" s="11"/>
    </row>
    <row r="3837" spans="5:10">
      <c r="E3837" s="11"/>
      <c r="G3837" s="12"/>
      <c r="H3837" s="12"/>
      <c r="J3837" s="11"/>
    </row>
    <row r="3838" spans="5:10">
      <c r="E3838" s="11"/>
      <c r="G3838" s="12"/>
      <c r="H3838" s="12"/>
      <c r="J3838" s="11"/>
    </row>
    <row r="3839" spans="5:10">
      <c r="E3839" s="11"/>
      <c r="G3839" s="12"/>
      <c r="H3839" s="12"/>
      <c r="J3839" s="11"/>
    </row>
    <row r="3840" spans="5:10">
      <c r="E3840" s="11"/>
      <c r="G3840" s="12"/>
      <c r="H3840" s="12"/>
      <c r="J3840" s="11"/>
    </row>
    <row r="3841" spans="5:10">
      <c r="E3841" s="11"/>
      <c r="G3841" s="12"/>
      <c r="H3841" s="12"/>
      <c r="J3841" s="11"/>
    </row>
    <row r="3842" spans="5:10">
      <c r="E3842" s="11"/>
      <c r="G3842" s="12"/>
      <c r="H3842" s="12"/>
      <c r="J3842" s="11"/>
    </row>
    <row r="3843" spans="5:10">
      <c r="E3843" s="11"/>
      <c r="G3843" s="12"/>
      <c r="H3843" s="12"/>
      <c r="J3843" s="11"/>
    </row>
    <row r="3844" spans="5:10">
      <c r="E3844" s="11"/>
      <c r="G3844" s="12"/>
      <c r="H3844" s="12"/>
      <c r="J3844" s="11"/>
    </row>
    <row r="3845" spans="5:10">
      <c r="E3845" s="11"/>
      <c r="G3845" s="12"/>
      <c r="H3845" s="12"/>
      <c r="J3845" s="11"/>
    </row>
    <row r="3846" spans="5:10">
      <c r="E3846" s="11"/>
      <c r="G3846" s="12"/>
      <c r="H3846" s="12"/>
      <c r="J3846" s="11"/>
    </row>
    <row r="3847" spans="5:10">
      <c r="E3847" s="11"/>
      <c r="G3847" s="12"/>
      <c r="H3847" s="12"/>
      <c r="J3847" s="11"/>
    </row>
    <row r="3848" spans="5:10">
      <c r="E3848" s="11"/>
      <c r="G3848" s="12"/>
      <c r="H3848" s="12"/>
      <c r="J3848" s="11"/>
    </row>
    <row r="3849" spans="5:10">
      <c r="E3849" s="11"/>
      <c r="G3849" s="12"/>
      <c r="H3849" s="12"/>
      <c r="J3849" s="11"/>
    </row>
    <row r="3850" spans="5:10">
      <c r="E3850" s="11"/>
      <c r="G3850" s="12"/>
      <c r="H3850" s="12"/>
      <c r="J3850" s="11"/>
    </row>
    <row r="3851" spans="5:10">
      <c r="E3851" s="11"/>
      <c r="G3851" s="12"/>
      <c r="H3851" s="12"/>
      <c r="J3851" s="11"/>
    </row>
    <row r="3852" spans="5:10">
      <c r="E3852" s="11"/>
      <c r="G3852" s="12"/>
      <c r="H3852" s="12"/>
      <c r="J3852" s="11"/>
    </row>
    <row r="3853" spans="5:10">
      <c r="E3853" s="11"/>
      <c r="G3853" s="12"/>
      <c r="H3853" s="12"/>
      <c r="J3853" s="11"/>
    </row>
    <row r="3854" spans="5:10">
      <c r="E3854" s="11"/>
      <c r="G3854" s="12"/>
      <c r="H3854" s="12"/>
      <c r="J3854" s="11"/>
    </row>
    <row r="3855" spans="5:10">
      <c r="E3855" s="11"/>
      <c r="G3855" s="12"/>
      <c r="H3855" s="12"/>
      <c r="J3855" s="11"/>
    </row>
    <row r="3856" spans="5:10">
      <c r="E3856" s="11"/>
      <c r="G3856" s="12"/>
      <c r="H3856" s="12"/>
      <c r="J3856" s="11"/>
    </row>
    <row r="3857" spans="5:10">
      <c r="E3857" s="11"/>
      <c r="G3857" s="12"/>
      <c r="H3857" s="12"/>
      <c r="J3857" s="11"/>
    </row>
    <row r="3858" spans="5:10">
      <c r="E3858" s="11"/>
      <c r="G3858" s="12"/>
      <c r="H3858" s="12"/>
      <c r="J3858" s="11"/>
    </row>
    <row r="3859" spans="5:10">
      <c r="E3859" s="11"/>
      <c r="G3859" s="12"/>
      <c r="H3859" s="12"/>
      <c r="J3859" s="11"/>
    </row>
    <row r="3860" spans="5:10">
      <c r="E3860" s="11"/>
      <c r="G3860" s="12"/>
      <c r="H3860" s="12"/>
      <c r="J3860" s="11"/>
    </row>
    <row r="3861" spans="5:10">
      <c r="E3861" s="11"/>
      <c r="G3861" s="12"/>
      <c r="H3861" s="12"/>
      <c r="J3861" s="11"/>
    </row>
    <row r="3862" spans="5:10">
      <c r="E3862" s="11"/>
      <c r="G3862" s="12"/>
      <c r="H3862" s="12"/>
      <c r="J3862" s="11"/>
    </row>
    <row r="3863" spans="5:10">
      <c r="E3863" s="11"/>
      <c r="G3863" s="12"/>
      <c r="H3863" s="12"/>
      <c r="J3863" s="11"/>
    </row>
    <row r="3864" spans="5:10">
      <c r="E3864" s="11"/>
      <c r="G3864" s="12"/>
      <c r="H3864" s="12"/>
      <c r="J3864" s="11"/>
    </row>
    <row r="3865" spans="5:10">
      <c r="E3865" s="11"/>
      <c r="G3865" s="12"/>
      <c r="H3865" s="12"/>
      <c r="J3865" s="11"/>
    </row>
    <row r="3866" spans="5:10">
      <c r="E3866" s="11"/>
      <c r="G3866" s="12"/>
      <c r="H3866" s="12"/>
      <c r="J3866" s="11"/>
    </row>
    <row r="3867" spans="5:10">
      <c r="E3867" s="11"/>
      <c r="G3867" s="12"/>
      <c r="H3867" s="12"/>
      <c r="J3867" s="11"/>
    </row>
    <row r="3868" spans="5:10">
      <c r="E3868" s="11"/>
      <c r="G3868" s="12"/>
      <c r="H3868" s="12"/>
      <c r="J3868" s="11"/>
    </row>
    <row r="3869" spans="5:10">
      <c r="E3869" s="11"/>
      <c r="G3869" s="12"/>
      <c r="H3869" s="12"/>
      <c r="J3869" s="11"/>
    </row>
    <row r="3870" spans="5:10">
      <c r="E3870" s="11"/>
      <c r="G3870" s="12"/>
      <c r="H3870" s="12"/>
      <c r="J3870" s="11"/>
    </row>
    <row r="3871" spans="5:10">
      <c r="E3871" s="11"/>
      <c r="G3871" s="12"/>
      <c r="H3871" s="12"/>
      <c r="J3871" s="11"/>
    </row>
    <row r="3872" spans="5:10">
      <c r="E3872" s="11"/>
      <c r="G3872" s="12"/>
      <c r="H3872" s="12"/>
      <c r="J3872" s="11"/>
    </row>
    <row r="3873" spans="5:10">
      <c r="E3873" s="11"/>
      <c r="G3873" s="12"/>
      <c r="H3873" s="12"/>
      <c r="J3873" s="11"/>
    </row>
    <row r="3874" spans="5:10">
      <c r="E3874" s="11"/>
      <c r="G3874" s="12"/>
      <c r="H3874" s="12"/>
      <c r="J3874" s="11"/>
    </row>
    <row r="3875" spans="5:10">
      <c r="E3875" s="11"/>
      <c r="G3875" s="12"/>
      <c r="H3875" s="12"/>
      <c r="J3875" s="11"/>
    </row>
    <row r="3876" spans="5:10">
      <c r="E3876" s="11"/>
      <c r="G3876" s="12"/>
      <c r="H3876" s="12"/>
      <c r="J3876" s="11"/>
    </row>
    <row r="3877" spans="5:10">
      <c r="E3877" s="11"/>
      <c r="G3877" s="12"/>
      <c r="H3877" s="12"/>
      <c r="J3877" s="11"/>
    </row>
    <row r="3878" spans="5:10">
      <c r="E3878" s="11"/>
      <c r="G3878" s="12"/>
      <c r="H3878" s="12"/>
      <c r="J3878" s="11"/>
    </row>
    <row r="3879" spans="5:10">
      <c r="E3879" s="11"/>
      <c r="G3879" s="12"/>
      <c r="H3879" s="12"/>
      <c r="J3879" s="11"/>
    </row>
    <row r="3880" spans="5:10">
      <c r="E3880" s="11"/>
      <c r="G3880" s="12"/>
      <c r="H3880" s="12"/>
      <c r="J3880" s="11"/>
    </row>
    <row r="3881" spans="5:10">
      <c r="E3881" s="11"/>
      <c r="G3881" s="12"/>
      <c r="H3881" s="12"/>
      <c r="J3881" s="11"/>
    </row>
    <row r="3882" spans="5:10">
      <c r="E3882" s="11"/>
      <c r="G3882" s="12"/>
      <c r="H3882" s="12"/>
      <c r="J3882" s="11"/>
    </row>
    <row r="3883" spans="5:10">
      <c r="E3883" s="11"/>
      <c r="G3883" s="12"/>
      <c r="H3883" s="12"/>
      <c r="J3883" s="11"/>
    </row>
    <row r="3884" spans="5:10">
      <c r="E3884" s="11"/>
      <c r="G3884" s="12"/>
      <c r="H3884" s="12"/>
      <c r="J3884" s="11"/>
    </row>
    <row r="3885" spans="5:10">
      <c r="E3885" s="11"/>
      <c r="G3885" s="12"/>
      <c r="H3885" s="12"/>
      <c r="J3885" s="11"/>
    </row>
    <row r="3886" spans="5:10">
      <c r="E3886" s="11"/>
      <c r="G3886" s="12"/>
      <c r="H3886" s="12"/>
      <c r="J3886" s="11"/>
    </row>
    <row r="3887" spans="5:10">
      <c r="E3887" s="11"/>
      <c r="G3887" s="12"/>
      <c r="H3887" s="12"/>
      <c r="J3887" s="11"/>
    </row>
    <row r="3888" spans="5:10">
      <c r="E3888" s="11"/>
      <c r="G3888" s="12"/>
      <c r="H3888" s="12"/>
      <c r="J3888" s="11"/>
    </row>
    <row r="3889" spans="5:10">
      <c r="E3889" s="11"/>
      <c r="G3889" s="12"/>
      <c r="H3889" s="12"/>
      <c r="J3889" s="11"/>
    </row>
    <row r="3890" spans="5:10">
      <c r="E3890" s="11"/>
      <c r="G3890" s="12"/>
      <c r="H3890" s="12"/>
      <c r="J3890" s="11"/>
    </row>
    <row r="3891" spans="5:10">
      <c r="E3891" s="11"/>
      <c r="G3891" s="12"/>
      <c r="H3891" s="12"/>
      <c r="J3891" s="11"/>
    </row>
    <row r="3892" spans="5:10">
      <c r="E3892" s="11"/>
      <c r="G3892" s="12"/>
      <c r="H3892" s="12"/>
      <c r="J3892" s="11"/>
    </row>
    <row r="3893" spans="5:10">
      <c r="E3893" s="11"/>
      <c r="G3893" s="12"/>
      <c r="H3893" s="12"/>
      <c r="J3893" s="11"/>
    </row>
    <row r="3894" spans="5:10">
      <c r="E3894" s="11"/>
      <c r="G3894" s="12"/>
      <c r="H3894" s="12"/>
      <c r="J3894" s="11"/>
    </row>
    <row r="3895" spans="5:10">
      <c r="E3895" s="11"/>
      <c r="G3895" s="12"/>
      <c r="H3895" s="12"/>
      <c r="J3895" s="11"/>
    </row>
    <row r="3896" spans="5:10">
      <c r="E3896" s="11"/>
      <c r="G3896" s="12"/>
      <c r="H3896" s="12"/>
      <c r="J3896" s="11"/>
    </row>
    <row r="3897" spans="5:10">
      <c r="E3897" s="11"/>
      <c r="G3897" s="12"/>
      <c r="H3897" s="12"/>
      <c r="J3897" s="11"/>
    </row>
    <row r="3898" spans="5:10">
      <c r="E3898" s="11"/>
      <c r="G3898" s="12"/>
      <c r="H3898" s="12"/>
      <c r="J3898" s="11"/>
    </row>
    <row r="3899" spans="5:10">
      <c r="E3899" s="11"/>
      <c r="G3899" s="12"/>
      <c r="H3899" s="12"/>
      <c r="J3899" s="11"/>
    </row>
    <row r="3900" spans="5:10">
      <c r="E3900" s="11"/>
      <c r="G3900" s="12"/>
      <c r="H3900" s="12"/>
      <c r="J3900" s="11"/>
    </row>
    <row r="3901" spans="5:10">
      <c r="E3901" s="11"/>
      <c r="G3901" s="12"/>
      <c r="H3901" s="12"/>
      <c r="J3901" s="11"/>
    </row>
    <row r="3902" spans="5:10">
      <c r="E3902" s="11"/>
      <c r="G3902" s="12"/>
      <c r="H3902" s="12"/>
      <c r="J3902" s="11"/>
    </row>
    <row r="3903" spans="5:10">
      <c r="E3903" s="11"/>
      <c r="G3903" s="12"/>
      <c r="H3903" s="12"/>
      <c r="J3903" s="11"/>
    </row>
    <row r="3904" spans="5:10">
      <c r="E3904" s="11"/>
      <c r="G3904" s="12"/>
      <c r="H3904" s="12"/>
      <c r="J3904" s="11"/>
    </row>
    <row r="3905" spans="5:10">
      <c r="E3905" s="11"/>
      <c r="G3905" s="12"/>
      <c r="H3905" s="12"/>
      <c r="J3905" s="11"/>
    </row>
    <row r="3906" spans="5:10">
      <c r="E3906" s="11"/>
      <c r="G3906" s="12"/>
      <c r="H3906" s="12"/>
      <c r="J3906" s="11"/>
    </row>
    <row r="3907" spans="5:10">
      <c r="E3907" s="11"/>
      <c r="G3907" s="12"/>
      <c r="H3907" s="12"/>
      <c r="J3907" s="11"/>
    </row>
    <row r="3908" spans="5:10">
      <c r="E3908" s="11"/>
      <c r="G3908" s="12"/>
      <c r="H3908" s="12"/>
      <c r="J3908" s="11"/>
    </row>
    <row r="3909" spans="5:10">
      <c r="E3909" s="11"/>
      <c r="G3909" s="12"/>
      <c r="H3909" s="12"/>
      <c r="J3909" s="11"/>
    </row>
    <row r="3910" spans="5:10">
      <c r="E3910" s="11"/>
      <c r="G3910" s="12"/>
      <c r="H3910" s="12"/>
      <c r="J3910" s="11"/>
    </row>
    <row r="3911" spans="5:10">
      <c r="E3911" s="11"/>
      <c r="G3911" s="12"/>
      <c r="H3911" s="12"/>
      <c r="J3911" s="11"/>
    </row>
    <row r="3912" spans="5:10">
      <c r="E3912" s="11"/>
      <c r="G3912" s="12"/>
      <c r="H3912" s="12"/>
      <c r="J3912" s="11"/>
    </row>
    <row r="3913" spans="5:10">
      <c r="E3913" s="11"/>
      <c r="G3913" s="12"/>
      <c r="H3913" s="12"/>
      <c r="J3913" s="11"/>
    </row>
    <row r="3914" spans="5:10">
      <c r="E3914" s="11"/>
      <c r="G3914" s="12"/>
      <c r="H3914" s="12"/>
      <c r="J3914" s="11"/>
    </row>
    <row r="3915" spans="5:10">
      <c r="E3915" s="11"/>
      <c r="G3915" s="12"/>
      <c r="H3915" s="12"/>
      <c r="J3915" s="11"/>
    </row>
    <row r="3916" spans="5:10">
      <c r="E3916" s="11"/>
      <c r="G3916" s="12"/>
      <c r="H3916" s="12"/>
      <c r="J3916" s="11"/>
    </row>
    <row r="3917" spans="5:10">
      <c r="E3917" s="11"/>
      <c r="G3917" s="12"/>
      <c r="H3917" s="12"/>
      <c r="J3917" s="11"/>
    </row>
    <row r="3918" spans="5:10">
      <c r="E3918" s="11"/>
      <c r="G3918" s="12"/>
      <c r="H3918" s="12"/>
      <c r="J3918" s="11"/>
    </row>
    <row r="3919" spans="5:10">
      <c r="E3919" s="11"/>
      <c r="G3919" s="12"/>
      <c r="H3919" s="12"/>
      <c r="J3919" s="11"/>
    </row>
    <row r="3920" spans="5:10">
      <c r="E3920" s="11"/>
      <c r="G3920" s="12"/>
      <c r="H3920" s="12"/>
      <c r="J3920" s="11"/>
    </row>
    <row r="3921" spans="5:10">
      <c r="E3921" s="11"/>
      <c r="G3921" s="12"/>
      <c r="H3921" s="12"/>
      <c r="J3921" s="11"/>
    </row>
    <row r="3922" spans="5:10">
      <c r="E3922" s="11"/>
      <c r="G3922" s="12"/>
      <c r="H3922" s="12"/>
      <c r="J3922" s="11"/>
    </row>
    <row r="3923" spans="5:10">
      <c r="E3923" s="11"/>
      <c r="G3923" s="12"/>
      <c r="H3923" s="12"/>
      <c r="J3923" s="11"/>
    </row>
    <row r="3924" spans="5:10">
      <c r="E3924" s="11"/>
      <c r="G3924" s="12"/>
      <c r="H3924" s="12"/>
      <c r="J3924" s="11"/>
    </row>
    <row r="3925" spans="5:10">
      <c r="E3925" s="11"/>
      <c r="G3925" s="12"/>
      <c r="H3925" s="12"/>
      <c r="J3925" s="11"/>
    </row>
    <row r="3926" spans="5:10">
      <c r="E3926" s="11"/>
      <c r="G3926" s="12"/>
      <c r="H3926" s="12"/>
      <c r="J3926" s="11"/>
    </row>
    <row r="3927" spans="5:10">
      <c r="E3927" s="11"/>
      <c r="G3927" s="12"/>
      <c r="H3927" s="12"/>
      <c r="J3927" s="11"/>
    </row>
    <row r="3928" spans="5:10">
      <c r="E3928" s="11"/>
      <c r="G3928" s="12"/>
      <c r="H3928" s="12"/>
      <c r="J3928" s="11"/>
    </row>
    <row r="3929" spans="5:10">
      <c r="E3929" s="11"/>
      <c r="G3929" s="12"/>
      <c r="H3929" s="12"/>
      <c r="J3929" s="11"/>
    </row>
    <row r="3930" spans="5:10">
      <c r="E3930" s="11"/>
      <c r="G3930" s="12"/>
      <c r="H3930" s="12"/>
      <c r="J3930" s="11"/>
    </row>
    <row r="3931" spans="5:10">
      <c r="E3931" s="11"/>
      <c r="G3931" s="12"/>
      <c r="H3931" s="12"/>
      <c r="J3931" s="11"/>
    </row>
    <row r="3932" spans="5:10">
      <c r="E3932" s="11"/>
      <c r="G3932" s="12"/>
      <c r="H3932" s="12"/>
      <c r="J3932" s="11"/>
    </row>
    <row r="3933" spans="5:10">
      <c r="E3933" s="11"/>
      <c r="G3933" s="12"/>
      <c r="H3933" s="12"/>
      <c r="J3933" s="11"/>
    </row>
    <row r="3934" spans="5:10">
      <c r="E3934" s="11"/>
      <c r="G3934" s="12"/>
      <c r="H3934" s="12"/>
      <c r="J3934" s="11"/>
    </row>
    <row r="3935" spans="5:10">
      <c r="E3935" s="11"/>
      <c r="G3935" s="12"/>
      <c r="H3935" s="12"/>
      <c r="J3935" s="11"/>
    </row>
    <row r="3936" spans="5:10">
      <c r="E3936" s="11"/>
      <c r="G3936" s="12"/>
      <c r="H3936" s="12"/>
      <c r="J3936" s="11"/>
    </row>
    <row r="3937" spans="5:10">
      <c r="E3937" s="11"/>
      <c r="G3937" s="12"/>
      <c r="H3937" s="12"/>
      <c r="J3937" s="11"/>
    </row>
    <row r="3938" spans="5:10">
      <c r="E3938" s="11"/>
      <c r="G3938" s="12"/>
      <c r="H3938" s="12"/>
      <c r="J3938" s="11"/>
    </row>
    <row r="3939" spans="5:10">
      <c r="E3939" s="11"/>
      <c r="G3939" s="12"/>
      <c r="H3939" s="12"/>
      <c r="J3939" s="11"/>
    </row>
    <row r="3940" spans="5:10">
      <c r="E3940" s="11"/>
      <c r="G3940" s="12"/>
      <c r="H3940" s="12"/>
      <c r="J3940" s="11"/>
    </row>
    <row r="3941" spans="5:10">
      <c r="E3941" s="11"/>
      <c r="G3941" s="12"/>
      <c r="H3941" s="12"/>
      <c r="J3941" s="11"/>
    </row>
    <row r="3942" spans="5:10">
      <c r="E3942" s="11"/>
      <c r="G3942" s="12"/>
      <c r="H3942" s="12"/>
      <c r="J3942" s="11"/>
    </row>
    <row r="3943" spans="5:10">
      <c r="E3943" s="11"/>
      <c r="G3943" s="12"/>
      <c r="H3943" s="12"/>
      <c r="J3943" s="11"/>
    </row>
    <row r="3944" spans="5:10">
      <c r="E3944" s="11"/>
      <c r="G3944" s="12"/>
      <c r="H3944" s="12"/>
      <c r="J3944" s="11"/>
    </row>
    <row r="3945" spans="5:10">
      <c r="E3945" s="11"/>
      <c r="G3945" s="12"/>
      <c r="H3945" s="12"/>
      <c r="J3945" s="11"/>
    </row>
    <row r="3946" spans="5:10">
      <c r="E3946" s="11"/>
      <c r="G3946" s="12"/>
      <c r="H3946" s="12"/>
      <c r="J3946" s="11"/>
    </row>
    <row r="3947" spans="5:10">
      <c r="E3947" s="11"/>
      <c r="G3947" s="12"/>
      <c r="H3947" s="12"/>
      <c r="J3947" s="11"/>
    </row>
    <row r="3948" spans="5:10">
      <c r="E3948" s="11"/>
      <c r="G3948" s="12"/>
      <c r="H3948" s="12"/>
      <c r="J3948" s="11"/>
    </row>
    <row r="3949" spans="5:10">
      <c r="E3949" s="11"/>
      <c r="G3949" s="12"/>
      <c r="H3949" s="12"/>
      <c r="J3949" s="11"/>
    </row>
    <row r="3950" spans="5:10">
      <c r="E3950" s="11"/>
      <c r="G3950" s="12"/>
      <c r="H3950" s="12"/>
      <c r="J3950" s="11"/>
    </row>
    <row r="3951" spans="5:10">
      <c r="E3951" s="11"/>
      <c r="G3951" s="12"/>
      <c r="H3951" s="12"/>
      <c r="J3951" s="11"/>
    </row>
    <row r="3952" spans="5:10">
      <c r="E3952" s="11"/>
      <c r="G3952" s="12"/>
      <c r="H3952" s="12"/>
      <c r="J3952" s="11"/>
    </row>
    <row r="3953" spans="5:10">
      <c r="E3953" s="11"/>
      <c r="G3953" s="12"/>
      <c r="H3953" s="12"/>
      <c r="J3953" s="11"/>
    </row>
    <row r="3954" spans="5:10">
      <c r="E3954" s="11"/>
      <c r="G3954" s="12"/>
      <c r="H3954" s="12"/>
      <c r="J3954" s="11"/>
    </row>
    <row r="3955" spans="5:10">
      <c r="E3955" s="11"/>
      <c r="G3955" s="12"/>
      <c r="H3955" s="12"/>
      <c r="J3955" s="11"/>
    </row>
    <row r="3956" spans="5:10">
      <c r="E3956" s="11"/>
      <c r="G3956" s="12"/>
      <c r="H3956" s="12"/>
      <c r="J3956" s="11"/>
    </row>
    <row r="3957" spans="5:10">
      <c r="E3957" s="11"/>
      <c r="G3957" s="12"/>
      <c r="H3957" s="12"/>
      <c r="J3957" s="11"/>
    </row>
    <row r="3958" spans="5:10">
      <c r="E3958" s="11"/>
      <c r="G3958" s="12"/>
      <c r="H3958" s="12"/>
      <c r="J3958" s="11"/>
    </row>
    <row r="3959" spans="5:10">
      <c r="E3959" s="11"/>
      <c r="G3959" s="12"/>
      <c r="H3959" s="12"/>
      <c r="J3959" s="11"/>
    </row>
    <row r="3960" spans="5:10">
      <c r="E3960" s="11"/>
      <c r="G3960" s="12"/>
      <c r="H3960" s="12"/>
      <c r="J3960" s="11"/>
    </row>
    <row r="3961" spans="5:10">
      <c r="E3961" s="11"/>
      <c r="G3961" s="12"/>
      <c r="H3961" s="12"/>
      <c r="J3961" s="11"/>
    </row>
    <row r="3962" spans="5:10">
      <c r="E3962" s="11"/>
      <c r="G3962" s="12"/>
      <c r="H3962" s="12"/>
      <c r="J3962" s="11"/>
    </row>
    <row r="3963" spans="5:10">
      <c r="E3963" s="11"/>
      <c r="G3963" s="12"/>
      <c r="H3963" s="12"/>
      <c r="J3963" s="11"/>
    </row>
    <row r="3964" spans="5:10">
      <c r="E3964" s="11"/>
      <c r="G3964" s="12"/>
      <c r="H3964" s="12"/>
      <c r="J3964" s="11"/>
    </row>
    <row r="3965" spans="5:10">
      <c r="E3965" s="11"/>
      <c r="G3965" s="12"/>
      <c r="H3965" s="12"/>
      <c r="J3965" s="11"/>
    </row>
    <row r="3966" spans="5:10">
      <c r="E3966" s="11"/>
      <c r="G3966" s="12"/>
      <c r="H3966" s="12"/>
      <c r="J3966" s="11"/>
    </row>
    <row r="3967" spans="5:10">
      <c r="E3967" s="11"/>
      <c r="G3967" s="12"/>
      <c r="H3967" s="12"/>
      <c r="J3967" s="11"/>
    </row>
    <row r="3968" spans="5:10">
      <c r="E3968" s="11"/>
      <c r="G3968" s="12"/>
      <c r="H3968" s="12"/>
      <c r="J3968" s="11"/>
    </row>
    <row r="3969" spans="5:10">
      <c r="E3969" s="11"/>
      <c r="G3969" s="12"/>
      <c r="H3969" s="12"/>
      <c r="J3969" s="11"/>
    </row>
    <row r="3970" spans="5:10">
      <c r="E3970" s="11"/>
      <c r="G3970" s="12"/>
      <c r="H3970" s="12"/>
      <c r="J3970" s="11"/>
    </row>
    <row r="3971" spans="5:10">
      <c r="E3971" s="11"/>
      <c r="G3971" s="12"/>
      <c r="H3971" s="12"/>
      <c r="J3971" s="11"/>
    </row>
    <row r="3972" spans="5:10">
      <c r="E3972" s="11"/>
      <c r="G3972" s="12"/>
      <c r="H3972" s="12"/>
      <c r="J3972" s="11"/>
    </row>
    <row r="3973" spans="5:10">
      <c r="E3973" s="11"/>
      <c r="G3973" s="12"/>
      <c r="H3973" s="12"/>
      <c r="J3973" s="11"/>
    </row>
    <row r="3974" spans="5:10">
      <c r="E3974" s="11"/>
      <c r="G3974" s="12"/>
      <c r="H3974" s="12"/>
      <c r="J3974" s="11"/>
    </row>
    <row r="3975" spans="5:10">
      <c r="E3975" s="11"/>
      <c r="G3975" s="12"/>
      <c r="H3975" s="12"/>
      <c r="J3975" s="11"/>
    </row>
    <row r="3976" spans="5:10">
      <c r="E3976" s="11"/>
      <c r="G3976" s="12"/>
      <c r="H3976" s="12"/>
      <c r="J3976" s="11"/>
    </row>
    <row r="3977" spans="5:10">
      <c r="E3977" s="11"/>
      <c r="G3977" s="12"/>
      <c r="H3977" s="12"/>
      <c r="J3977" s="11"/>
    </row>
    <row r="3978" spans="5:10">
      <c r="E3978" s="11"/>
      <c r="G3978" s="12"/>
      <c r="H3978" s="12"/>
      <c r="J3978" s="11"/>
    </row>
    <row r="3979" spans="5:10">
      <c r="E3979" s="11"/>
      <c r="G3979" s="12"/>
      <c r="H3979" s="12"/>
      <c r="J3979" s="11"/>
    </row>
    <row r="3980" spans="5:10">
      <c r="E3980" s="11"/>
      <c r="G3980" s="12"/>
      <c r="H3980" s="12"/>
      <c r="J3980" s="11"/>
    </row>
    <row r="3981" spans="5:10">
      <c r="E3981" s="11"/>
      <c r="G3981" s="12"/>
      <c r="H3981" s="12"/>
      <c r="J3981" s="11"/>
    </row>
    <row r="3982" spans="5:10">
      <c r="E3982" s="11"/>
      <c r="G3982" s="12"/>
      <c r="H3982" s="12"/>
      <c r="J3982" s="11"/>
    </row>
    <row r="3983" spans="5:10">
      <c r="E3983" s="11"/>
      <c r="G3983" s="12"/>
      <c r="H3983" s="12"/>
      <c r="J3983" s="11"/>
    </row>
    <row r="3984" spans="5:10">
      <c r="E3984" s="11"/>
      <c r="G3984" s="12"/>
      <c r="H3984" s="12"/>
      <c r="J3984" s="11"/>
    </row>
    <row r="3985" spans="5:10">
      <c r="E3985" s="11"/>
      <c r="G3985" s="12"/>
      <c r="H3985" s="12"/>
      <c r="J3985" s="11"/>
    </row>
    <row r="3986" spans="5:10">
      <c r="E3986" s="11"/>
      <c r="G3986" s="12"/>
      <c r="H3986" s="12"/>
      <c r="J3986" s="11"/>
    </row>
    <row r="3987" spans="5:10">
      <c r="E3987" s="11"/>
      <c r="G3987" s="12"/>
      <c r="H3987" s="12"/>
      <c r="J3987" s="11"/>
    </row>
    <row r="3988" spans="5:10">
      <c r="E3988" s="11"/>
      <c r="G3988" s="12"/>
      <c r="H3988" s="12"/>
      <c r="J3988" s="11"/>
    </row>
    <row r="3989" spans="5:10">
      <c r="E3989" s="11"/>
      <c r="G3989" s="12"/>
      <c r="H3989" s="12"/>
      <c r="J3989" s="11"/>
    </row>
    <row r="3990" spans="5:10">
      <c r="E3990" s="11"/>
      <c r="G3990" s="12"/>
      <c r="H3990" s="12"/>
      <c r="J3990" s="11"/>
    </row>
    <row r="3991" spans="5:10">
      <c r="E3991" s="11"/>
      <c r="G3991" s="12"/>
      <c r="H3991" s="12"/>
      <c r="J3991" s="11"/>
    </row>
    <row r="3992" spans="5:10">
      <c r="E3992" s="11"/>
      <c r="G3992" s="12"/>
      <c r="H3992" s="12"/>
      <c r="J3992" s="11"/>
    </row>
    <row r="3993" spans="5:10">
      <c r="E3993" s="11"/>
      <c r="G3993" s="12"/>
      <c r="H3993" s="12"/>
      <c r="J3993" s="11"/>
    </row>
    <row r="3994" spans="5:10">
      <c r="E3994" s="11"/>
      <c r="G3994" s="12"/>
      <c r="H3994" s="12"/>
      <c r="J3994" s="11"/>
    </row>
    <row r="3995" spans="5:10">
      <c r="E3995" s="11"/>
      <c r="G3995" s="12"/>
      <c r="H3995" s="12"/>
      <c r="J3995" s="11"/>
    </row>
    <row r="3996" spans="5:10">
      <c r="E3996" s="11"/>
      <c r="G3996" s="12"/>
      <c r="H3996" s="12"/>
      <c r="J3996" s="11"/>
    </row>
    <row r="3997" spans="5:10">
      <c r="E3997" s="11"/>
      <c r="G3997" s="12"/>
      <c r="H3997" s="12"/>
      <c r="J3997" s="11"/>
    </row>
    <row r="3998" spans="5:10">
      <c r="E3998" s="11"/>
      <c r="G3998" s="12"/>
      <c r="H3998" s="12"/>
      <c r="J3998" s="11"/>
    </row>
    <row r="3999" spans="5:10">
      <c r="E3999" s="11"/>
      <c r="G3999" s="12"/>
      <c r="H3999" s="12"/>
      <c r="J3999" s="11"/>
    </row>
    <row r="4000" spans="5:10">
      <c r="E4000" s="11"/>
      <c r="G4000" s="12"/>
      <c r="H4000" s="12"/>
      <c r="J4000" s="11"/>
    </row>
    <row r="4001" spans="5:10">
      <c r="E4001" s="11"/>
      <c r="G4001" s="12"/>
      <c r="H4001" s="12"/>
      <c r="J4001" s="11"/>
    </row>
    <row r="4002" spans="5:10">
      <c r="E4002" s="11"/>
      <c r="G4002" s="12"/>
      <c r="H4002" s="12"/>
      <c r="J4002" s="11"/>
    </row>
    <row r="4003" spans="5:10">
      <c r="E4003" s="11"/>
      <c r="G4003" s="12"/>
      <c r="H4003" s="12"/>
      <c r="J4003" s="11"/>
    </row>
    <row r="4004" spans="5:10">
      <c r="E4004" s="11"/>
      <c r="G4004" s="12"/>
      <c r="H4004" s="12"/>
      <c r="J4004" s="11"/>
    </row>
    <row r="4005" spans="5:10">
      <c r="E4005" s="11"/>
      <c r="G4005" s="12"/>
      <c r="H4005" s="12"/>
      <c r="J4005" s="11"/>
    </row>
    <row r="4006" spans="5:10">
      <c r="E4006" s="11"/>
      <c r="G4006" s="12"/>
      <c r="H4006" s="12"/>
      <c r="J4006" s="11"/>
    </row>
    <row r="4007" spans="5:10">
      <c r="E4007" s="11"/>
      <c r="G4007" s="12"/>
      <c r="H4007" s="12"/>
      <c r="J4007" s="11"/>
    </row>
    <row r="4008" spans="5:10">
      <c r="E4008" s="11"/>
      <c r="G4008" s="12"/>
      <c r="H4008" s="12"/>
      <c r="J4008" s="11"/>
    </row>
    <row r="4009" spans="5:10">
      <c r="E4009" s="11"/>
      <c r="G4009" s="12"/>
      <c r="H4009" s="12"/>
      <c r="J4009" s="11"/>
    </row>
    <row r="4010" spans="5:10">
      <c r="E4010" s="11"/>
      <c r="G4010" s="12"/>
      <c r="H4010" s="12"/>
      <c r="J4010" s="11"/>
    </row>
    <row r="4011" spans="5:10">
      <c r="E4011" s="11"/>
      <c r="G4011" s="12"/>
      <c r="H4011" s="12"/>
      <c r="J4011" s="11"/>
    </row>
    <row r="4012" spans="5:10">
      <c r="E4012" s="11"/>
      <c r="G4012" s="12"/>
      <c r="H4012" s="12"/>
      <c r="J4012" s="11"/>
    </row>
    <row r="4013" spans="5:10">
      <c r="E4013" s="11"/>
      <c r="G4013" s="12"/>
      <c r="H4013" s="12"/>
      <c r="J4013" s="11"/>
    </row>
    <row r="4014" spans="5:10">
      <c r="E4014" s="11"/>
      <c r="G4014" s="12"/>
      <c r="H4014" s="12"/>
      <c r="J4014" s="11"/>
    </row>
    <row r="4015" spans="5:10">
      <c r="E4015" s="11"/>
      <c r="G4015" s="12"/>
      <c r="H4015" s="12"/>
      <c r="J4015" s="11"/>
    </row>
    <row r="4016" spans="5:10">
      <c r="E4016" s="11"/>
      <c r="G4016" s="12"/>
      <c r="H4016" s="12"/>
      <c r="J4016" s="11"/>
    </row>
    <row r="4017" spans="5:10">
      <c r="E4017" s="11"/>
      <c r="G4017" s="12"/>
      <c r="H4017" s="12"/>
      <c r="J4017" s="11"/>
    </row>
    <row r="4018" spans="5:10">
      <c r="E4018" s="11"/>
      <c r="G4018" s="12"/>
      <c r="H4018" s="12"/>
      <c r="J4018" s="11"/>
    </row>
    <row r="4019" spans="5:10">
      <c r="E4019" s="11"/>
      <c r="G4019" s="12"/>
      <c r="H4019" s="12"/>
      <c r="J4019" s="11"/>
    </row>
    <row r="4020" spans="5:10">
      <c r="E4020" s="11"/>
      <c r="G4020" s="12"/>
      <c r="H4020" s="12"/>
      <c r="J4020" s="11"/>
    </row>
    <row r="4021" spans="5:10">
      <c r="E4021" s="11"/>
      <c r="G4021" s="12"/>
      <c r="H4021" s="12"/>
      <c r="J4021" s="11"/>
    </row>
    <row r="4022" spans="5:10">
      <c r="E4022" s="11"/>
      <c r="G4022" s="12"/>
      <c r="H4022" s="12"/>
      <c r="J4022" s="11"/>
    </row>
    <row r="4023" spans="5:10">
      <c r="E4023" s="11"/>
      <c r="G4023" s="12"/>
      <c r="H4023" s="12"/>
      <c r="J4023" s="11"/>
    </row>
    <row r="4024" spans="5:10">
      <c r="E4024" s="11"/>
      <c r="G4024" s="12"/>
      <c r="H4024" s="12"/>
      <c r="J4024" s="11"/>
    </row>
    <row r="4025" spans="5:10">
      <c r="E4025" s="11"/>
      <c r="G4025" s="12"/>
      <c r="H4025" s="12"/>
      <c r="J4025" s="11"/>
    </row>
    <row r="4026" spans="5:10">
      <c r="E4026" s="11"/>
      <c r="G4026" s="12"/>
      <c r="H4026" s="12"/>
      <c r="J4026" s="11"/>
    </row>
    <row r="4027" spans="5:10">
      <c r="E4027" s="11"/>
      <c r="G4027" s="12"/>
      <c r="H4027" s="12"/>
      <c r="J4027" s="11"/>
    </row>
    <row r="4028" spans="5:10">
      <c r="E4028" s="11"/>
      <c r="G4028" s="12"/>
      <c r="H4028" s="12"/>
      <c r="J4028" s="11"/>
    </row>
    <row r="4029" spans="5:10">
      <c r="E4029" s="11"/>
      <c r="G4029" s="12"/>
      <c r="H4029" s="12"/>
      <c r="J4029" s="11"/>
    </row>
    <row r="4030" spans="5:10">
      <c r="E4030" s="11"/>
      <c r="G4030" s="12"/>
      <c r="H4030" s="12"/>
      <c r="J4030" s="11"/>
    </row>
    <row r="4031" spans="5:10">
      <c r="E4031" s="11"/>
      <c r="G4031" s="12"/>
      <c r="H4031" s="12"/>
      <c r="J4031" s="11"/>
    </row>
    <row r="4032" spans="5:10">
      <c r="E4032" s="11"/>
      <c r="G4032" s="12"/>
      <c r="H4032" s="12"/>
      <c r="J4032" s="11"/>
    </row>
    <row r="4033" spans="5:10">
      <c r="E4033" s="11"/>
      <c r="G4033" s="12"/>
      <c r="H4033" s="12"/>
      <c r="J4033" s="11"/>
    </row>
    <row r="4034" spans="5:10">
      <c r="E4034" s="11"/>
      <c r="G4034" s="12"/>
      <c r="H4034" s="12"/>
      <c r="J4034" s="11"/>
    </row>
    <row r="4035" spans="5:10">
      <c r="E4035" s="11"/>
      <c r="G4035" s="12"/>
      <c r="H4035" s="12"/>
      <c r="J4035" s="11"/>
    </row>
    <row r="4036" spans="5:10">
      <c r="E4036" s="11"/>
      <c r="G4036" s="12"/>
      <c r="H4036" s="12"/>
      <c r="J4036" s="11"/>
    </row>
    <row r="4037" spans="5:10">
      <c r="E4037" s="11"/>
      <c r="G4037" s="12"/>
      <c r="H4037" s="12"/>
      <c r="J4037" s="11"/>
    </row>
    <row r="4038" spans="5:10">
      <c r="E4038" s="11"/>
      <c r="G4038" s="12"/>
      <c r="H4038" s="12"/>
      <c r="J4038" s="11"/>
    </row>
    <row r="4039" spans="5:10">
      <c r="E4039" s="11"/>
      <c r="G4039" s="12"/>
      <c r="H4039" s="12"/>
      <c r="J4039" s="11"/>
    </row>
    <row r="4040" spans="5:10">
      <c r="E4040" s="11"/>
      <c r="G4040" s="12"/>
      <c r="H4040" s="12"/>
      <c r="J4040" s="11"/>
    </row>
    <row r="4041" spans="5:10">
      <c r="E4041" s="11"/>
      <c r="G4041" s="12"/>
      <c r="H4041" s="12"/>
      <c r="J4041" s="11"/>
    </row>
    <row r="4042" spans="5:10">
      <c r="E4042" s="11"/>
      <c r="G4042" s="12"/>
      <c r="H4042" s="12"/>
      <c r="J4042" s="11"/>
    </row>
    <row r="4043" spans="5:10">
      <c r="E4043" s="11"/>
      <c r="G4043" s="12"/>
      <c r="H4043" s="12"/>
      <c r="J4043" s="11"/>
    </row>
    <row r="4044" spans="5:10">
      <c r="E4044" s="11"/>
      <c r="G4044" s="12"/>
      <c r="H4044" s="12"/>
      <c r="J4044" s="11"/>
    </row>
    <row r="4045" spans="5:10">
      <c r="E4045" s="11"/>
      <c r="G4045" s="12"/>
      <c r="H4045" s="12"/>
      <c r="J4045" s="11"/>
    </row>
    <row r="4046" spans="5:10">
      <c r="E4046" s="11"/>
      <c r="G4046" s="12"/>
      <c r="H4046" s="12"/>
      <c r="J4046" s="11"/>
    </row>
    <row r="4047" spans="5:10">
      <c r="E4047" s="11"/>
      <c r="G4047" s="12"/>
      <c r="H4047" s="12"/>
      <c r="J4047" s="11"/>
    </row>
    <row r="4048" spans="5:10">
      <c r="E4048" s="11"/>
      <c r="G4048" s="12"/>
      <c r="H4048" s="12"/>
      <c r="J4048" s="11"/>
    </row>
    <row r="4049" spans="5:10">
      <c r="E4049" s="11"/>
      <c r="G4049" s="12"/>
      <c r="H4049" s="12"/>
      <c r="J4049" s="11"/>
    </row>
    <row r="4050" spans="5:10">
      <c r="E4050" s="11"/>
      <c r="G4050" s="12"/>
      <c r="H4050" s="12"/>
      <c r="J4050" s="11"/>
    </row>
    <row r="4051" spans="5:10">
      <c r="E4051" s="11"/>
      <c r="G4051" s="12"/>
      <c r="H4051" s="12"/>
      <c r="J4051" s="11"/>
    </row>
    <row r="4052" spans="5:10">
      <c r="E4052" s="11"/>
      <c r="G4052" s="12"/>
      <c r="H4052" s="12"/>
      <c r="J4052" s="11"/>
    </row>
    <row r="4053" spans="5:10">
      <c r="E4053" s="11"/>
      <c r="G4053" s="12"/>
      <c r="H4053" s="12"/>
      <c r="J4053" s="11"/>
    </row>
    <row r="4054" spans="5:10">
      <c r="E4054" s="11"/>
      <c r="G4054" s="12"/>
      <c r="H4054" s="12"/>
      <c r="J4054" s="11"/>
    </row>
    <row r="4055" spans="5:10">
      <c r="E4055" s="11"/>
      <c r="G4055" s="12"/>
      <c r="H4055" s="12"/>
      <c r="J4055" s="11"/>
    </row>
    <row r="4056" spans="5:10">
      <c r="E4056" s="11"/>
      <c r="G4056" s="12"/>
      <c r="H4056" s="12"/>
      <c r="J4056" s="11"/>
    </row>
    <row r="4057" spans="5:10">
      <c r="E4057" s="11"/>
      <c r="G4057" s="12"/>
      <c r="H4057" s="12"/>
      <c r="J4057" s="11"/>
    </row>
    <row r="4058" spans="5:10">
      <c r="E4058" s="11"/>
      <c r="G4058" s="12"/>
      <c r="H4058" s="12"/>
      <c r="J4058" s="11"/>
    </row>
    <row r="4059" spans="5:10">
      <c r="E4059" s="11"/>
      <c r="G4059" s="12"/>
      <c r="H4059" s="12"/>
      <c r="J4059" s="11"/>
    </row>
    <row r="4060" spans="5:10">
      <c r="E4060" s="11"/>
      <c r="G4060" s="12"/>
      <c r="H4060" s="12"/>
      <c r="J4060" s="11"/>
    </row>
    <row r="4061" spans="5:10">
      <c r="E4061" s="11"/>
      <c r="G4061" s="12"/>
      <c r="H4061" s="12"/>
      <c r="J4061" s="11"/>
    </row>
    <row r="4062" spans="5:10">
      <c r="E4062" s="11"/>
      <c r="G4062" s="12"/>
      <c r="H4062" s="12"/>
      <c r="J4062" s="11"/>
    </row>
    <row r="4063" spans="5:10">
      <c r="E4063" s="11"/>
      <c r="G4063" s="12"/>
      <c r="H4063" s="12"/>
      <c r="J4063" s="11"/>
    </row>
    <row r="4064" spans="5:10">
      <c r="E4064" s="11"/>
      <c r="G4064" s="12"/>
      <c r="H4064" s="12"/>
      <c r="J4064" s="11"/>
    </row>
    <row r="4065" spans="5:10">
      <c r="E4065" s="11"/>
      <c r="G4065" s="12"/>
      <c r="H4065" s="12"/>
      <c r="J4065" s="11"/>
    </row>
    <row r="4066" spans="5:10">
      <c r="E4066" s="11"/>
      <c r="G4066" s="12"/>
      <c r="H4066" s="12"/>
      <c r="J4066" s="11"/>
    </row>
    <row r="4067" spans="5:10">
      <c r="E4067" s="11"/>
      <c r="G4067" s="12"/>
      <c r="H4067" s="12"/>
      <c r="J4067" s="11"/>
    </row>
    <row r="4068" spans="5:10">
      <c r="E4068" s="11"/>
      <c r="G4068" s="12"/>
      <c r="H4068" s="12"/>
      <c r="J4068" s="11"/>
    </row>
    <row r="4069" spans="5:10">
      <c r="E4069" s="11"/>
      <c r="G4069" s="12"/>
      <c r="H4069" s="12"/>
      <c r="J4069" s="11"/>
    </row>
    <row r="4070" spans="5:10">
      <c r="E4070" s="11"/>
      <c r="G4070" s="12"/>
      <c r="H4070" s="12"/>
      <c r="J4070" s="11"/>
    </row>
    <row r="4071" spans="5:10">
      <c r="E4071" s="11"/>
      <c r="G4071" s="12"/>
      <c r="H4071" s="12"/>
      <c r="J4071" s="11"/>
    </row>
    <row r="4072" spans="5:10">
      <c r="E4072" s="11"/>
      <c r="G4072" s="12"/>
      <c r="H4072" s="12"/>
      <c r="J4072" s="11"/>
    </row>
    <row r="4073" spans="5:10">
      <c r="E4073" s="11"/>
      <c r="G4073" s="12"/>
      <c r="H4073" s="12"/>
      <c r="J4073" s="11"/>
    </row>
    <row r="4074" spans="5:10">
      <c r="E4074" s="11"/>
      <c r="G4074" s="12"/>
      <c r="H4074" s="12"/>
      <c r="J4074" s="11"/>
    </row>
    <row r="4075" spans="5:10">
      <c r="E4075" s="11"/>
      <c r="G4075" s="12"/>
      <c r="H4075" s="12"/>
      <c r="J4075" s="11"/>
    </row>
    <row r="4076" spans="5:10">
      <c r="E4076" s="11"/>
      <c r="G4076" s="12"/>
      <c r="H4076" s="12"/>
      <c r="J4076" s="11"/>
    </row>
    <row r="4077" spans="5:10">
      <c r="E4077" s="11"/>
      <c r="G4077" s="12"/>
      <c r="H4077" s="12"/>
      <c r="J4077" s="11"/>
    </row>
    <row r="4078" spans="5:10">
      <c r="E4078" s="11"/>
      <c r="G4078" s="12"/>
      <c r="H4078" s="12"/>
      <c r="J4078" s="11"/>
    </row>
    <row r="4079" spans="5:10">
      <c r="E4079" s="11"/>
      <c r="G4079" s="12"/>
      <c r="H4079" s="12"/>
      <c r="J4079" s="11"/>
    </row>
    <row r="4080" spans="5:10">
      <c r="E4080" s="11"/>
      <c r="G4080" s="12"/>
      <c r="H4080" s="12"/>
      <c r="J4080" s="11"/>
    </row>
    <row r="4081" spans="5:10">
      <c r="E4081" s="11"/>
      <c r="G4081" s="12"/>
      <c r="H4081" s="12"/>
      <c r="J4081" s="11"/>
    </row>
    <row r="4082" spans="5:10">
      <c r="E4082" s="11"/>
      <c r="G4082" s="12"/>
      <c r="H4082" s="12"/>
      <c r="J4082" s="11"/>
    </row>
    <row r="4083" spans="5:10">
      <c r="E4083" s="11"/>
      <c r="G4083" s="12"/>
      <c r="H4083" s="12"/>
      <c r="J4083" s="11"/>
    </row>
    <row r="4084" spans="5:10">
      <c r="E4084" s="11"/>
      <c r="G4084" s="12"/>
      <c r="H4084" s="12"/>
      <c r="J4084" s="11"/>
    </row>
    <row r="4085" spans="5:10">
      <c r="E4085" s="11"/>
      <c r="G4085" s="12"/>
      <c r="H4085" s="12"/>
      <c r="J4085" s="11"/>
    </row>
    <row r="4086" spans="5:10">
      <c r="E4086" s="11"/>
      <c r="G4086" s="12"/>
      <c r="H4086" s="12"/>
      <c r="J4086" s="11"/>
    </row>
    <row r="4087" spans="5:10">
      <c r="E4087" s="11"/>
      <c r="G4087" s="12"/>
      <c r="H4087" s="12"/>
      <c r="J4087" s="11"/>
    </row>
    <row r="4088" spans="5:10">
      <c r="E4088" s="11"/>
      <c r="G4088" s="12"/>
      <c r="H4088" s="12"/>
      <c r="J4088" s="11"/>
    </row>
    <row r="4089" spans="5:10">
      <c r="E4089" s="11"/>
      <c r="G4089" s="12"/>
      <c r="H4089" s="12"/>
      <c r="J4089" s="11"/>
    </row>
    <row r="4090" spans="5:10">
      <c r="E4090" s="11"/>
      <c r="G4090" s="12"/>
      <c r="H4090" s="12"/>
      <c r="J4090" s="11"/>
    </row>
    <row r="4091" spans="5:10">
      <c r="E4091" s="11"/>
      <c r="G4091" s="12"/>
      <c r="H4091" s="12"/>
      <c r="J4091" s="11"/>
    </row>
    <row r="4092" spans="5:10">
      <c r="E4092" s="11"/>
      <c r="G4092" s="12"/>
      <c r="H4092" s="12"/>
      <c r="J4092" s="11"/>
    </row>
    <row r="4093" spans="5:10">
      <c r="E4093" s="11"/>
      <c r="G4093" s="12"/>
      <c r="H4093" s="12"/>
      <c r="J4093" s="11"/>
    </row>
    <row r="4094" spans="5:10">
      <c r="E4094" s="11"/>
      <c r="G4094" s="12"/>
      <c r="H4094" s="12"/>
      <c r="J4094" s="11"/>
    </row>
    <row r="4095" spans="5:10">
      <c r="E4095" s="11"/>
      <c r="G4095" s="12"/>
      <c r="H4095" s="12"/>
      <c r="J4095" s="11"/>
    </row>
    <row r="4096" spans="5:10">
      <c r="E4096" s="11"/>
      <c r="G4096" s="12"/>
      <c r="H4096" s="12"/>
      <c r="J4096" s="11"/>
    </row>
    <row r="4097" spans="5:10">
      <c r="E4097" s="11"/>
      <c r="G4097" s="12"/>
      <c r="H4097" s="12"/>
      <c r="J4097" s="11"/>
    </row>
    <row r="4098" spans="5:10">
      <c r="E4098" s="11"/>
      <c r="G4098" s="12"/>
      <c r="H4098" s="12"/>
      <c r="J4098" s="11"/>
    </row>
    <row r="4099" spans="5:10">
      <c r="E4099" s="11"/>
      <c r="G4099" s="12"/>
      <c r="H4099" s="12"/>
      <c r="J4099" s="11"/>
    </row>
    <row r="4100" spans="5:10">
      <c r="E4100" s="11"/>
      <c r="G4100" s="12"/>
      <c r="H4100" s="12"/>
      <c r="J4100" s="11"/>
    </row>
    <row r="4101" spans="5:10">
      <c r="E4101" s="11"/>
      <c r="G4101" s="12"/>
      <c r="H4101" s="12"/>
      <c r="J4101" s="11"/>
    </row>
    <row r="4102" spans="5:10">
      <c r="E4102" s="11"/>
      <c r="G4102" s="12"/>
      <c r="H4102" s="12"/>
      <c r="J4102" s="11"/>
    </row>
    <row r="4103" spans="5:10">
      <c r="E4103" s="11"/>
      <c r="G4103" s="12"/>
      <c r="H4103" s="12"/>
      <c r="J4103" s="11"/>
    </row>
    <row r="4104" spans="5:10">
      <c r="E4104" s="11"/>
      <c r="G4104" s="12"/>
      <c r="H4104" s="12"/>
      <c r="J4104" s="11"/>
    </row>
    <row r="4105" spans="5:10">
      <c r="E4105" s="11"/>
      <c r="G4105" s="12"/>
      <c r="H4105" s="12"/>
      <c r="J4105" s="11"/>
    </row>
    <row r="4106" spans="5:10">
      <c r="E4106" s="11"/>
      <c r="G4106" s="12"/>
      <c r="H4106" s="12"/>
      <c r="J4106" s="11"/>
    </row>
    <row r="4107" spans="5:10">
      <c r="E4107" s="11"/>
      <c r="G4107" s="12"/>
      <c r="H4107" s="12"/>
      <c r="J4107" s="11"/>
    </row>
    <row r="4108" spans="5:10">
      <c r="E4108" s="11"/>
      <c r="G4108" s="12"/>
      <c r="H4108" s="12"/>
      <c r="J4108" s="11"/>
    </row>
    <row r="4109" spans="5:10">
      <c r="E4109" s="11"/>
      <c r="G4109" s="12"/>
      <c r="H4109" s="12"/>
      <c r="J4109" s="11"/>
    </row>
    <row r="4110" spans="5:10">
      <c r="E4110" s="11"/>
      <c r="G4110" s="12"/>
      <c r="H4110" s="12"/>
      <c r="J4110" s="11"/>
    </row>
    <row r="4111" spans="5:10">
      <c r="E4111" s="11"/>
      <c r="G4111" s="12"/>
      <c r="H4111" s="12"/>
      <c r="J4111" s="11"/>
    </row>
    <row r="4112" spans="5:10">
      <c r="E4112" s="11"/>
      <c r="G4112" s="12"/>
      <c r="H4112" s="12"/>
      <c r="J4112" s="11"/>
    </row>
    <row r="4113" spans="5:10">
      <c r="E4113" s="11"/>
      <c r="G4113" s="12"/>
      <c r="H4113" s="12"/>
      <c r="J4113" s="11"/>
    </row>
    <row r="4114" spans="5:10">
      <c r="E4114" s="11"/>
      <c r="G4114" s="12"/>
      <c r="H4114" s="12"/>
      <c r="J4114" s="11"/>
    </row>
    <row r="4115" spans="5:10">
      <c r="E4115" s="11"/>
      <c r="G4115" s="12"/>
      <c r="H4115" s="12"/>
      <c r="J4115" s="11"/>
    </row>
    <row r="4116" spans="5:10">
      <c r="E4116" s="11"/>
      <c r="G4116" s="12"/>
      <c r="H4116" s="12"/>
      <c r="J4116" s="11"/>
    </row>
    <row r="4117" spans="5:10">
      <c r="E4117" s="11"/>
      <c r="G4117" s="12"/>
      <c r="H4117" s="12"/>
      <c r="J4117" s="11"/>
    </row>
    <row r="4118" spans="5:10">
      <c r="E4118" s="11"/>
      <c r="G4118" s="12"/>
      <c r="H4118" s="12"/>
      <c r="J4118" s="11"/>
    </row>
    <row r="4119" spans="5:10">
      <c r="E4119" s="11"/>
      <c r="G4119" s="12"/>
      <c r="H4119" s="12"/>
      <c r="J4119" s="11"/>
    </row>
    <row r="4120" spans="5:10">
      <c r="E4120" s="11"/>
      <c r="G4120" s="12"/>
      <c r="H4120" s="12"/>
      <c r="J4120" s="11"/>
    </row>
    <row r="4121" spans="5:10">
      <c r="E4121" s="11"/>
      <c r="G4121" s="12"/>
      <c r="H4121" s="12"/>
      <c r="J4121" s="11"/>
    </row>
    <row r="4122" spans="5:10">
      <c r="E4122" s="11"/>
      <c r="G4122" s="12"/>
      <c r="H4122" s="12"/>
      <c r="J4122" s="11"/>
    </row>
    <row r="4123" spans="5:10">
      <c r="E4123" s="11"/>
      <c r="G4123" s="12"/>
      <c r="H4123" s="12"/>
      <c r="J4123" s="11"/>
    </row>
    <row r="4124" spans="5:10">
      <c r="E4124" s="11"/>
      <c r="G4124" s="12"/>
      <c r="H4124" s="12"/>
      <c r="J4124" s="11"/>
    </row>
    <row r="4125" spans="5:10">
      <c r="E4125" s="11"/>
      <c r="G4125" s="12"/>
      <c r="H4125" s="12"/>
      <c r="J4125" s="11"/>
    </row>
    <row r="4126" spans="5:10">
      <c r="E4126" s="11"/>
      <c r="G4126" s="12"/>
      <c r="H4126" s="12"/>
      <c r="J4126" s="11"/>
    </row>
    <row r="4127" spans="5:10">
      <c r="E4127" s="11"/>
      <c r="G4127" s="12"/>
      <c r="H4127" s="12"/>
      <c r="J4127" s="11"/>
    </row>
    <row r="4128" spans="5:10">
      <c r="E4128" s="11"/>
      <c r="G4128" s="12"/>
      <c r="H4128" s="12"/>
      <c r="J4128" s="11"/>
    </row>
    <row r="4129" spans="5:10">
      <c r="E4129" s="11"/>
      <c r="G4129" s="12"/>
      <c r="H4129" s="12"/>
      <c r="J4129" s="11"/>
    </row>
    <row r="4130" spans="5:10">
      <c r="E4130" s="11"/>
      <c r="G4130" s="12"/>
      <c r="H4130" s="12"/>
      <c r="J4130" s="11"/>
    </row>
    <row r="4131" spans="5:10">
      <c r="E4131" s="11"/>
      <c r="G4131" s="12"/>
      <c r="H4131" s="12"/>
      <c r="J4131" s="11"/>
    </row>
    <row r="4132" spans="5:10">
      <c r="E4132" s="11"/>
      <c r="G4132" s="12"/>
      <c r="H4132" s="12"/>
      <c r="J4132" s="11"/>
    </row>
    <row r="4133" spans="5:10">
      <c r="E4133" s="11"/>
      <c r="G4133" s="12"/>
      <c r="H4133" s="12"/>
      <c r="J4133" s="11"/>
    </row>
    <row r="4134" spans="5:10">
      <c r="E4134" s="11"/>
      <c r="G4134" s="12"/>
      <c r="H4134" s="12"/>
      <c r="J4134" s="11"/>
    </row>
    <row r="4135" spans="5:10">
      <c r="E4135" s="11"/>
      <c r="G4135" s="12"/>
      <c r="H4135" s="12"/>
      <c r="J4135" s="11"/>
    </row>
    <row r="4136" spans="5:10">
      <c r="E4136" s="11"/>
      <c r="G4136" s="12"/>
      <c r="H4136" s="12"/>
      <c r="J4136" s="11"/>
    </row>
    <row r="4137" spans="5:10">
      <c r="E4137" s="11"/>
      <c r="G4137" s="12"/>
      <c r="H4137" s="12"/>
      <c r="J4137" s="11"/>
    </row>
    <row r="4138" spans="5:10">
      <c r="E4138" s="11"/>
      <c r="G4138" s="12"/>
      <c r="H4138" s="12"/>
      <c r="J4138" s="11"/>
    </row>
    <row r="4139" spans="5:10">
      <c r="E4139" s="11"/>
      <c r="G4139" s="12"/>
      <c r="H4139" s="12"/>
      <c r="J4139" s="11"/>
    </row>
    <row r="4140" spans="5:10">
      <c r="E4140" s="11"/>
      <c r="G4140" s="12"/>
      <c r="H4140" s="12"/>
      <c r="J4140" s="11"/>
    </row>
    <row r="4141" spans="5:10">
      <c r="E4141" s="11"/>
      <c r="G4141" s="12"/>
      <c r="H4141" s="12"/>
      <c r="J4141" s="11"/>
    </row>
    <row r="4142" spans="5:10">
      <c r="E4142" s="11"/>
      <c r="G4142" s="12"/>
      <c r="H4142" s="12"/>
      <c r="J4142" s="11"/>
    </row>
    <row r="4143" spans="5:10">
      <c r="E4143" s="11"/>
      <c r="G4143" s="12"/>
      <c r="H4143" s="12"/>
      <c r="J4143" s="11"/>
    </row>
    <row r="4144" spans="5:10">
      <c r="E4144" s="11"/>
      <c r="G4144" s="12"/>
      <c r="H4144" s="12"/>
      <c r="J4144" s="11"/>
    </row>
    <row r="4145" spans="5:10">
      <c r="E4145" s="11"/>
      <c r="G4145" s="12"/>
      <c r="H4145" s="12"/>
      <c r="J4145" s="11"/>
    </row>
    <row r="4146" spans="5:10">
      <c r="E4146" s="11"/>
      <c r="G4146" s="12"/>
      <c r="H4146" s="12"/>
      <c r="J4146" s="11"/>
    </row>
    <row r="4147" spans="5:10">
      <c r="E4147" s="11"/>
      <c r="G4147" s="12"/>
      <c r="H4147" s="12"/>
      <c r="J4147" s="11"/>
    </row>
    <row r="4148" spans="5:10">
      <c r="E4148" s="11"/>
      <c r="G4148" s="12"/>
      <c r="H4148" s="12"/>
      <c r="J4148" s="11"/>
    </row>
    <row r="4149" spans="5:10">
      <c r="E4149" s="11"/>
      <c r="G4149" s="12"/>
      <c r="H4149" s="12"/>
      <c r="J4149" s="11"/>
    </row>
    <row r="4150" spans="5:10">
      <c r="E4150" s="11"/>
      <c r="G4150" s="12"/>
      <c r="H4150" s="12"/>
      <c r="J4150" s="11"/>
    </row>
    <row r="4151" spans="5:10">
      <c r="E4151" s="11"/>
      <c r="G4151" s="12"/>
      <c r="H4151" s="12"/>
      <c r="J4151" s="11"/>
    </row>
    <row r="4152" spans="5:10">
      <c r="E4152" s="11"/>
      <c r="G4152" s="12"/>
      <c r="H4152" s="12"/>
      <c r="J4152" s="11"/>
    </row>
    <row r="4153" spans="5:10">
      <c r="E4153" s="11"/>
      <c r="G4153" s="12"/>
      <c r="H4153" s="12"/>
      <c r="J4153" s="11"/>
    </row>
    <row r="4154" spans="5:10">
      <c r="E4154" s="11"/>
      <c r="G4154" s="12"/>
      <c r="H4154" s="12"/>
      <c r="J4154" s="11"/>
    </row>
    <row r="4155" spans="5:10">
      <c r="E4155" s="11"/>
      <c r="G4155" s="12"/>
      <c r="H4155" s="12"/>
      <c r="J4155" s="11"/>
    </row>
    <row r="4156" spans="5:10">
      <c r="E4156" s="11"/>
      <c r="G4156" s="12"/>
      <c r="H4156" s="12"/>
      <c r="J4156" s="11"/>
    </row>
    <row r="4157" spans="5:10">
      <c r="E4157" s="11"/>
      <c r="G4157" s="12"/>
      <c r="H4157" s="12"/>
      <c r="J4157" s="11"/>
    </row>
    <row r="4158" spans="5:10">
      <c r="E4158" s="11"/>
      <c r="G4158" s="12"/>
      <c r="H4158" s="12"/>
      <c r="J4158" s="11"/>
    </row>
    <row r="4159" spans="5:10">
      <c r="E4159" s="11"/>
      <c r="G4159" s="12"/>
      <c r="H4159" s="12"/>
      <c r="J4159" s="11"/>
    </row>
    <row r="4160" spans="5:10">
      <c r="E4160" s="11"/>
      <c r="G4160" s="12"/>
      <c r="H4160" s="12"/>
      <c r="J4160" s="11"/>
    </row>
    <row r="4161" spans="5:10">
      <c r="E4161" s="11"/>
      <c r="G4161" s="12"/>
      <c r="H4161" s="12"/>
      <c r="J4161" s="11"/>
    </row>
    <row r="4162" spans="5:10">
      <c r="E4162" s="11"/>
      <c r="G4162" s="12"/>
      <c r="H4162" s="12"/>
      <c r="J4162" s="11"/>
    </row>
    <row r="4163" spans="5:10">
      <c r="E4163" s="11"/>
      <c r="G4163" s="12"/>
      <c r="H4163" s="12"/>
      <c r="J4163" s="11"/>
    </row>
    <row r="4164" spans="5:10">
      <c r="E4164" s="11"/>
      <c r="G4164" s="12"/>
      <c r="H4164" s="12"/>
      <c r="J4164" s="11"/>
    </row>
    <row r="4165" spans="5:10">
      <c r="E4165" s="11"/>
      <c r="G4165" s="12"/>
      <c r="H4165" s="12"/>
      <c r="J4165" s="11"/>
    </row>
    <row r="4166" spans="5:10">
      <c r="E4166" s="11"/>
      <c r="G4166" s="12"/>
      <c r="H4166" s="12"/>
      <c r="J4166" s="11"/>
    </row>
    <row r="4167" spans="5:10">
      <c r="E4167" s="11"/>
      <c r="G4167" s="12"/>
      <c r="H4167" s="12"/>
      <c r="J4167" s="11"/>
    </row>
    <row r="4168" spans="5:10">
      <c r="E4168" s="11"/>
      <c r="G4168" s="12"/>
      <c r="H4168" s="12"/>
      <c r="J4168" s="11"/>
    </row>
    <row r="4169" spans="5:10">
      <c r="E4169" s="11"/>
      <c r="G4169" s="12"/>
      <c r="H4169" s="12"/>
      <c r="J4169" s="11"/>
    </row>
    <row r="4170" spans="5:10">
      <c r="E4170" s="11"/>
      <c r="G4170" s="12"/>
      <c r="H4170" s="12"/>
      <c r="J4170" s="11"/>
    </row>
    <row r="4171" spans="5:10">
      <c r="E4171" s="11"/>
      <c r="G4171" s="12"/>
      <c r="H4171" s="12"/>
      <c r="J4171" s="11"/>
    </row>
    <row r="4172" spans="5:10">
      <c r="E4172" s="11"/>
      <c r="G4172" s="12"/>
      <c r="H4172" s="12"/>
      <c r="J4172" s="11"/>
    </row>
    <row r="4173" spans="5:10">
      <c r="E4173" s="11"/>
      <c r="G4173" s="12"/>
      <c r="H4173" s="12"/>
      <c r="J4173" s="11"/>
    </row>
    <row r="4174" spans="5:10">
      <c r="E4174" s="11"/>
      <c r="G4174" s="12"/>
      <c r="H4174" s="12"/>
      <c r="J4174" s="11"/>
    </row>
    <row r="4175" spans="5:10">
      <c r="E4175" s="11"/>
      <c r="G4175" s="12"/>
      <c r="H4175" s="12"/>
      <c r="J4175" s="11"/>
    </row>
    <row r="4176" spans="5:10">
      <c r="E4176" s="11"/>
      <c r="G4176" s="12"/>
      <c r="H4176" s="12"/>
      <c r="J4176" s="11"/>
    </row>
    <row r="4177" spans="5:10">
      <c r="E4177" s="11"/>
      <c r="G4177" s="12"/>
      <c r="H4177" s="12"/>
      <c r="J4177" s="11"/>
    </row>
    <row r="4178" spans="5:10">
      <c r="E4178" s="11"/>
      <c r="G4178" s="12"/>
      <c r="H4178" s="12"/>
      <c r="J4178" s="11"/>
    </row>
    <row r="4179" spans="5:10">
      <c r="E4179" s="11"/>
      <c r="G4179" s="12"/>
      <c r="H4179" s="12"/>
      <c r="J4179" s="11"/>
    </row>
    <row r="4180" spans="5:10">
      <c r="E4180" s="11"/>
      <c r="G4180" s="12"/>
      <c r="H4180" s="12"/>
      <c r="J4180" s="11"/>
    </row>
    <row r="4181" spans="5:10">
      <c r="E4181" s="11"/>
      <c r="G4181" s="12"/>
      <c r="H4181" s="12"/>
      <c r="J4181" s="11"/>
    </row>
    <row r="4182" spans="5:10">
      <c r="E4182" s="11"/>
      <c r="G4182" s="12"/>
      <c r="H4182" s="12"/>
      <c r="J4182" s="11"/>
    </row>
    <row r="4183" spans="5:10">
      <c r="E4183" s="11"/>
      <c r="G4183" s="12"/>
      <c r="H4183" s="12"/>
      <c r="J4183" s="11"/>
    </row>
    <row r="4184" spans="5:10">
      <c r="E4184" s="11"/>
      <c r="G4184" s="12"/>
      <c r="H4184" s="12"/>
      <c r="J4184" s="11"/>
    </row>
    <row r="4185" spans="5:10">
      <c r="E4185" s="11"/>
      <c r="G4185" s="12"/>
      <c r="H4185" s="12"/>
      <c r="J4185" s="11"/>
    </row>
    <row r="4186" spans="5:10">
      <c r="E4186" s="11"/>
      <c r="G4186" s="12"/>
      <c r="H4186" s="12"/>
      <c r="J4186" s="11"/>
    </row>
    <row r="4187" spans="5:10">
      <c r="E4187" s="11"/>
      <c r="G4187" s="12"/>
      <c r="H4187" s="12"/>
      <c r="J4187" s="11"/>
    </row>
    <row r="4188" spans="5:10">
      <c r="E4188" s="11"/>
      <c r="G4188" s="12"/>
      <c r="H4188" s="12"/>
      <c r="J4188" s="11"/>
    </row>
    <row r="4189" spans="5:10">
      <c r="E4189" s="11"/>
      <c r="G4189" s="12"/>
      <c r="H4189" s="12"/>
      <c r="J4189" s="11"/>
    </row>
    <row r="4190" spans="5:10">
      <c r="E4190" s="11"/>
      <c r="G4190" s="12"/>
      <c r="H4190" s="12"/>
      <c r="J4190" s="11"/>
    </row>
    <row r="4191" spans="5:10">
      <c r="E4191" s="11"/>
      <c r="G4191" s="12"/>
      <c r="H4191" s="12"/>
      <c r="J4191" s="11"/>
    </row>
    <row r="4192" spans="5:10">
      <c r="E4192" s="11"/>
      <c r="G4192" s="12"/>
      <c r="H4192" s="12"/>
      <c r="J4192" s="11"/>
    </row>
    <row r="4193" spans="5:10">
      <c r="E4193" s="11"/>
      <c r="G4193" s="12"/>
      <c r="H4193" s="12"/>
      <c r="J4193" s="11"/>
    </row>
    <row r="4194" spans="5:10">
      <c r="E4194" s="11"/>
      <c r="G4194" s="12"/>
      <c r="H4194" s="12"/>
      <c r="J4194" s="11"/>
    </row>
    <row r="4195" spans="5:10">
      <c r="E4195" s="11"/>
      <c r="G4195" s="12"/>
      <c r="H4195" s="12"/>
      <c r="J4195" s="11"/>
    </row>
    <row r="4196" spans="5:10">
      <c r="E4196" s="11"/>
      <c r="G4196" s="12"/>
      <c r="H4196" s="12"/>
      <c r="J4196" s="11"/>
    </row>
    <row r="4197" spans="5:10">
      <c r="E4197" s="11"/>
      <c r="G4197" s="12"/>
      <c r="H4197" s="12"/>
      <c r="J4197" s="11"/>
    </row>
    <row r="4198" spans="5:10">
      <c r="E4198" s="11"/>
      <c r="G4198" s="12"/>
      <c r="H4198" s="12"/>
      <c r="J4198" s="11"/>
    </row>
    <row r="4199" spans="5:10">
      <c r="E4199" s="11"/>
      <c r="G4199" s="12"/>
      <c r="H4199" s="12"/>
      <c r="J4199" s="11"/>
    </row>
    <row r="4200" spans="5:10">
      <c r="E4200" s="11"/>
      <c r="G4200" s="12"/>
      <c r="H4200" s="12"/>
      <c r="J4200" s="11"/>
    </row>
    <row r="4201" spans="5:10">
      <c r="E4201" s="11"/>
      <c r="G4201" s="12"/>
      <c r="H4201" s="12"/>
      <c r="J4201" s="11"/>
    </row>
    <row r="4202" spans="5:10">
      <c r="E4202" s="11"/>
      <c r="G4202" s="12"/>
      <c r="H4202" s="12"/>
      <c r="J4202" s="11"/>
    </row>
    <row r="4203" spans="5:10">
      <c r="E4203" s="11"/>
      <c r="G4203" s="12"/>
      <c r="H4203" s="12"/>
      <c r="J4203" s="11"/>
    </row>
    <row r="4204" spans="5:10">
      <c r="E4204" s="11"/>
      <c r="G4204" s="12"/>
      <c r="H4204" s="12"/>
      <c r="J4204" s="11"/>
    </row>
    <row r="4205" spans="5:10">
      <c r="E4205" s="11"/>
      <c r="G4205" s="12"/>
      <c r="H4205" s="12"/>
      <c r="J4205" s="11"/>
    </row>
    <row r="4206" spans="5:10">
      <c r="E4206" s="11"/>
      <c r="G4206" s="12"/>
      <c r="H4206" s="12"/>
      <c r="J4206" s="11"/>
    </row>
    <row r="4207" spans="5:10">
      <c r="E4207" s="11"/>
      <c r="G4207" s="12"/>
      <c r="H4207" s="12"/>
      <c r="J4207" s="11"/>
    </row>
    <row r="4208" spans="5:10">
      <c r="E4208" s="11"/>
      <c r="G4208" s="12"/>
      <c r="H4208" s="12"/>
      <c r="J4208" s="11"/>
    </row>
    <row r="4209" spans="5:10">
      <c r="E4209" s="11"/>
      <c r="G4209" s="12"/>
      <c r="H4209" s="12"/>
      <c r="J4209" s="11"/>
    </row>
    <row r="4210" spans="5:10">
      <c r="E4210" s="11"/>
      <c r="G4210" s="12"/>
      <c r="H4210" s="12"/>
      <c r="J4210" s="11"/>
    </row>
    <row r="4211" spans="5:10">
      <c r="E4211" s="11"/>
      <c r="G4211" s="12"/>
      <c r="H4211" s="12"/>
      <c r="J4211" s="11"/>
    </row>
    <row r="4212" spans="5:10">
      <c r="E4212" s="11"/>
      <c r="G4212" s="12"/>
      <c r="H4212" s="12"/>
      <c r="J4212" s="11"/>
    </row>
    <row r="4213" spans="5:10">
      <c r="E4213" s="11"/>
      <c r="G4213" s="12"/>
      <c r="H4213" s="12"/>
      <c r="J4213" s="11"/>
    </row>
    <row r="4214" spans="5:10">
      <c r="E4214" s="11"/>
      <c r="G4214" s="12"/>
      <c r="H4214" s="12"/>
      <c r="J4214" s="11"/>
    </row>
    <row r="4215" spans="5:10">
      <c r="E4215" s="11"/>
      <c r="G4215" s="12"/>
      <c r="H4215" s="12"/>
      <c r="J4215" s="11"/>
    </row>
    <row r="4216" spans="5:10">
      <c r="E4216" s="11"/>
      <c r="G4216" s="12"/>
      <c r="H4216" s="12"/>
      <c r="J4216" s="11"/>
    </row>
    <row r="4217" spans="5:10">
      <c r="E4217" s="11"/>
      <c r="G4217" s="12"/>
      <c r="H4217" s="12"/>
      <c r="J4217" s="11"/>
    </row>
    <row r="4218" spans="5:10">
      <c r="E4218" s="11"/>
      <c r="G4218" s="12"/>
      <c r="H4218" s="12"/>
      <c r="J4218" s="11"/>
    </row>
    <row r="4219" spans="5:10">
      <c r="E4219" s="11"/>
      <c r="G4219" s="12"/>
      <c r="H4219" s="12"/>
      <c r="J4219" s="11"/>
    </row>
    <row r="4220" spans="5:10">
      <c r="E4220" s="11"/>
      <c r="G4220" s="12"/>
      <c r="H4220" s="12"/>
      <c r="J4220" s="11"/>
    </row>
    <row r="4221" spans="5:10">
      <c r="E4221" s="11"/>
      <c r="G4221" s="12"/>
      <c r="H4221" s="12"/>
      <c r="J4221" s="11"/>
    </row>
    <row r="4222" spans="5:10">
      <c r="E4222" s="11"/>
      <c r="G4222" s="12"/>
      <c r="H4222" s="12"/>
      <c r="J4222" s="11"/>
    </row>
    <row r="4223" spans="5:10">
      <c r="E4223" s="11"/>
      <c r="G4223" s="12"/>
      <c r="H4223" s="12"/>
      <c r="J4223" s="11"/>
    </row>
  </sheetData>
  <autoFilter ref="A1:Q1048576" xr:uid="{00000000-0009-0000-0000-000004000000}"/>
  <mergeCells count="1">
    <mergeCell ref="AA2:AD2"/>
  </mergeCells>
  <conditionalFormatting sqref="J1:J1048576">
    <cfRule type="cellIs" dxfId="1" priority="1" operator="equal">
      <formula>"FOOGY"</formula>
    </cfRule>
  </conditionalFormatting>
  <conditionalFormatting sqref="M1:M1048576">
    <cfRule type="cellIs" dxfId="0" priority="2" operator="equal">
      <formula>$M$10</formula>
    </cfRule>
  </conditionalFormatting>
  <pageMargins left="0.75" right="0.75" top="1" bottom="1" header="0.5" footer="0.5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Sheet3</vt:lpstr>
      <vt:lpstr>Sheet4</vt:lpstr>
      <vt:lpstr>Sheet5</vt:lpstr>
      <vt:lpstr>Sheet7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nidhirajpandey99@gmail.com</cp:lastModifiedBy>
  <dcterms:created xsi:type="dcterms:W3CDTF">2025-10-14T12:24:00Z</dcterms:created>
  <dcterms:modified xsi:type="dcterms:W3CDTF">2025-11-04T10:42:08Z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E85E2B1D86014AADB66EE33981468114_11</vt:lpwstr>
  </property>
  <property fmtid="{D5CDD505-2E9C-101B-9397-08002B2CF9AE}" pid="3" name="KSOProductBuildVer">
    <vt:lpwstr>1033-12.2.0.22549</vt:lpwstr>
  </property>
</Properties>
</file>